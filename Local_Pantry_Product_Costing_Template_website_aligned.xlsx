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290" yWindow="510" windowWidth="15040" windowHeight="6240" firstSheet="8" activeTab="20"/>
  </bookViews>
  <sheets>
    <sheet name="Start Here" sheetId="1" r:id="rId1"/>
    <sheet name="Dashboard" sheetId="2" r:id="rId2"/>
    <sheet name="Labels" sheetId="3" r:id="rId3"/>
    <sheet name="Products Index" sheetId="4" r:id="rId4"/>
    <sheet name="Ingredients &amp; Packaging" sheetId="5" r:id="rId5"/>
    <sheet name="Suppliers" sheetId="6" r:id="rId6"/>
    <sheet name="Customers" sheetId="7" r:id="rId7"/>
    <sheet name="Price Lists" sheetId="8" r:id="rId8"/>
    <sheet name="Overheads" sheetId="9" r:id="rId9"/>
    <sheet name="Rose Harissa Paste" sheetId="10" r:id="rId10"/>
    <sheet name="Wild Greens &amp; Sea Herb Pesto" sheetId="11" r:id="rId11"/>
    <sheet name="Mango, Chilli &amp; Whisky Chutney" sheetId="12" r:id="rId12"/>
    <sheet name="Scottish Kimchi (Apple &amp; Kelp)" sheetId="13" r:id="rId13"/>
    <sheet name="Beetroot, Juniper &amp; Black Peppe" sheetId="14" r:id="rId14"/>
    <sheet name="Salted Heather Honey Caramel Sa" sheetId="15" r:id="rId15"/>
    <sheet name="Dark Chocolate, Chilli &amp; Smoked" sheetId="16" r:id="rId16"/>
    <sheet name="Gin &amp; Juniper Berry Marmalade" sheetId="17" r:id="rId17"/>
    <sheet name="Production Batches" sheetId="18" r:id="rId18"/>
    <sheet name="Sales Orders" sheetId="19" r:id="rId19"/>
    <sheet name="Inventory" sheetId="20" r:id="rId20"/>
    <sheet name="Website Product Range" sheetId="21" r:id="rId21"/>
  </sheets>
  <calcPr calcId="125725"/>
  <fileRecoveryPr repairLoad="1"/>
</workbook>
</file>

<file path=xl/calcChain.xml><?xml version="1.0" encoding="utf-8"?>
<calcChain xmlns="http://schemas.openxmlformats.org/spreadsheetml/2006/main">
  <c r="G301" i="20"/>
  <c r="H301" s="1"/>
  <c r="F301"/>
  <c r="B301"/>
  <c r="G300"/>
  <c r="H300" s="1"/>
  <c r="F300"/>
  <c r="B300"/>
  <c r="G299"/>
  <c r="H299" s="1"/>
  <c r="F299"/>
  <c r="B299"/>
  <c r="G298"/>
  <c r="H298" s="1"/>
  <c r="F298"/>
  <c r="B298"/>
  <c r="G297"/>
  <c r="H297" s="1"/>
  <c r="F297"/>
  <c r="B297"/>
  <c r="G296"/>
  <c r="H296" s="1"/>
  <c r="F296"/>
  <c r="B296"/>
  <c r="G295"/>
  <c r="H295" s="1"/>
  <c r="F295"/>
  <c r="B295"/>
  <c r="G294"/>
  <c r="H294" s="1"/>
  <c r="F294"/>
  <c r="B294"/>
  <c r="G293"/>
  <c r="H293" s="1"/>
  <c r="F293"/>
  <c r="B293"/>
  <c r="G292"/>
  <c r="H292" s="1"/>
  <c r="F292"/>
  <c r="B292"/>
  <c r="G291"/>
  <c r="H291" s="1"/>
  <c r="F291"/>
  <c r="B291"/>
  <c r="G290"/>
  <c r="H290" s="1"/>
  <c r="F290"/>
  <c r="B290"/>
  <c r="G289"/>
  <c r="H289" s="1"/>
  <c r="F289"/>
  <c r="B289"/>
  <c r="G288"/>
  <c r="H288" s="1"/>
  <c r="F288"/>
  <c r="B288"/>
  <c r="G287"/>
  <c r="H287" s="1"/>
  <c r="F287"/>
  <c r="B287"/>
  <c r="G286"/>
  <c r="H286" s="1"/>
  <c r="F286"/>
  <c r="B286"/>
  <c r="G285"/>
  <c r="H285" s="1"/>
  <c r="F285"/>
  <c r="B285"/>
  <c r="G284"/>
  <c r="H284" s="1"/>
  <c r="F284"/>
  <c r="B284"/>
  <c r="G283"/>
  <c r="H283" s="1"/>
  <c r="F283"/>
  <c r="B283"/>
  <c r="G282"/>
  <c r="H282" s="1"/>
  <c r="F282"/>
  <c r="B282"/>
  <c r="G281"/>
  <c r="H281" s="1"/>
  <c r="F281"/>
  <c r="B281"/>
  <c r="G280"/>
  <c r="H280" s="1"/>
  <c r="F280"/>
  <c r="B280"/>
  <c r="G279"/>
  <c r="H279" s="1"/>
  <c r="F279"/>
  <c r="B279"/>
  <c r="G278"/>
  <c r="H278" s="1"/>
  <c r="F278"/>
  <c r="B278"/>
  <c r="G277"/>
  <c r="H277" s="1"/>
  <c r="F277"/>
  <c r="B277"/>
  <c r="G276"/>
  <c r="H276" s="1"/>
  <c r="F276"/>
  <c r="B276"/>
  <c r="G275"/>
  <c r="H275" s="1"/>
  <c r="F275"/>
  <c r="B275"/>
  <c r="G274"/>
  <c r="H274" s="1"/>
  <c r="F274"/>
  <c r="B274"/>
  <c r="G273"/>
  <c r="H273" s="1"/>
  <c r="F273"/>
  <c r="B273"/>
  <c r="G272"/>
  <c r="H272" s="1"/>
  <c r="F272"/>
  <c r="B272"/>
  <c r="G271"/>
  <c r="H271" s="1"/>
  <c r="F271"/>
  <c r="B271"/>
  <c r="G270"/>
  <c r="H270" s="1"/>
  <c r="F270"/>
  <c r="B270"/>
  <c r="G269"/>
  <c r="H269" s="1"/>
  <c r="F269"/>
  <c r="B269"/>
  <c r="G268"/>
  <c r="H268" s="1"/>
  <c r="F268"/>
  <c r="B268"/>
  <c r="G267"/>
  <c r="H267" s="1"/>
  <c r="F267"/>
  <c r="B267"/>
  <c r="G266"/>
  <c r="H266" s="1"/>
  <c r="F266"/>
  <c r="B266"/>
  <c r="G265"/>
  <c r="H265" s="1"/>
  <c r="F265"/>
  <c r="B265"/>
  <c r="G264"/>
  <c r="H264" s="1"/>
  <c r="F264"/>
  <c r="B264"/>
  <c r="G263"/>
  <c r="H263" s="1"/>
  <c r="F263"/>
  <c r="B263"/>
  <c r="G262"/>
  <c r="H262" s="1"/>
  <c r="F262"/>
  <c r="B262"/>
  <c r="G261"/>
  <c r="H261" s="1"/>
  <c r="F261"/>
  <c r="B261"/>
  <c r="G260"/>
  <c r="H260" s="1"/>
  <c r="F260"/>
  <c r="B260"/>
  <c r="G259"/>
  <c r="H259" s="1"/>
  <c r="F259"/>
  <c r="B259"/>
  <c r="G258"/>
  <c r="H258" s="1"/>
  <c r="F258"/>
  <c r="B258"/>
  <c r="G257"/>
  <c r="H257" s="1"/>
  <c r="F257"/>
  <c r="B257"/>
  <c r="G256"/>
  <c r="H256" s="1"/>
  <c r="F256"/>
  <c r="B256"/>
  <c r="G255"/>
  <c r="H255" s="1"/>
  <c r="F255"/>
  <c r="B255"/>
  <c r="G254"/>
  <c r="H254" s="1"/>
  <c r="F254"/>
  <c r="B254"/>
  <c r="G253"/>
  <c r="H253" s="1"/>
  <c r="F253"/>
  <c r="B253"/>
  <c r="G252"/>
  <c r="H252" s="1"/>
  <c r="F252"/>
  <c r="B252"/>
  <c r="G251"/>
  <c r="H251" s="1"/>
  <c r="F251"/>
  <c r="B251"/>
  <c r="G250"/>
  <c r="H250" s="1"/>
  <c r="F250"/>
  <c r="B250"/>
  <c r="G249"/>
  <c r="H249" s="1"/>
  <c r="F249"/>
  <c r="B249"/>
  <c r="G248"/>
  <c r="H248" s="1"/>
  <c r="F248"/>
  <c r="B248"/>
  <c r="G247"/>
  <c r="H247" s="1"/>
  <c r="F247"/>
  <c r="B247"/>
  <c r="G246"/>
  <c r="H246" s="1"/>
  <c r="F246"/>
  <c r="B246"/>
  <c r="G245"/>
  <c r="H245" s="1"/>
  <c r="F245"/>
  <c r="B245"/>
  <c r="G244"/>
  <c r="H244" s="1"/>
  <c r="F244"/>
  <c r="B244"/>
  <c r="G243"/>
  <c r="F243"/>
  <c r="B243"/>
  <c r="G242"/>
  <c r="F242"/>
  <c r="B242"/>
  <c r="G241"/>
  <c r="F241"/>
  <c r="H241" s="1"/>
  <c r="B241"/>
  <c r="G240"/>
  <c r="F240"/>
  <c r="B240"/>
  <c r="G239"/>
  <c r="F239"/>
  <c r="B239"/>
  <c r="G238"/>
  <c r="F238"/>
  <c r="B238"/>
  <c r="G237"/>
  <c r="F237"/>
  <c r="H237" s="1"/>
  <c r="B237"/>
  <c r="G236"/>
  <c r="F236"/>
  <c r="B236"/>
  <c r="G235"/>
  <c r="F235"/>
  <c r="B235"/>
  <c r="G234"/>
  <c r="F234"/>
  <c r="B234"/>
  <c r="G233"/>
  <c r="F233"/>
  <c r="H233" s="1"/>
  <c r="B233"/>
  <c r="G232"/>
  <c r="F232"/>
  <c r="B232"/>
  <c r="G231"/>
  <c r="F231"/>
  <c r="B231"/>
  <c r="G230"/>
  <c r="F230"/>
  <c r="B230"/>
  <c r="G229"/>
  <c r="F229"/>
  <c r="H229" s="1"/>
  <c r="B229"/>
  <c r="G228"/>
  <c r="F228"/>
  <c r="B228"/>
  <c r="G227"/>
  <c r="F227"/>
  <c r="B227"/>
  <c r="G226"/>
  <c r="F226"/>
  <c r="B226"/>
  <c r="G225"/>
  <c r="F225"/>
  <c r="H225" s="1"/>
  <c r="B225"/>
  <c r="G224"/>
  <c r="F224"/>
  <c r="B224"/>
  <c r="G223"/>
  <c r="F223"/>
  <c r="B223"/>
  <c r="G222"/>
  <c r="F222"/>
  <c r="B222"/>
  <c r="G221"/>
  <c r="F221"/>
  <c r="H221" s="1"/>
  <c r="B221"/>
  <c r="G220"/>
  <c r="F220"/>
  <c r="B220"/>
  <c r="G219"/>
  <c r="F219"/>
  <c r="B219"/>
  <c r="G218"/>
  <c r="F218"/>
  <c r="B218"/>
  <c r="G217"/>
  <c r="F217"/>
  <c r="H217" s="1"/>
  <c r="B217"/>
  <c r="G216"/>
  <c r="F216"/>
  <c r="B216"/>
  <c r="G215"/>
  <c r="F215"/>
  <c r="B215"/>
  <c r="G214"/>
  <c r="F214"/>
  <c r="B214"/>
  <c r="G213"/>
  <c r="F213"/>
  <c r="H213" s="1"/>
  <c r="B213"/>
  <c r="G212"/>
  <c r="F212"/>
  <c r="B212"/>
  <c r="G211"/>
  <c r="F211"/>
  <c r="B211"/>
  <c r="G210"/>
  <c r="F210"/>
  <c r="B210"/>
  <c r="G209"/>
  <c r="F209"/>
  <c r="H209" s="1"/>
  <c r="B209"/>
  <c r="G208"/>
  <c r="F208"/>
  <c r="B208"/>
  <c r="G207"/>
  <c r="F207"/>
  <c r="B207"/>
  <c r="G206"/>
  <c r="F206"/>
  <c r="B206"/>
  <c r="G205"/>
  <c r="F205"/>
  <c r="H205" s="1"/>
  <c r="B205"/>
  <c r="G204"/>
  <c r="F204"/>
  <c r="B204"/>
  <c r="G203"/>
  <c r="F203"/>
  <c r="B203"/>
  <c r="G202"/>
  <c r="F202"/>
  <c r="B202"/>
  <c r="G201"/>
  <c r="F201"/>
  <c r="H201" s="1"/>
  <c r="B201"/>
  <c r="G200"/>
  <c r="F200"/>
  <c r="B200"/>
  <c r="G199"/>
  <c r="F199"/>
  <c r="B199"/>
  <c r="G198"/>
  <c r="F198"/>
  <c r="B198"/>
  <c r="G197"/>
  <c r="F197"/>
  <c r="H197" s="1"/>
  <c r="B197"/>
  <c r="G196"/>
  <c r="F196"/>
  <c r="B196"/>
  <c r="G195"/>
  <c r="F195"/>
  <c r="B195"/>
  <c r="G194"/>
  <c r="F194"/>
  <c r="B194"/>
  <c r="G193"/>
  <c r="F193"/>
  <c r="H193" s="1"/>
  <c r="B193"/>
  <c r="G192"/>
  <c r="F192"/>
  <c r="B192"/>
  <c r="G191"/>
  <c r="F191"/>
  <c r="B191"/>
  <c r="G190"/>
  <c r="F190"/>
  <c r="B190"/>
  <c r="G189"/>
  <c r="F189"/>
  <c r="H189" s="1"/>
  <c r="B189"/>
  <c r="G188"/>
  <c r="F188"/>
  <c r="B188"/>
  <c r="G187"/>
  <c r="F187"/>
  <c r="B187"/>
  <c r="G186"/>
  <c r="F186"/>
  <c r="B186"/>
  <c r="G185"/>
  <c r="F185"/>
  <c r="H185" s="1"/>
  <c r="B185"/>
  <c r="G184"/>
  <c r="F184"/>
  <c r="B184"/>
  <c r="G183"/>
  <c r="F183"/>
  <c r="B183"/>
  <c r="G182"/>
  <c r="F182"/>
  <c r="B182"/>
  <c r="G181"/>
  <c r="F181"/>
  <c r="H181" s="1"/>
  <c r="B181"/>
  <c r="G180"/>
  <c r="F180"/>
  <c r="B180"/>
  <c r="G179"/>
  <c r="F179"/>
  <c r="B179"/>
  <c r="G178"/>
  <c r="F178"/>
  <c r="B178"/>
  <c r="G177"/>
  <c r="F177"/>
  <c r="H177" s="1"/>
  <c r="B177"/>
  <c r="G176"/>
  <c r="F176"/>
  <c r="B176"/>
  <c r="G175"/>
  <c r="F175"/>
  <c r="B175"/>
  <c r="G174"/>
  <c r="F174"/>
  <c r="B174"/>
  <c r="G173"/>
  <c r="F173"/>
  <c r="H173" s="1"/>
  <c r="B173"/>
  <c r="G172"/>
  <c r="F172"/>
  <c r="B172"/>
  <c r="G171"/>
  <c r="F171"/>
  <c r="B171"/>
  <c r="G170"/>
  <c r="F170"/>
  <c r="B170"/>
  <c r="G169"/>
  <c r="F169"/>
  <c r="H169" s="1"/>
  <c r="B169"/>
  <c r="G168"/>
  <c r="F168"/>
  <c r="B168"/>
  <c r="G167"/>
  <c r="F167"/>
  <c r="B167"/>
  <c r="G166"/>
  <c r="F166"/>
  <c r="B166"/>
  <c r="G165"/>
  <c r="F165"/>
  <c r="H165" s="1"/>
  <c r="B165"/>
  <c r="G164"/>
  <c r="F164"/>
  <c r="B164"/>
  <c r="G163"/>
  <c r="F163"/>
  <c r="B163"/>
  <c r="G162"/>
  <c r="F162"/>
  <c r="B162"/>
  <c r="G161"/>
  <c r="F161"/>
  <c r="H161" s="1"/>
  <c r="B161"/>
  <c r="G160"/>
  <c r="F160"/>
  <c r="B160"/>
  <c r="G159"/>
  <c r="F159"/>
  <c r="B159"/>
  <c r="G158"/>
  <c r="F158"/>
  <c r="B158"/>
  <c r="G157"/>
  <c r="F157"/>
  <c r="H157" s="1"/>
  <c r="B157"/>
  <c r="G156"/>
  <c r="F156"/>
  <c r="B156"/>
  <c r="G155"/>
  <c r="F155"/>
  <c r="B155"/>
  <c r="G154"/>
  <c r="F154"/>
  <c r="B154"/>
  <c r="G153"/>
  <c r="F153"/>
  <c r="H153" s="1"/>
  <c r="B153"/>
  <c r="G152"/>
  <c r="F152"/>
  <c r="B152"/>
  <c r="G151"/>
  <c r="F151"/>
  <c r="B151"/>
  <c r="G150"/>
  <c r="F150"/>
  <c r="B150"/>
  <c r="G149"/>
  <c r="F149"/>
  <c r="H149" s="1"/>
  <c r="B149"/>
  <c r="G148"/>
  <c r="F148"/>
  <c r="B148"/>
  <c r="G147"/>
  <c r="F147"/>
  <c r="B147"/>
  <c r="G146"/>
  <c r="F146"/>
  <c r="B146"/>
  <c r="G145"/>
  <c r="F145"/>
  <c r="H145" s="1"/>
  <c r="B145"/>
  <c r="G144"/>
  <c r="F144"/>
  <c r="B144"/>
  <c r="G143"/>
  <c r="F143"/>
  <c r="B143"/>
  <c r="G142"/>
  <c r="F142"/>
  <c r="B142"/>
  <c r="G141"/>
  <c r="F141"/>
  <c r="H141" s="1"/>
  <c r="B141"/>
  <c r="G140"/>
  <c r="F140"/>
  <c r="B140"/>
  <c r="G139"/>
  <c r="F139"/>
  <c r="B139"/>
  <c r="G138"/>
  <c r="F138"/>
  <c r="B138"/>
  <c r="G137"/>
  <c r="F137"/>
  <c r="H137" s="1"/>
  <c r="B137"/>
  <c r="G136"/>
  <c r="F136"/>
  <c r="B136"/>
  <c r="G135"/>
  <c r="F135"/>
  <c r="B135"/>
  <c r="G134"/>
  <c r="F134"/>
  <c r="B134"/>
  <c r="G133"/>
  <c r="F133"/>
  <c r="H133" s="1"/>
  <c r="B133"/>
  <c r="G132"/>
  <c r="F132"/>
  <c r="B132"/>
  <c r="G131"/>
  <c r="F131"/>
  <c r="B131"/>
  <c r="G130"/>
  <c r="F130"/>
  <c r="B130"/>
  <c r="G129"/>
  <c r="F129"/>
  <c r="H129" s="1"/>
  <c r="B129"/>
  <c r="G128"/>
  <c r="F128"/>
  <c r="B128"/>
  <c r="G127"/>
  <c r="F127"/>
  <c r="B127"/>
  <c r="G126"/>
  <c r="F126"/>
  <c r="B126"/>
  <c r="G125"/>
  <c r="F125"/>
  <c r="H125" s="1"/>
  <c r="B125"/>
  <c r="G124"/>
  <c r="F124"/>
  <c r="B124"/>
  <c r="G123"/>
  <c r="F123"/>
  <c r="B123"/>
  <c r="G122"/>
  <c r="F122"/>
  <c r="B122"/>
  <c r="G121"/>
  <c r="F121"/>
  <c r="H121" s="1"/>
  <c r="B121"/>
  <c r="G120"/>
  <c r="F120"/>
  <c r="B120"/>
  <c r="G119"/>
  <c r="F119"/>
  <c r="B119"/>
  <c r="G118"/>
  <c r="F118"/>
  <c r="B118"/>
  <c r="G117"/>
  <c r="F117"/>
  <c r="H117" s="1"/>
  <c r="B117"/>
  <c r="G116"/>
  <c r="F116"/>
  <c r="B116"/>
  <c r="G115"/>
  <c r="F115"/>
  <c r="B115"/>
  <c r="G114"/>
  <c r="F114"/>
  <c r="B114"/>
  <c r="G113"/>
  <c r="F113"/>
  <c r="H113" s="1"/>
  <c r="B113"/>
  <c r="G112"/>
  <c r="F112"/>
  <c r="B112"/>
  <c r="G111"/>
  <c r="F111"/>
  <c r="B111"/>
  <c r="G110"/>
  <c r="F110"/>
  <c r="B110"/>
  <c r="G109"/>
  <c r="F109"/>
  <c r="H109" s="1"/>
  <c r="B109"/>
  <c r="G108"/>
  <c r="F108"/>
  <c r="B108"/>
  <c r="G107"/>
  <c r="F107"/>
  <c r="B107"/>
  <c r="G106"/>
  <c r="F106"/>
  <c r="B106"/>
  <c r="G105"/>
  <c r="F105"/>
  <c r="H105" s="1"/>
  <c r="B105"/>
  <c r="G104"/>
  <c r="F104"/>
  <c r="B104"/>
  <c r="G103"/>
  <c r="F103"/>
  <c r="B103"/>
  <c r="G102"/>
  <c r="F102"/>
  <c r="B102"/>
  <c r="G101"/>
  <c r="F101"/>
  <c r="H101" s="1"/>
  <c r="B101"/>
  <c r="G100"/>
  <c r="F100"/>
  <c r="B100"/>
  <c r="G99"/>
  <c r="F99"/>
  <c r="B99"/>
  <c r="G98"/>
  <c r="F98"/>
  <c r="B98"/>
  <c r="G97"/>
  <c r="F97"/>
  <c r="H97" s="1"/>
  <c r="B97"/>
  <c r="G96"/>
  <c r="F96"/>
  <c r="B96"/>
  <c r="G95"/>
  <c r="F95"/>
  <c r="B95"/>
  <c r="G94"/>
  <c r="F94"/>
  <c r="B94"/>
  <c r="G93"/>
  <c r="F93"/>
  <c r="H93" s="1"/>
  <c r="B93"/>
  <c r="G92"/>
  <c r="F92"/>
  <c r="B92"/>
  <c r="G91"/>
  <c r="F91"/>
  <c r="B91"/>
  <c r="G90"/>
  <c r="F90"/>
  <c r="B90"/>
  <c r="G89"/>
  <c r="F89"/>
  <c r="H89" s="1"/>
  <c r="B89"/>
  <c r="G88"/>
  <c r="F88"/>
  <c r="B88"/>
  <c r="G87"/>
  <c r="F87"/>
  <c r="B87"/>
  <c r="G86"/>
  <c r="F86"/>
  <c r="B86"/>
  <c r="G85"/>
  <c r="F85"/>
  <c r="H85" s="1"/>
  <c r="B85"/>
  <c r="G84"/>
  <c r="F84"/>
  <c r="B84"/>
  <c r="G83"/>
  <c r="F83"/>
  <c r="B83"/>
  <c r="G82"/>
  <c r="F82"/>
  <c r="B82"/>
  <c r="G81"/>
  <c r="F81"/>
  <c r="H81" s="1"/>
  <c r="B81"/>
  <c r="G80"/>
  <c r="F80"/>
  <c r="B80"/>
  <c r="G79"/>
  <c r="F79"/>
  <c r="B79"/>
  <c r="G78"/>
  <c r="F78"/>
  <c r="B78"/>
  <c r="G77"/>
  <c r="F77"/>
  <c r="H77" s="1"/>
  <c r="B77"/>
  <c r="G76"/>
  <c r="F76"/>
  <c r="B76"/>
  <c r="G75"/>
  <c r="F75"/>
  <c r="B75"/>
  <c r="G74"/>
  <c r="F74"/>
  <c r="B74"/>
  <c r="G73"/>
  <c r="F73"/>
  <c r="H73" s="1"/>
  <c r="B73"/>
  <c r="G72"/>
  <c r="F72"/>
  <c r="B72"/>
  <c r="G71"/>
  <c r="F71"/>
  <c r="B71"/>
  <c r="G70"/>
  <c r="F70"/>
  <c r="B70"/>
  <c r="G69"/>
  <c r="F69"/>
  <c r="H69" s="1"/>
  <c r="B69"/>
  <c r="G68"/>
  <c r="F68"/>
  <c r="B68"/>
  <c r="G67"/>
  <c r="F67"/>
  <c r="B67"/>
  <c r="G66"/>
  <c r="F66"/>
  <c r="B66"/>
  <c r="G65"/>
  <c r="F65"/>
  <c r="H65" s="1"/>
  <c r="B65"/>
  <c r="G64"/>
  <c r="F64"/>
  <c r="B64"/>
  <c r="G63"/>
  <c r="F63"/>
  <c r="B63"/>
  <c r="G62"/>
  <c r="F62"/>
  <c r="B62"/>
  <c r="G61"/>
  <c r="F61"/>
  <c r="H61" s="1"/>
  <c r="B61"/>
  <c r="G60"/>
  <c r="F60"/>
  <c r="B60"/>
  <c r="G59"/>
  <c r="F59"/>
  <c r="B59"/>
  <c r="G58"/>
  <c r="F58"/>
  <c r="B58"/>
  <c r="G57"/>
  <c r="F57"/>
  <c r="H57" s="1"/>
  <c r="B57"/>
  <c r="G56"/>
  <c r="F56"/>
  <c r="B56"/>
  <c r="G55"/>
  <c r="F55"/>
  <c r="B55"/>
  <c r="G54"/>
  <c r="F54"/>
  <c r="B54"/>
  <c r="G53"/>
  <c r="F53"/>
  <c r="H53" s="1"/>
  <c r="B53"/>
  <c r="G52"/>
  <c r="F52"/>
  <c r="B52"/>
  <c r="G51"/>
  <c r="F51"/>
  <c r="B51"/>
  <c r="G50"/>
  <c r="F50"/>
  <c r="B50"/>
  <c r="G49"/>
  <c r="F49"/>
  <c r="H49" s="1"/>
  <c r="B49"/>
  <c r="G48"/>
  <c r="F48"/>
  <c r="B48"/>
  <c r="G47"/>
  <c r="F47"/>
  <c r="B47"/>
  <c r="G46"/>
  <c r="F46"/>
  <c r="B46"/>
  <c r="G45"/>
  <c r="F45"/>
  <c r="H45" s="1"/>
  <c r="B45"/>
  <c r="G44"/>
  <c r="F44"/>
  <c r="B44"/>
  <c r="G43"/>
  <c r="F43"/>
  <c r="H43" s="1"/>
  <c r="B43"/>
  <c r="G42"/>
  <c r="F42"/>
  <c r="B42"/>
  <c r="G41"/>
  <c r="F41"/>
  <c r="H41" s="1"/>
  <c r="B41"/>
  <c r="G40"/>
  <c r="F40"/>
  <c r="B40"/>
  <c r="G39"/>
  <c r="F39"/>
  <c r="H39" s="1"/>
  <c r="B39"/>
  <c r="G38"/>
  <c r="F38"/>
  <c r="B38"/>
  <c r="G37"/>
  <c r="F37"/>
  <c r="H37" s="1"/>
  <c r="B37"/>
  <c r="G36"/>
  <c r="F36"/>
  <c r="B36"/>
  <c r="G35"/>
  <c r="F35"/>
  <c r="H35" s="1"/>
  <c r="B35"/>
  <c r="G34"/>
  <c r="F34"/>
  <c r="B34"/>
  <c r="G33"/>
  <c r="F33"/>
  <c r="H33" s="1"/>
  <c r="B33"/>
  <c r="G32"/>
  <c r="F32"/>
  <c r="B32"/>
  <c r="G31"/>
  <c r="F31"/>
  <c r="H31" s="1"/>
  <c r="B31"/>
  <c r="G30"/>
  <c r="F30"/>
  <c r="B30"/>
  <c r="G29"/>
  <c r="F29"/>
  <c r="H29" s="1"/>
  <c r="B29"/>
  <c r="G28"/>
  <c r="F28"/>
  <c r="B28"/>
  <c r="G27"/>
  <c r="F27"/>
  <c r="H27" s="1"/>
  <c r="B27"/>
  <c r="G26"/>
  <c r="F26"/>
  <c r="B26"/>
  <c r="G25"/>
  <c r="F25"/>
  <c r="H25" s="1"/>
  <c r="B25"/>
  <c r="G24"/>
  <c r="F24"/>
  <c r="B24"/>
  <c r="G23"/>
  <c r="F23"/>
  <c r="H23" s="1"/>
  <c r="B23"/>
  <c r="G22"/>
  <c r="F22"/>
  <c r="B22"/>
  <c r="G21"/>
  <c r="F21"/>
  <c r="H21" s="1"/>
  <c r="B21"/>
  <c r="G20"/>
  <c r="F20"/>
  <c r="B20"/>
  <c r="G19"/>
  <c r="F19"/>
  <c r="B19"/>
  <c r="G18"/>
  <c r="F18"/>
  <c r="B18"/>
  <c r="G17"/>
  <c r="F17"/>
  <c r="B17"/>
  <c r="G16"/>
  <c r="F16"/>
  <c r="B16"/>
  <c r="G15"/>
  <c r="F15"/>
  <c r="B15"/>
  <c r="G14"/>
  <c r="F14"/>
  <c r="B14"/>
  <c r="G13"/>
  <c r="F13"/>
  <c r="H13" s="1"/>
  <c r="B13"/>
  <c r="G12"/>
  <c r="F12"/>
  <c r="B12"/>
  <c r="G11"/>
  <c r="F11"/>
  <c r="B11"/>
  <c r="G10"/>
  <c r="F10"/>
  <c r="B10"/>
  <c r="G9"/>
  <c r="F9"/>
  <c r="H9" s="1"/>
  <c r="B9"/>
  <c r="G8"/>
  <c r="F8"/>
  <c r="B8"/>
  <c r="G7"/>
  <c r="F7"/>
  <c r="B7"/>
  <c r="G6"/>
  <c r="F6"/>
  <c r="B6"/>
  <c r="G5"/>
  <c r="F5"/>
  <c r="H5" s="1"/>
  <c r="B5"/>
  <c r="G4"/>
  <c r="F4"/>
  <c r="B4"/>
  <c r="G3"/>
  <c r="F3"/>
  <c r="H3" s="1"/>
  <c r="B3"/>
  <c r="G2"/>
  <c r="F2"/>
  <c r="B2"/>
  <c r="M1001" i="19"/>
  <c r="K1001"/>
  <c r="L1001" s="1"/>
  <c r="N1001" s="1"/>
  <c r="G1001"/>
  <c r="E1001"/>
  <c r="M1000"/>
  <c r="K1000"/>
  <c r="L1000" s="1"/>
  <c r="N1000" s="1"/>
  <c r="G1000"/>
  <c r="E1000"/>
  <c r="M999"/>
  <c r="K999"/>
  <c r="L999" s="1"/>
  <c r="G999"/>
  <c r="E999"/>
  <c r="M998"/>
  <c r="K998"/>
  <c r="L998" s="1"/>
  <c r="N998" s="1"/>
  <c r="G998"/>
  <c r="E998"/>
  <c r="M997"/>
  <c r="K997"/>
  <c r="L997" s="1"/>
  <c r="G997"/>
  <c r="E997"/>
  <c r="M996"/>
  <c r="K996"/>
  <c r="L996" s="1"/>
  <c r="N996" s="1"/>
  <c r="G996"/>
  <c r="E996"/>
  <c r="M995"/>
  <c r="K995"/>
  <c r="L995" s="1"/>
  <c r="G995"/>
  <c r="E995"/>
  <c r="M994"/>
  <c r="K994"/>
  <c r="L994" s="1"/>
  <c r="N994" s="1"/>
  <c r="G994"/>
  <c r="E994"/>
  <c r="M993"/>
  <c r="K993"/>
  <c r="L993" s="1"/>
  <c r="G993"/>
  <c r="E993"/>
  <c r="M992"/>
  <c r="K992"/>
  <c r="L992" s="1"/>
  <c r="N992" s="1"/>
  <c r="G992"/>
  <c r="E992"/>
  <c r="M991"/>
  <c r="K991"/>
  <c r="L991" s="1"/>
  <c r="G991"/>
  <c r="E991"/>
  <c r="M990"/>
  <c r="K990"/>
  <c r="L990" s="1"/>
  <c r="N990" s="1"/>
  <c r="G990"/>
  <c r="E990"/>
  <c r="M989"/>
  <c r="K989"/>
  <c r="L989" s="1"/>
  <c r="G989"/>
  <c r="E989"/>
  <c r="M988"/>
  <c r="K988"/>
  <c r="L988" s="1"/>
  <c r="N988" s="1"/>
  <c r="G988"/>
  <c r="E988"/>
  <c r="M987"/>
  <c r="K987"/>
  <c r="L987" s="1"/>
  <c r="G987"/>
  <c r="E987"/>
  <c r="M986"/>
  <c r="K986"/>
  <c r="L986" s="1"/>
  <c r="N986" s="1"/>
  <c r="G986"/>
  <c r="E986"/>
  <c r="M985"/>
  <c r="K985"/>
  <c r="L985" s="1"/>
  <c r="G985"/>
  <c r="E985"/>
  <c r="M984"/>
  <c r="K984"/>
  <c r="L984" s="1"/>
  <c r="G984"/>
  <c r="E984"/>
  <c r="M983"/>
  <c r="K983"/>
  <c r="L983" s="1"/>
  <c r="G983"/>
  <c r="E983"/>
  <c r="M982"/>
  <c r="K982"/>
  <c r="L982" s="1"/>
  <c r="G982"/>
  <c r="E982"/>
  <c r="M981"/>
  <c r="K981"/>
  <c r="L981" s="1"/>
  <c r="G981"/>
  <c r="E981"/>
  <c r="M980"/>
  <c r="K980"/>
  <c r="L980" s="1"/>
  <c r="G980"/>
  <c r="E980"/>
  <c r="M979"/>
  <c r="K979"/>
  <c r="L979" s="1"/>
  <c r="G979"/>
  <c r="E979"/>
  <c r="M978"/>
  <c r="K978"/>
  <c r="L978" s="1"/>
  <c r="G978"/>
  <c r="E978"/>
  <c r="M977"/>
  <c r="K977"/>
  <c r="L977" s="1"/>
  <c r="G977"/>
  <c r="E977"/>
  <c r="M976"/>
  <c r="K976"/>
  <c r="L976" s="1"/>
  <c r="G976"/>
  <c r="E976"/>
  <c r="M975"/>
  <c r="K975"/>
  <c r="L975" s="1"/>
  <c r="G975"/>
  <c r="E975"/>
  <c r="M974"/>
  <c r="K974"/>
  <c r="L974" s="1"/>
  <c r="G974"/>
  <c r="E974"/>
  <c r="M973"/>
  <c r="K973"/>
  <c r="L973" s="1"/>
  <c r="G973"/>
  <c r="E973"/>
  <c r="M972"/>
  <c r="K972"/>
  <c r="L972" s="1"/>
  <c r="G972"/>
  <c r="E972"/>
  <c r="M971"/>
  <c r="K971"/>
  <c r="L971" s="1"/>
  <c r="G971"/>
  <c r="E971"/>
  <c r="M970"/>
  <c r="K970"/>
  <c r="L970" s="1"/>
  <c r="G970"/>
  <c r="E970"/>
  <c r="M969"/>
  <c r="K969"/>
  <c r="L969" s="1"/>
  <c r="G969"/>
  <c r="E969"/>
  <c r="M968"/>
  <c r="K968"/>
  <c r="L968" s="1"/>
  <c r="G968"/>
  <c r="E968"/>
  <c r="M967"/>
  <c r="K967"/>
  <c r="L967" s="1"/>
  <c r="G967"/>
  <c r="E967"/>
  <c r="M966"/>
  <c r="K966"/>
  <c r="L966" s="1"/>
  <c r="G966"/>
  <c r="E966"/>
  <c r="M965"/>
  <c r="K965"/>
  <c r="L965" s="1"/>
  <c r="G965"/>
  <c r="E965"/>
  <c r="M964"/>
  <c r="K964"/>
  <c r="L964" s="1"/>
  <c r="G964"/>
  <c r="E964"/>
  <c r="M963"/>
  <c r="K963"/>
  <c r="L963" s="1"/>
  <c r="G963"/>
  <c r="E963"/>
  <c r="M962"/>
  <c r="K962"/>
  <c r="L962" s="1"/>
  <c r="G962"/>
  <c r="E962"/>
  <c r="M961"/>
  <c r="K961"/>
  <c r="L961" s="1"/>
  <c r="G961"/>
  <c r="E961"/>
  <c r="M960"/>
  <c r="K960"/>
  <c r="L960" s="1"/>
  <c r="G960"/>
  <c r="E960"/>
  <c r="M959"/>
  <c r="K959"/>
  <c r="L959" s="1"/>
  <c r="G959"/>
  <c r="E959"/>
  <c r="M958"/>
  <c r="K958"/>
  <c r="L958" s="1"/>
  <c r="G958"/>
  <c r="E958"/>
  <c r="M957"/>
  <c r="K957"/>
  <c r="L957" s="1"/>
  <c r="G957"/>
  <c r="E957"/>
  <c r="M956"/>
  <c r="K956"/>
  <c r="L956" s="1"/>
  <c r="G956"/>
  <c r="E956"/>
  <c r="M955"/>
  <c r="K955"/>
  <c r="L955" s="1"/>
  <c r="G955"/>
  <c r="E955"/>
  <c r="M954"/>
  <c r="K954"/>
  <c r="L954" s="1"/>
  <c r="G954"/>
  <c r="E954"/>
  <c r="M953"/>
  <c r="K953"/>
  <c r="L953" s="1"/>
  <c r="G953"/>
  <c r="E953"/>
  <c r="M952"/>
  <c r="K952"/>
  <c r="L952" s="1"/>
  <c r="G952"/>
  <c r="E952"/>
  <c r="M951"/>
  <c r="K951"/>
  <c r="L951" s="1"/>
  <c r="G951"/>
  <c r="E951"/>
  <c r="M950"/>
  <c r="K950"/>
  <c r="L950" s="1"/>
  <c r="G950"/>
  <c r="E950"/>
  <c r="M949"/>
  <c r="K949"/>
  <c r="L949" s="1"/>
  <c r="G949"/>
  <c r="E949"/>
  <c r="M948"/>
  <c r="K948"/>
  <c r="L948" s="1"/>
  <c r="G948"/>
  <c r="E948"/>
  <c r="M947"/>
  <c r="K947"/>
  <c r="L947" s="1"/>
  <c r="G947"/>
  <c r="E947"/>
  <c r="M946"/>
  <c r="K946"/>
  <c r="L946" s="1"/>
  <c r="G946"/>
  <c r="E946"/>
  <c r="M945"/>
  <c r="K945"/>
  <c r="L945" s="1"/>
  <c r="G945"/>
  <c r="E945"/>
  <c r="M944"/>
  <c r="K944"/>
  <c r="L944" s="1"/>
  <c r="G944"/>
  <c r="E944"/>
  <c r="M943"/>
  <c r="K943"/>
  <c r="L943" s="1"/>
  <c r="G943"/>
  <c r="E943"/>
  <c r="M942"/>
  <c r="K942"/>
  <c r="L942" s="1"/>
  <c r="G942"/>
  <c r="E942"/>
  <c r="M941"/>
  <c r="K941"/>
  <c r="L941" s="1"/>
  <c r="G941"/>
  <c r="E941"/>
  <c r="M940"/>
  <c r="K940"/>
  <c r="L940" s="1"/>
  <c r="G940"/>
  <c r="E940"/>
  <c r="M939"/>
  <c r="K939"/>
  <c r="L939" s="1"/>
  <c r="G939"/>
  <c r="E939"/>
  <c r="M938"/>
  <c r="K938"/>
  <c r="L938" s="1"/>
  <c r="G938"/>
  <c r="E938"/>
  <c r="M937"/>
  <c r="K937"/>
  <c r="L937" s="1"/>
  <c r="G937"/>
  <c r="E937"/>
  <c r="M936"/>
  <c r="K936"/>
  <c r="L936" s="1"/>
  <c r="G936"/>
  <c r="E936"/>
  <c r="M935"/>
  <c r="K935"/>
  <c r="L935" s="1"/>
  <c r="G935"/>
  <c r="E935"/>
  <c r="M934"/>
  <c r="K934"/>
  <c r="L934" s="1"/>
  <c r="G934"/>
  <c r="E934"/>
  <c r="M933"/>
  <c r="K933"/>
  <c r="L933" s="1"/>
  <c r="G933"/>
  <c r="E933"/>
  <c r="M932"/>
  <c r="K932"/>
  <c r="L932" s="1"/>
  <c r="G932"/>
  <c r="E932"/>
  <c r="M931"/>
  <c r="K931"/>
  <c r="L931" s="1"/>
  <c r="G931"/>
  <c r="E931"/>
  <c r="M930"/>
  <c r="K930"/>
  <c r="L930" s="1"/>
  <c r="G930"/>
  <c r="E930"/>
  <c r="M929"/>
  <c r="K929"/>
  <c r="L929" s="1"/>
  <c r="G929"/>
  <c r="E929"/>
  <c r="M928"/>
  <c r="K928"/>
  <c r="L928" s="1"/>
  <c r="G928"/>
  <c r="E928"/>
  <c r="M927"/>
  <c r="K927"/>
  <c r="L927" s="1"/>
  <c r="G927"/>
  <c r="E927"/>
  <c r="M926"/>
  <c r="K926"/>
  <c r="L926" s="1"/>
  <c r="G926"/>
  <c r="E926"/>
  <c r="M925"/>
  <c r="K925"/>
  <c r="L925" s="1"/>
  <c r="G925"/>
  <c r="E925"/>
  <c r="M924"/>
  <c r="K924"/>
  <c r="L924" s="1"/>
  <c r="G924"/>
  <c r="E924"/>
  <c r="M923"/>
  <c r="K923"/>
  <c r="L923" s="1"/>
  <c r="G923"/>
  <c r="E923"/>
  <c r="M922"/>
  <c r="K922"/>
  <c r="L922" s="1"/>
  <c r="G922"/>
  <c r="E922"/>
  <c r="M921"/>
  <c r="K921"/>
  <c r="L921" s="1"/>
  <c r="G921"/>
  <c r="E921"/>
  <c r="M920"/>
  <c r="K920"/>
  <c r="L920" s="1"/>
  <c r="G920"/>
  <c r="E920"/>
  <c r="M919"/>
  <c r="K919"/>
  <c r="L919" s="1"/>
  <c r="G919"/>
  <c r="E919"/>
  <c r="M918"/>
  <c r="K918"/>
  <c r="L918" s="1"/>
  <c r="G918"/>
  <c r="E918"/>
  <c r="M917"/>
  <c r="K917"/>
  <c r="L917" s="1"/>
  <c r="G917"/>
  <c r="E917"/>
  <c r="M916"/>
  <c r="K916"/>
  <c r="L916" s="1"/>
  <c r="G916"/>
  <c r="E916"/>
  <c r="M915"/>
  <c r="K915"/>
  <c r="L915" s="1"/>
  <c r="G915"/>
  <c r="E915"/>
  <c r="M914"/>
  <c r="K914"/>
  <c r="L914" s="1"/>
  <c r="G914"/>
  <c r="E914"/>
  <c r="M913"/>
  <c r="K913"/>
  <c r="L913" s="1"/>
  <c r="G913"/>
  <c r="E913"/>
  <c r="M912"/>
  <c r="K912"/>
  <c r="L912" s="1"/>
  <c r="G912"/>
  <c r="E912"/>
  <c r="M911"/>
  <c r="K911"/>
  <c r="L911" s="1"/>
  <c r="G911"/>
  <c r="E911"/>
  <c r="M910"/>
  <c r="K910"/>
  <c r="L910" s="1"/>
  <c r="G910"/>
  <c r="E910"/>
  <c r="M909"/>
  <c r="K909"/>
  <c r="L909" s="1"/>
  <c r="G909"/>
  <c r="E909"/>
  <c r="M908"/>
  <c r="K908"/>
  <c r="L908" s="1"/>
  <c r="G908"/>
  <c r="E908"/>
  <c r="M907"/>
  <c r="K907"/>
  <c r="L907" s="1"/>
  <c r="G907"/>
  <c r="E907"/>
  <c r="M906"/>
  <c r="K906"/>
  <c r="L906" s="1"/>
  <c r="G906"/>
  <c r="E906"/>
  <c r="M905"/>
  <c r="K905"/>
  <c r="L905" s="1"/>
  <c r="G905"/>
  <c r="E905"/>
  <c r="M904"/>
  <c r="K904"/>
  <c r="L904" s="1"/>
  <c r="G904"/>
  <c r="E904"/>
  <c r="M903"/>
  <c r="K903"/>
  <c r="L903" s="1"/>
  <c r="G903"/>
  <c r="E903"/>
  <c r="M902"/>
  <c r="K902"/>
  <c r="L902" s="1"/>
  <c r="G902"/>
  <c r="E902"/>
  <c r="M901"/>
  <c r="K901"/>
  <c r="L901" s="1"/>
  <c r="G901"/>
  <c r="E901"/>
  <c r="M900"/>
  <c r="K900"/>
  <c r="L900" s="1"/>
  <c r="G900"/>
  <c r="E900"/>
  <c r="M899"/>
  <c r="K899"/>
  <c r="L899" s="1"/>
  <c r="G899"/>
  <c r="E899"/>
  <c r="M898"/>
  <c r="K898"/>
  <c r="L898" s="1"/>
  <c r="G898"/>
  <c r="E898"/>
  <c r="M897"/>
  <c r="K897"/>
  <c r="L897" s="1"/>
  <c r="G897"/>
  <c r="E897"/>
  <c r="M896"/>
  <c r="K896"/>
  <c r="L896" s="1"/>
  <c r="G896"/>
  <c r="E896"/>
  <c r="M895"/>
  <c r="K895"/>
  <c r="L895" s="1"/>
  <c r="G895"/>
  <c r="E895"/>
  <c r="M894"/>
  <c r="K894"/>
  <c r="L894" s="1"/>
  <c r="G894"/>
  <c r="E894"/>
  <c r="M893"/>
  <c r="K893"/>
  <c r="L893" s="1"/>
  <c r="G893"/>
  <c r="E893"/>
  <c r="M892"/>
  <c r="K892"/>
  <c r="L892" s="1"/>
  <c r="G892"/>
  <c r="E892"/>
  <c r="M891"/>
  <c r="K891"/>
  <c r="L891" s="1"/>
  <c r="G891"/>
  <c r="E891"/>
  <c r="M890"/>
  <c r="K890"/>
  <c r="L890" s="1"/>
  <c r="G890"/>
  <c r="E890"/>
  <c r="M889"/>
  <c r="K889"/>
  <c r="L889" s="1"/>
  <c r="G889"/>
  <c r="E889"/>
  <c r="M888"/>
  <c r="K888"/>
  <c r="L888" s="1"/>
  <c r="G888"/>
  <c r="E888"/>
  <c r="M887"/>
  <c r="K887"/>
  <c r="L887" s="1"/>
  <c r="G887"/>
  <c r="E887"/>
  <c r="M886"/>
  <c r="K886"/>
  <c r="L886" s="1"/>
  <c r="G886"/>
  <c r="E886"/>
  <c r="M885"/>
  <c r="K885"/>
  <c r="L885" s="1"/>
  <c r="G885"/>
  <c r="E885"/>
  <c r="M884"/>
  <c r="K884"/>
  <c r="L884" s="1"/>
  <c r="G884"/>
  <c r="E884"/>
  <c r="M883"/>
  <c r="K883"/>
  <c r="L883" s="1"/>
  <c r="G883"/>
  <c r="E883"/>
  <c r="M882"/>
  <c r="K882"/>
  <c r="L882" s="1"/>
  <c r="G882"/>
  <c r="E882"/>
  <c r="M881"/>
  <c r="K881"/>
  <c r="L881" s="1"/>
  <c r="G881"/>
  <c r="E881"/>
  <c r="M880"/>
  <c r="K880"/>
  <c r="L880" s="1"/>
  <c r="G880"/>
  <c r="E880"/>
  <c r="M879"/>
  <c r="K879"/>
  <c r="L879" s="1"/>
  <c r="G879"/>
  <c r="E879"/>
  <c r="M878"/>
  <c r="K878"/>
  <c r="L878" s="1"/>
  <c r="G878"/>
  <c r="E878"/>
  <c r="M877"/>
  <c r="K877"/>
  <c r="L877" s="1"/>
  <c r="G877"/>
  <c r="E877"/>
  <c r="M876"/>
  <c r="K876"/>
  <c r="L876" s="1"/>
  <c r="G876"/>
  <c r="E876"/>
  <c r="M875"/>
  <c r="K875"/>
  <c r="L875" s="1"/>
  <c r="G875"/>
  <c r="E875"/>
  <c r="M874"/>
  <c r="K874"/>
  <c r="L874" s="1"/>
  <c r="G874"/>
  <c r="E874"/>
  <c r="M873"/>
  <c r="K873"/>
  <c r="L873" s="1"/>
  <c r="G873"/>
  <c r="E873"/>
  <c r="M872"/>
  <c r="K872"/>
  <c r="L872" s="1"/>
  <c r="G872"/>
  <c r="E872"/>
  <c r="M871"/>
  <c r="K871"/>
  <c r="L871" s="1"/>
  <c r="G871"/>
  <c r="E871"/>
  <c r="M870"/>
  <c r="K870"/>
  <c r="L870" s="1"/>
  <c r="G870"/>
  <c r="E870"/>
  <c r="M869"/>
  <c r="K869"/>
  <c r="L869" s="1"/>
  <c r="G869"/>
  <c r="E869"/>
  <c r="M868"/>
  <c r="K868"/>
  <c r="L868" s="1"/>
  <c r="G868"/>
  <c r="E868"/>
  <c r="M867"/>
  <c r="K867"/>
  <c r="L867" s="1"/>
  <c r="G867"/>
  <c r="E867"/>
  <c r="M866"/>
  <c r="K866"/>
  <c r="L866" s="1"/>
  <c r="G866"/>
  <c r="E866"/>
  <c r="M865"/>
  <c r="K865"/>
  <c r="L865" s="1"/>
  <c r="G865"/>
  <c r="E865"/>
  <c r="M864"/>
  <c r="K864"/>
  <c r="L864" s="1"/>
  <c r="G864"/>
  <c r="E864"/>
  <c r="M863"/>
  <c r="K863"/>
  <c r="L863" s="1"/>
  <c r="G863"/>
  <c r="E863"/>
  <c r="M862"/>
  <c r="K862"/>
  <c r="L862" s="1"/>
  <c r="G862"/>
  <c r="E862"/>
  <c r="M861"/>
  <c r="K861"/>
  <c r="L861" s="1"/>
  <c r="G861"/>
  <c r="E861"/>
  <c r="M860"/>
  <c r="K860"/>
  <c r="L860" s="1"/>
  <c r="G860"/>
  <c r="E860"/>
  <c r="M859"/>
  <c r="K859"/>
  <c r="L859" s="1"/>
  <c r="G859"/>
  <c r="E859"/>
  <c r="M858"/>
  <c r="K858"/>
  <c r="L858" s="1"/>
  <c r="G858"/>
  <c r="E858"/>
  <c r="M857"/>
  <c r="K857"/>
  <c r="L857" s="1"/>
  <c r="G857"/>
  <c r="E857"/>
  <c r="M856"/>
  <c r="K856"/>
  <c r="L856" s="1"/>
  <c r="G856"/>
  <c r="E856"/>
  <c r="M855"/>
  <c r="K855"/>
  <c r="L855" s="1"/>
  <c r="G855"/>
  <c r="E855"/>
  <c r="M854"/>
  <c r="K854"/>
  <c r="L854" s="1"/>
  <c r="G854"/>
  <c r="E854"/>
  <c r="M853"/>
  <c r="K853"/>
  <c r="L853" s="1"/>
  <c r="G853"/>
  <c r="E853"/>
  <c r="M852"/>
  <c r="K852"/>
  <c r="L852" s="1"/>
  <c r="G852"/>
  <c r="E852"/>
  <c r="M851"/>
  <c r="K851"/>
  <c r="L851" s="1"/>
  <c r="G851"/>
  <c r="E851"/>
  <c r="M850"/>
  <c r="K850"/>
  <c r="L850" s="1"/>
  <c r="G850"/>
  <c r="E850"/>
  <c r="M849"/>
  <c r="K849"/>
  <c r="L849" s="1"/>
  <c r="G849"/>
  <c r="E849"/>
  <c r="M848"/>
  <c r="K848"/>
  <c r="L848" s="1"/>
  <c r="G848"/>
  <c r="E848"/>
  <c r="M847"/>
  <c r="K847"/>
  <c r="L847" s="1"/>
  <c r="G847"/>
  <c r="E847"/>
  <c r="M846"/>
  <c r="K846"/>
  <c r="L846" s="1"/>
  <c r="G846"/>
  <c r="E846"/>
  <c r="M845"/>
  <c r="K845"/>
  <c r="L845" s="1"/>
  <c r="G845"/>
  <c r="E845"/>
  <c r="M844"/>
  <c r="K844"/>
  <c r="L844" s="1"/>
  <c r="G844"/>
  <c r="E844"/>
  <c r="M843"/>
  <c r="K843"/>
  <c r="L843" s="1"/>
  <c r="G843"/>
  <c r="E843"/>
  <c r="M842"/>
  <c r="K842"/>
  <c r="L842" s="1"/>
  <c r="G842"/>
  <c r="E842"/>
  <c r="M841"/>
  <c r="K841"/>
  <c r="L841" s="1"/>
  <c r="G841"/>
  <c r="E841"/>
  <c r="M840"/>
  <c r="K840"/>
  <c r="L840" s="1"/>
  <c r="G840"/>
  <c r="E840"/>
  <c r="M839"/>
  <c r="K839"/>
  <c r="L839" s="1"/>
  <c r="G839"/>
  <c r="E839"/>
  <c r="M838"/>
  <c r="K838"/>
  <c r="L838" s="1"/>
  <c r="G838"/>
  <c r="E838"/>
  <c r="M837"/>
  <c r="K837"/>
  <c r="L837" s="1"/>
  <c r="G837"/>
  <c r="E837"/>
  <c r="M836"/>
  <c r="K836"/>
  <c r="L836" s="1"/>
  <c r="G836"/>
  <c r="E836"/>
  <c r="M835"/>
  <c r="K835"/>
  <c r="L835" s="1"/>
  <c r="G835"/>
  <c r="E835"/>
  <c r="M834"/>
  <c r="K834"/>
  <c r="L834" s="1"/>
  <c r="G834"/>
  <c r="E834"/>
  <c r="M833"/>
  <c r="K833"/>
  <c r="L833" s="1"/>
  <c r="G833"/>
  <c r="E833"/>
  <c r="M832"/>
  <c r="K832"/>
  <c r="L832" s="1"/>
  <c r="G832"/>
  <c r="E832"/>
  <c r="M831"/>
  <c r="K831"/>
  <c r="L831" s="1"/>
  <c r="G831"/>
  <c r="E831"/>
  <c r="M830"/>
  <c r="K830"/>
  <c r="L830" s="1"/>
  <c r="G830"/>
  <c r="E830"/>
  <c r="M829"/>
  <c r="K829"/>
  <c r="L829" s="1"/>
  <c r="G829"/>
  <c r="E829"/>
  <c r="M828"/>
  <c r="K828"/>
  <c r="L828" s="1"/>
  <c r="G828"/>
  <c r="E828"/>
  <c r="M827"/>
  <c r="K827"/>
  <c r="L827" s="1"/>
  <c r="G827"/>
  <c r="E827"/>
  <c r="M826"/>
  <c r="K826"/>
  <c r="L826" s="1"/>
  <c r="G826"/>
  <c r="E826"/>
  <c r="M825"/>
  <c r="K825"/>
  <c r="L825" s="1"/>
  <c r="G825"/>
  <c r="E825"/>
  <c r="M824"/>
  <c r="K824"/>
  <c r="L824" s="1"/>
  <c r="G824"/>
  <c r="E824"/>
  <c r="M823"/>
  <c r="K823"/>
  <c r="L823" s="1"/>
  <c r="G823"/>
  <c r="E823"/>
  <c r="M822"/>
  <c r="K822"/>
  <c r="L822" s="1"/>
  <c r="G822"/>
  <c r="E822"/>
  <c r="M821"/>
  <c r="K821"/>
  <c r="L821" s="1"/>
  <c r="G821"/>
  <c r="E821"/>
  <c r="M820"/>
  <c r="K820"/>
  <c r="L820" s="1"/>
  <c r="G820"/>
  <c r="E820"/>
  <c r="M819"/>
  <c r="K819"/>
  <c r="L819" s="1"/>
  <c r="G819"/>
  <c r="E819"/>
  <c r="M818"/>
  <c r="K818"/>
  <c r="L818" s="1"/>
  <c r="G818"/>
  <c r="E818"/>
  <c r="M817"/>
  <c r="K817"/>
  <c r="L817" s="1"/>
  <c r="G817"/>
  <c r="E817"/>
  <c r="M816"/>
  <c r="K816"/>
  <c r="L816" s="1"/>
  <c r="G816"/>
  <c r="E816"/>
  <c r="M815"/>
  <c r="K815"/>
  <c r="L815" s="1"/>
  <c r="G815"/>
  <c r="E815"/>
  <c r="M814"/>
  <c r="K814"/>
  <c r="L814" s="1"/>
  <c r="G814"/>
  <c r="E814"/>
  <c r="M813"/>
  <c r="K813"/>
  <c r="L813" s="1"/>
  <c r="G813"/>
  <c r="E813"/>
  <c r="M812"/>
  <c r="K812"/>
  <c r="L812" s="1"/>
  <c r="G812"/>
  <c r="E812"/>
  <c r="M811"/>
  <c r="K811"/>
  <c r="L811" s="1"/>
  <c r="G811"/>
  <c r="E811"/>
  <c r="M810"/>
  <c r="K810"/>
  <c r="L810" s="1"/>
  <c r="G810"/>
  <c r="E810"/>
  <c r="M809"/>
  <c r="K809"/>
  <c r="L809" s="1"/>
  <c r="G809"/>
  <c r="E809"/>
  <c r="M808"/>
  <c r="K808"/>
  <c r="L808" s="1"/>
  <c r="G808"/>
  <c r="E808"/>
  <c r="M807"/>
  <c r="K807"/>
  <c r="L807" s="1"/>
  <c r="G807"/>
  <c r="E807"/>
  <c r="M806"/>
  <c r="K806"/>
  <c r="L806" s="1"/>
  <c r="G806"/>
  <c r="E806"/>
  <c r="M805"/>
  <c r="K805"/>
  <c r="L805" s="1"/>
  <c r="G805"/>
  <c r="E805"/>
  <c r="M804"/>
  <c r="K804"/>
  <c r="L804" s="1"/>
  <c r="G804"/>
  <c r="E804"/>
  <c r="M803"/>
  <c r="K803"/>
  <c r="L803" s="1"/>
  <c r="G803"/>
  <c r="E803"/>
  <c r="M802"/>
  <c r="K802"/>
  <c r="L802" s="1"/>
  <c r="G802"/>
  <c r="E802"/>
  <c r="M801"/>
  <c r="K801"/>
  <c r="L801" s="1"/>
  <c r="G801"/>
  <c r="E801"/>
  <c r="M800"/>
  <c r="K800"/>
  <c r="L800" s="1"/>
  <c r="G800"/>
  <c r="E800"/>
  <c r="M799"/>
  <c r="K799"/>
  <c r="L799" s="1"/>
  <c r="G799"/>
  <c r="E799"/>
  <c r="M798"/>
  <c r="K798"/>
  <c r="L798" s="1"/>
  <c r="G798"/>
  <c r="E798"/>
  <c r="M797"/>
  <c r="K797"/>
  <c r="L797" s="1"/>
  <c r="G797"/>
  <c r="E797"/>
  <c r="M796"/>
  <c r="K796"/>
  <c r="L796" s="1"/>
  <c r="G796"/>
  <c r="E796"/>
  <c r="M795"/>
  <c r="K795"/>
  <c r="L795" s="1"/>
  <c r="G795"/>
  <c r="E795"/>
  <c r="M794"/>
  <c r="K794"/>
  <c r="L794" s="1"/>
  <c r="G794"/>
  <c r="E794"/>
  <c r="M793"/>
  <c r="K793"/>
  <c r="L793" s="1"/>
  <c r="G793"/>
  <c r="E793"/>
  <c r="M792"/>
  <c r="K792"/>
  <c r="L792" s="1"/>
  <c r="G792"/>
  <c r="E792"/>
  <c r="M791"/>
  <c r="K791"/>
  <c r="L791" s="1"/>
  <c r="G791"/>
  <c r="E791"/>
  <c r="M790"/>
  <c r="K790"/>
  <c r="L790" s="1"/>
  <c r="G790"/>
  <c r="E790"/>
  <c r="M789"/>
  <c r="K789"/>
  <c r="L789" s="1"/>
  <c r="G789"/>
  <c r="E789"/>
  <c r="M788"/>
  <c r="K788"/>
  <c r="L788" s="1"/>
  <c r="G788"/>
  <c r="E788"/>
  <c r="M787"/>
  <c r="K787"/>
  <c r="L787" s="1"/>
  <c r="G787"/>
  <c r="E787"/>
  <c r="M786"/>
  <c r="K786"/>
  <c r="L786" s="1"/>
  <c r="G786"/>
  <c r="E786"/>
  <c r="M785"/>
  <c r="K785"/>
  <c r="L785" s="1"/>
  <c r="G785"/>
  <c r="E785"/>
  <c r="M784"/>
  <c r="K784"/>
  <c r="L784" s="1"/>
  <c r="G784"/>
  <c r="E784"/>
  <c r="M783"/>
  <c r="K783"/>
  <c r="L783" s="1"/>
  <c r="G783"/>
  <c r="E783"/>
  <c r="M782"/>
  <c r="K782"/>
  <c r="L782" s="1"/>
  <c r="G782"/>
  <c r="E782"/>
  <c r="M781"/>
  <c r="K781"/>
  <c r="L781" s="1"/>
  <c r="G781"/>
  <c r="E781"/>
  <c r="M780"/>
  <c r="K780"/>
  <c r="L780" s="1"/>
  <c r="G780"/>
  <c r="E780"/>
  <c r="M779"/>
  <c r="K779"/>
  <c r="L779" s="1"/>
  <c r="G779"/>
  <c r="E779"/>
  <c r="M778"/>
  <c r="K778"/>
  <c r="L778" s="1"/>
  <c r="G778"/>
  <c r="E778"/>
  <c r="M777"/>
  <c r="K777"/>
  <c r="L777" s="1"/>
  <c r="G777"/>
  <c r="E777"/>
  <c r="M776"/>
  <c r="K776"/>
  <c r="L776" s="1"/>
  <c r="G776"/>
  <c r="E776"/>
  <c r="M775"/>
  <c r="K775"/>
  <c r="L775" s="1"/>
  <c r="G775"/>
  <c r="E775"/>
  <c r="M774"/>
  <c r="K774"/>
  <c r="L774" s="1"/>
  <c r="G774"/>
  <c r="E774"/>
  <c r="M773"/>
  <c r="K773"/>
  <c r="L773" s="1"/>
  <c r="G773"/>
  <c r="E773"/>
  <c r="M772"/>
  <c r="K772"/>
  <c r="L772" s="1"/>
  <c r="G772"/>
  <c r="E772"/>
  <c r="M771"/>
  <c r="K771"/>
  <c r="L771" s="1"/>
  <c r="G771"/>
  <c r="E771"/>
  <c r="M770"/>
  <c r="K770"/>
  <c r="L770" s="1"/>
  <c r="G770"/>
  <c r="E770"/>
  <c r="M769"/>
  <c r="K769"/>
  <c r="L769" s="1"/>
  <c r="G769"/>
  <c r="E769"/>
  <c r="M768"/>
  <c r="K768"/>
  <c r="L768" s="1"/>
  <c r="G768"/>
  <c r="E768"/>
  <c r="M767"/>
  <c r="K767"/>
  <c r="L767" s="1"/>
  <c r="G767"/>
  <c r="E767"/>
  <c r="M766"/>
  <c r="K766"/>
  <c r="L766" s="1"/>
  <c r="G766"/>
  <c r="E766"/>
  <c r="M765"/>
  <c r="K765"/>
  <c r="L765" s="1"/>
  <c r="G765"/>
  <c r="E765"/>
  <c r="M764"/>
  <c r="K764"/>
  <c r="L764" s="1"/>
  <c r="G764"/>
  <c r="E764"/>
  <c r="M763"/>
  <c r="K763"/>
  <c r="L763" s="1"/>
  <c r="G763"/>
  <c r="E763"/>
  <c r="M762"/>
  <c r="K762"/>
  <c r="L762" s="1"/>
  <c r="G762"/>
  <c r="E762"/>
  <c r="M761"/>
  <c r="K761"/>
  <c r="L761" s="1"/>
  <c r="G761"/>
  <c r="E761"/>
  <c r="M760"/>
  <c r="K760"/>
  <c r="L760" s="1"/>
  <c r="G760"/>
  <c r="E760"/>
  <c r="M759"/>
  <c r="K759"/>
  <c r="L759" s="1"/>
  <c r="G759"/>
  <c r="E759"/>
  <c r="M758"/>
  <c r="K758"/>
  <c r="L758" s="1"/>
  <c r="G758"/>
  <c r="E758"/>
  <c r="M757"/>
  <c r="K757"/>
  <c r="L757" s="1"/>
  <c r="G757"/>
  <c r="E757"/>
  <c r="M756"/>
  <c r="K756"/>
  <c r="L756" s="1"/>
  <c r="G756"/>
  <c r="E756"/>
  <c r="M755"/>
  <c r="K755"/>
  <c r="L755" s="1"/>
  <c r="G755"/>
  <c r="E755"/>
  <c r="M754"/>
  <c r="K754"/>
  <c r="L754" s="1"/>
  <c r="G754"/>
  <c r="E754"/>
  <c r="M753"/>
  <c r="K753"/>
  <c r="L753" s="1"/>
  <c r="G753"/>
  <c r="E753"/>
  <c r="M752"/>
  <c r="K752"/>
  <c r="L752" s="1"/>
  <c r="G752"/>
  <c r="E752"/>
  <c r="M751"/>
  <c r="K751"/>
  <c r="L751" s="1"/>
  <c r="G751"/>
  <c r="E751"/>
  <c r="M750"/>
  <c r="K750"/>
  <c r="L750" s="1"/>
  <c r="G750"/>
  <c r="E750"/>
  <c r="M749"/>
  <c r="K749"/>
  <c r="L749" s="1"/>
  <c r="G749"/>
  <c r="E749"/>
  <c r="M748"/>
  <c r="K748"/>
  <c r="L748" s="1"/>
  <c r="G748"/>
  <c r="E748"/>
  <c r="M747"/>
  <c r="K747"/>
  <c r="L747" s="1"/>
  <c r="G747"/>
  <c r="E747"/>
  <c r="M746"/>
  <c r="K746"/>
  <c r="L746" s="1"/>
  <c r="G746"/>
  <c r="E746"/>
  <c r="M745"/>
  <c r="L745"/>
  <c r="K745"/>
  <c r="G745"/>
  <c r="E745"/>
  <c r="M744"/>
  <c r="K744"/>
  <c r="L744" s="1"/>
  <c r="N744" s="1"/>
  <c r="G744"/>
  <c r="E744"/>
  <c r="M743"/>
  <c r="K743"/>
  <c r="L743" s="1"/>
  <c r="N743" s="1"/>
  <c r="G743"/>
  <c r="E743"/>
  <c r="M742"/>
  <c r="N742" s="1"/>
  <c r="K742"/>
  <c r="L742" s="1"/>
  <c r="G742"/>
  <c r="E742"/>
  <c r="M741"/>
  <c r="L741"/>
  <c r="K741"/>
  <c r="G741"/>
  <c r="E741"/>
  <c r="M740"/>
  <c r="K740"/>
  <c r="L740" s="1"/>
  <c r="N740" s="1"/>
  <c r="G740"/>
  <c r="E740"/>
  <c r="M739"/>
  <c r="K739"/>
  <c r="L739" s="1"/>
  <c r="N739" s="1"/>
  <c r="G739"/>
  <c r="E739"/>
  <c r="M738"/>
  <c r="N738" s="1"/>
  <c r="K738"/>
  <c r="L738" s="1"/>
  <c r="G738"/>
  <c r="E738"/>
  <c r="M737"/>
  <c r="L737"/>
  <c r="K737"/>
  <c r="G737"/>
  <c r="E737"/>
  <c r="M736"/>
  <c r="K736"/>
  <c r="L736" s="1"/>
  <c r="N736" s="1"/>
  <c r="G736"/>
  <c r="E736"/>
  <c r="M735"/>
  <c r="L735"/>
  <c r="N735" s="1"/>
  <c r="K735"/>
  <c r="G735"/>
  <c r="E735"/>
  <c r="N734"/>
  <c r="M734"/>
  <c r="K734"/>
  <c r="L734" s="1"/>
  <c r="G734"/>
  <c r="E734"/>
  <c r="M733"/>
  <c r="L733"/>
  <c r="K733"/>
  <c r="G733"/>
  <c r="E733"/>
  <c r="M732"/>
  <c r="K732"/>
  <c r="L732" s="1"/>
  <c r="N732" s="1"/>
  <c r="G732"/>
  <c r="E732"/>
  <c r="M731"/>
  <c r="K731"/>
  <c r="L731" s="1"/>
  <c r="N731" s="1"/>
  <c r="G731"/>
  <c r="E731"/>
  <c r="M730"/>
  <c r="N730" s="1"/>
  <c r="K730"/>
  <c r="L730" s="1"/>
  <c r="G730"/>
  <c r="E730"/>
  <c r="M729"/>
  <c r="L729"/>
  <c r="K729"/>
  <c r="G729"/>
  <c r="E729"/>
  <c r="M728"/>
  <c r="K728"/>
  <c r="L728" s="1"/>
  <c r="N728" s="1"/>
  <c r="G728"/>
  <c r="E728"/>
  <c r="M727"/>
  <c r="K727"/>
  <c r="L727" s="1"/>
  <c r="N727" s="1"/>
  <c r="G727"/>
  <c r="E727"/>
  <c r="M726"/>
  <c r="N726" s="1"/>
  <c r="K726"/>
  <c r="L726" s="1"/>
  <c r="G726"/>
  <c r="E726"/>
  <c r="M725"/>
  <c r="L725"/>
  <c r="K725"/>
  <c r="G725"/>
  <c r="E725"/>
  <c r="M724"/>
  <c r="K724"/>
  <c r="L724" s="1"/>
  <c r="G724"/>
  <c r="E724"/>
  <c r="M723"/>
  <c r="K723"/>
  <c r="L723" s="1"/>
  <c r="G723"/>
  <c r="E723"/>
  <c r="M722"/>
  <c r="N722" s="1"/>
  <c r="K722"/>
  <c r="L722" s="1"/>
  <c r="G722"/>
  <c r="E722"/>
  <c r="M721"/>
  <c r="L721"/>
  <c r="K721"/>
  <c r="G721"/>
  <c r="E721"/>
  <c r="M720"/>
  <c r="K720"/>
  <c r="L720" s="1"/>
  <c r="N720" s="1"/>
  <c r="G720"/>
  <c r="E720"/>
  <c r="M719"/>
  <c r="L719"/>
  <c r="N719" s="1"/>
  <c r="K719"/>
  <c r="G719"/>
  <c r="E719"/>
  <c r="M718"/>
  <c r="N718" s="1"/>
  <c r="K718"/>
  <c r="L718" s="1"/>
  <c r="G718"/>
  <c r="E718"/>
  <c r="M717"/>
  <c r="K717"/>
  <c r="L717" s="1"/>
  <c r="G717"/>
  <c r="E717"/>
  <c r="M716"/>
  <c r="K716"/>
  <c r="L716" s="1"/>
  <c r="N716" s="1"/>
  <c r="G716"/>
  <c r="E716"/>
  <c r="M715"/>
  <c r="K715"/>
  <c r="L715" s="1"/>
  <c r="N715" s="1"/>
  <c r="G715"/>
  <c r="E715"/>
  <c r="M714"/>
  <c r="N714" s="1"/>
  <c r="K714"/>
  <c r="L714" s="1"/>
  <c r="G714"/>
  <c r="E714"/>
  <c r="M713"/>
  <c r="K713"/>
  <c r="L713" s="1"/>
  <c r="N713" s="1"/>
  <c r="G713"/>
  <c r="E713"/>
  <c r="M712"/>
  <c r="N712" s="1"/>
  <c r="K712"/>
  <c r="L712" s="1"/>
  <c r="G712"/>
  <c r="E712"/>
  <c r="M711"/>
  <c r="L711"/>
  <c r="K711"/>
  <c r="G711"/>
  <c r="E711"/>
  <c r="M710"/>
  <c r="K710"/>
  <c r="L710" s="1"/>
  <c r="G710"/>
  <c r="E710"/>
  <c r="M709"/>
  <c r="K709"/>
  <c r="L709" s="1"/>
  <c r="G709"/>
  <c r="E709"/>
  <c r="M708"/>
  <c r="N708" s="1"/>
  <c r="K708"/>
  <c r="L708" s="1"/>
  <c r="G708"/>
  <c r="E708"/>
  <c r="M707"/>
  <c r="K707"/>
  <c r="L707" s="1"/>
  <c r="G707"/>
  <c r="E707"/>
  <c r="M706"/>
  <c r="K706"/>
  <c r="L706" s="1"/>
  <c r="G706"/>
  <c r="E706"/>
  <c r="M705"/>
  <c r="K705"/>
  <c r="L705" s="1"/>
  <c r="G705"/>
  <c r="E705"/>
  <c r="M704"/>
  <c r="N704" s="1"/>
  <c r="K704"/>
  <c r="L704" s="1"/>
  <c r="G704"/>
  <c r="E704"/>
  <c r="M703"/>
  <c r="K703"/>
  <c r="L703" s="1"/>
  <c r="G703"/>
  <c r="E703"/>
  <c r="M702"/>
  <c r="K702"/>
  <c r="L702" s="1"/>
  <c r="G702"/>
  <c r="E702"/>
  <c r="M701"/>
  <c r="K701"/>
  <c r="L701" s="1"/>
  <c r="G701"/>
  <c r="E701"/>
  <c r="M700"/>
  <c r="N700" s="1"/>
  <c r="K700"/>
  <c r="L700" s="1"/>
  <c r="G700"/>
  <c r="E700"/>
  <c r="M699"/>
  <c r="K699"/>
  <c r="L699" s="1"/>
  <c r="G699"/>
  <c r="E699"/>
  <c r="M698"/>
  <c r="K698"/>
  <c r="L698" s="1"/>
  <c r="G698"/>
  <c r="E698"/>
  <c r="M697"/>
  <c r="K697"/>
  <c r="L697" s="1"/>
  <c r="G697"/>
  <c r="E697"/>
  <c r="M696"/>
  <c r="N696" s="1"/>
  <c r="K696"/>
  <c r="L696" s="1"/>
  <c r="G696"/>
  <c r="E696"/>
  <c r="M695"/>
  <c r="K695"/>
  <c r="L695" s="1"/>
  <c r="G695"/>
  <c r="E695"/>
  <c r="M694"/>
  <c r="K694"/>
  <c r="L694" s="1"/>
  <c r="G694"/>
  <c r="E694"/>
  <c r="M693"/>
  <c r="K693"/>
  <c r="L693" s="1"/>
  <c r="G693"/>
  <c r="E693"/>
  <c r="M692"/>
  <c r="N692" s="1"/>
  <c r="K692"/>
  <c r="L692" s="1"/>
  <c r="G692"/>
  <c r="E692"/>
  <c r="M691"/>
  <c r="K691"/>
  <c r="L691" s="1"/>
  <c r="G691"/>
  <c r="E691"/>
  <c r="M690"/>
  <c r="K690"/>
  <c r="L690" s="1"/>
  <c r="G690"/>
  <c r="E690"/>
  <c r="M689"/>
  <c r="K689"/>
  <c r="L689" s="1"/>
  <c r="G689"/>
  <c r="E689"/>
  <c r="M688"/>
  <c r="N688" s="1"/>
  <c r="K688"/>
  <c r="L688" s="1"/>
  <c r="G688"/>
  <c r="E688"/>
  <c r="M687"/>
  <c r="K687"/>
  <c r="L687" s="1"/>
  <c r="G687"/>
  <c r="E687"/>
  <c r="M686"/>
  <c r="K686"/>
  <c r="L686" s="1"/>
  <c r="G686"/>
  <c r="E686"/>
  <c r="M685"/>
  <c r="K685"/>
  <c r="L685" s="1"/>
  <c r="G685"/>
  <c r="E685"/>
  <c r="M684"/>
  <c r="N684" s="1"/>
  <c r="K684"/>
  <c r="L684" s="1"/>
  <c r="G684"/>
  <c r="E684"/>
  <c r="N683"/>
  <c r="M683"/>
  <c r="K683"/>
  <c r="L683" s="1"/>
  <c r="G683"/>
  <c r="E683"/>
  <c r="M682"/>
  <c r="L682"/>
  <c r="N682" s="1"/>
  <c r="K682"/>
  <c r="G682"/>
  <c r="E682"/>
  <c r="M681"/>
  <c r="K681"/>
  <c r="L681" s="1"/>
  <c r="N681" s="1"/>
  <c r="G681"/>
  <c r="E681"/>
  <c r="M680"/>
  <c r="L680"/>
  <c r="N680" s="1"/>
  <c r="K680"/>
  <c r="G680"/>
  <c r="E680"/>
  <c r="M679"/>
  <c r="N679" s="1"/>
  <c r="K679"/>
  <c r="L679" s="1"/>
  <c r="G679"/>
  <c r="E679"/>
  <c r="M678"/>
  <c r="L678"/>
  <c r="K678"/>
  <c r="G678"/>
  <c r="E678"/>
  <c r="M677"/>
  <c r="K677"/>
  <c r="L677" s="1"/>
  <c r="N677" s="1"/>
  <c r="G677"/>
  <c r="E677"/>
  <c r="M676"/>
  <c r="L676"/>
  <c r="N676" s="1"/>
  <c r="K676"/>
  <c r="G676"/>
  <c r="E676"/>
  <c r="M675"/>
  <c r="N675" s="1"/>
  <c r="K675"/>
  <c r="L675" s="1"/>
  <c r="G675"/>
  <c r="E675"/>
  <c r="M674"/>
  <c r="L674"/>
  <c r="N674" s="1"/>
  <c r="K674"/>
  <c r="G674"/>
  <c r="E674"/>
  <c r="M673"/>
  <c r="K673"/>
  <c r="L673" s="1"/>
  <c r="G673"/>
  <c r="E673"/>
  <c r="M672"/>
  <c r="L672"/>
  <c r="K672"/>
  <c r="G672"/>
  <c r="E672"/>
  <c r="M671"/>
  <c r="N671" s="1"/>
  <c r="K671"/>
  <c r="L671" s="1"/>
  <c r="G671"/>
  <c r="E671"/>
  <c r="M670"/>
  <c r="L670"/>
  <c r="N670" s="1"/>
  <c r="K670"/>
  <c r="G670"/>
  <c r="E670"/>
  <c r="M669"/>
  <c r="K669"/>
  <c r="L669" s="1"/>
  <c r="N669" s="1"/>
  <c r="G669"/>
  <c r="E669"/>
  <c r="M668"/>
  <c r="L668"/>
  <c r="N668" s="1"/>
  <c r="K668"/>
  <c r="G668"/>
  <c r="E668"/>
  <c r="N667"/>
  <c r="M667"/>
  <c r="K667"/>
  <c r="L667" s="1"/>
  <c r="G667"/>
  <c r="E667"/>
  <c r="M666"/>
  <c r="L666"/>
  <c r="N666" s="1"/>
  <c r="K666"/>
  <c r="G666"/>
  <c r="E666"/>
  <c r="M665"/>
  <c r="K665"/>
  <c r="L665" s="1"/>
  <c r="N665" s="1"/>
  <c r="G665"/>
  <c r="E665"/>
  <c r="M664"/>
  <c r="L664"/>
  <c r="N664" s="1"/>
  <c r="K664"/>
  <c r="G664"/>
  <c r="E664"/>
  <c r="M663"/>
  <c r="N663" s="1"/>
  <c r="K663"/>
  <c r="L663" s="1"/>
  <c r="G663"/>
  <c r="E663"/>
  <c r="M662"/>
  <c r="L662"/>
  <c r="K662"/>
  <c r="G662"/>
  <c r="E662"/>
  <c r="M661"/>
  <c r="K661"/>
  <c r="L661" s="1"/>
  <c r="N661" s="1"/>
  <c r="G661"/>
  <c r="E661"/>
  <c r="M660"/>
  <c r="L660"/>
  <c r="N660" s="1"/>
  <c r="K660"/>
  <c r="G660"/>
  <c r="E660"/>
  <c r="M659"/>
  <c r="N659" s="1"/>
  <c r="K659"/>
  <c r="L659" s="1"/>
  <c r="G659"/>
  <c r="E659"/>
  <c r="M658"/>
  <c r="L658"/>
  <c r="N658" s="1"/>
  <c r="K658"/>
  <c r="G658"/>
  <c r="E658"/>
  <c r="M657"/>
  <c r="K657"/>
  <c r="L657" s="1"/>
  <c r="G657"/>
  <c r="E657"/>
  <c r="M656"/>
  <c r="L656"/>
  <c r="K656"/>
  <c r="G656"/>
  <c r="E656"/>
  <c r="M655"/>
  <c r="N655" s="1"/>
  <c r="K655"/>
  <c r="L655" s="1"/>
  <c r="G655"/>
  <c r="E655"/>
  <c r="M654"/>
  <c r="L654"/>
  <c r="N654" s="1"/>
  <c r="K654"/>
  <c r="G654"/>
  <c r="E654"/>
  <c r="M653"/>
  <c r="K653"/>
  <c r="L653" s="1"/>
  <c r="N653" s="1"/>
  <c r="G653"/>
  <c r="E653"/>
  <c r="M652"/>
  <c r="L652"/>
  <c r="N652" s="1"/>
  <c r="K652"/>
  <c r="G652"/>
  <c r="E652"/>
  <c r="N651"/>
  <c r="M651"/>
  <c r="K651"/>
  <c r="L651" s="1"/>
  <c r="G651"/>
  <c r="E651"/>
  <c r="M650"/>
  <c r="L650"/>
  <c r="N650" s="1"/>
  <c r="K650"/>
  <c r="G650"/>
  <c r="E650"/>
  <c r="M649"/>
  <c r="K649"/>
  <c r="L649" s="1"/>
  <c r="N649" s="1"/>
  <c r="G649"/>
  <c r="E649"/>
  <c r="M648"/>
  <c r="L648"/>
  <c r="N648" s="1"/>
  <c r="K648"/>
  <c r="G648"/>
  <c r="E648"/>
  <c r="M647"/>
  <c r="N647" s="1"/>
  <c r="K647"/>
  <c r="L647" s="1"/>
  <c r="G647"/>
  <c r="E647"/>
  <c r="M646"/>
  <c r="L646"/>
  <c r="K646"/>
  <c r="G646"/>
  <c r="E646"/>
  <c r="M645"/>
  <c r="K645"/>
  <c r="L645" s="1"/>
  <c r="N645" s="1"/>
  <c r="G645"/>
  <c r="E645"/>
  <c r="M644"/>
  <c r="L644"/>
  <c r="N644" s="1"/>
  <c r="K644"/>
  <c r="G644"/>
  <c r="E644"/>
  <c r="M643"/>
  <c r="N643" s="1"/>
  <c r="K643"/>
  <c r="L643" s="1"/>
  <c r="G643"/>
  <c r="E643"/>
  <c r="M642"/>
  <c r="L642"/>
  <c r="N642" s="1"/>
  <c r="K642"/>
  <c r="G642"/>
  <c r="E642"/>
  <c r="M641"/>
  <c r="K641"/>
  <c r="L641" s="1"/>
  <c r="G641"/>
  <c r="E641"/>
  <c r="M640"/>
  <c r="L640"/>
  <c r="K640"/>
  <c r="G640"/>
  <c r="E640"/>
  <c r="M639"/>
  <c r="N639" s="1"/>
  <c r="K639"/>
  <c r="L639" s="1"/>
  <c r="G639"/>
  <c r="E639"/>
  <c r="M638"/>
  <c r="L638"/>
  <c r="N638" s="1"/>
  <c r="K638"/>
  <c r="G638"/>
  <c r="E638"/>
  <c r="M637"/>
  <c r="K637"/>
  <c r="L637" s="1"/>
  <c r="N637" s="1"/>
  <c r="G637"/>
  <c r="E637"/>
  <c r="M636"/>
  <c r="L636"/>
  <c r="N636" s="1"/>
  <c r="K636"/>
  <c r="G636"/>
  <c r="E636"/>
  <c r="N635"/>
  <c r="M635"/>
  <c r="K635"/>
  <c r="L635" s="1"/>
  <c r="G635"/>
  <c r="E635"/>
  <c r="M634"/>
  <c r="L634"/>
  <c r="K634"/>
  <c r="G634"/>
  <c r="E634"/>
  <c r="M633"/>
  <c r="K633"/>
  <c r="L633" s="1"/>
  <c r="N633" s="1"/>
  <c r="G633"/>
  <c r="E633"/>
  <c r="M632"/>
  <c r="L632"/>
  <c r="N632" s="1"/>
  <c r="K632"/>
  <c r="G632"/>
  <c r="E632"/>
  <c r="M631"/>
  <c r="N631" s="1"/>
  <c r="K631"/>
  <c r="L631" s="1"/>
  <c r="G631"/>
  <c r="E631"/>
  <c r="M630"/>
  <c r="L630"/>
  <c r="K630"/>
  <c r="G630"/>
  <c r="E630"/>
  <c r="M629"/>
  <c r="K629"/>
  <c r="L629" s="1"/>
  <c r="N629" s="1"/>
  <c r="G629"/>
  <c r="E629"/>
  <c r="M628"/>
  <c r="L628"/>
  <c r="N628" s="1"/>
  <c r="K628"/>
  <c r="G628"/>
  <c r="E628"/>
  <c r="M627"/>
  <c r="N627" s="1"/>
  <c r="K627"/>
  <c r="L627" s="1"/>
  <c r="G627"/>
  <c r="E627"/>
  <c r="M626"/>
  <c r="L626"/>
  <c r="K626"/>
  <c r="G626"/>
  <c r="E626"/>
  <c r="M625"/>
  <c r="K625"/>
  <c r="L625" s="1"/>
  <c r="G625"/>
  <c r="E625"/>
  <c r="M624"/>
  <c r="L624"/>
  <c r="K624"/>
  <c r="G624"/>
  <c r="E624"/>
  <c r="M623"/>
  <c r="N623" s="1"/>
  <c r="K623"/>
  <c r="L623" s="1"/>
  <c r="G623"/>
  <c r="E623"/>
  <c r="M622"/>
  <c r="L622"/>
  <c r="K622"/>
  <c r="G622"/>
  <c r="E622"/>
  <c r="M621"/>
  <c r="K621"/>
  <c r="L621" s="1"/>
  <c r="N621" s="1"/>
  <c r="G621"/>
  <c r="E621"/>
  <c r="M620"/>
  <c r="L620"/>
  <c r="N620" s="1"/>
  <c r="K620"/>
  <c r="G620"/>
  <c r="E620"/>
  <c r="N619"/>
  <c r="M619"/>
  <c r="K619"/>
  <c r="L619" s="1"/>
  <c r="G619"/>
  <c r="E619"/>
  <c r="M618"/>
  <c r="L618"/>
  <c r="K618"/>
  <c r="G618"/>
  <c r="E618"/>
  <c r="M617"/>
  <c r="K617"/>
  <c r="L617" s="1"/>
  <c r="N617" s="1"/>
  <c r="G617"/>
  <c r="E617"/>
  <c r="M616"/>
  <c r="L616"/>
  <c r="N616" s="1"/>
  <c r="K616"/>
  <c r="G616"/>
  <c r="E616"/>
  <c r="M615"/>
  <c r="N615" s="1"/>
  <c r="K615"/>
  <c r="L615" s="1"/>
  <c r="G615"/>
  <c r="E615"/>
  <c r="M614"/>
  <c r="L614"/>
  <c r="K614"/>
  <c r="G614"/>
  <c r="E614"/>
  <c r="M613"/>
  <c r="K613"/>
  <c r="L613" s="1"/>
  <c r="N613" s="1"/>
  <c r="G613"/>
  <c r="E613"/>
  <c r="M612"/>
  <c r="L612"/>
  <c r="N612" s="1"/>
  <c r="K612"/>
  <c r="G612"/>
  <c r="E612"/>
  <c r="M611"/>
  <c r="N611" s="1"/>
  <c r="K611"/>
  <c r="L611" s="1"/>
  <c r="G611"/>
  <c r="E611"/>
  <c r="M610"/>
  <c r="L610"/>
  <c r="K610"/>
  <c r="G610"/>
  <c r="E610"/>
  <c r="M609"/>
  <c r="K609"/>
  <c r="L609" s="1"/>
  <c r="G609"/>
  <c r="E609"/>
  <c r="M608"/>
  <c r="L608"/>
  <c r="K608"/>
  <c r="G608"/>
  <c r="E608"/>
  <c r="M607"/>
  <c r="N607" s="1"/>
  <c r="K607"/>
  <c r="L607" s="1"/>
  <c r="G607"/>
  <c r="E607"/>
  <c r="M606"/>
  <c r="L606"/>
  <c r="K606"/>
  <c r="G606"/>
  <c r="E606"/>
  <c r="M605"/>
  <c r="K605"/>
  <c r="L605" s="1"/>
  <c r="N605" s="1"/>
  <c r="G605"/>
  <c r="E605"/>
  <c r="M604"/>
  <c r="L604"/>
  <c r="N604" s="1"/>
  <c r="K604"/>
  <c r="G604"/>
  <c r="E604"/>
  <c r="N603"/>
  <c r="M603"/>
  <c r="K603"/>
  <c r="L603" s="1"/>
  <c r="G603"/>
  <c r="E603"/>
  <c r="M602"/>
  <c r="L602"/>
  <c r="K602"/>
  <c r="G602"/>
  <c r="E602"/>
  <c r="M601"/>
  <c r="K601"/>
  <c r="L601" s="1"/>
  <c r="N601" s="1"/>
  <c r="G601"/>
  <c r="E601"/>
  <c r="M600"/>
  <c r="L600"/>
  <c r="N600" s="1"/>
  <c r="K600"/>
  <c r="G600"/>
  <c r="E600"/>
  <c r="M599"/>
  <c r="N599" s="1"/>
  <c r="K599"/>
  <c r="L599" s="1"/>
  <c r="G599"/>
  <c r="E599"/>
  <c r="M598"/>
  <c r="L598"/>
  <c r="K598"/>
  <c r="G598"/>
  <c r="E598"/>
  <c r="M597"/>
  <c r="K597"/>
  <c r="L597" s="1"/>
  <c r="N597" s="1"/>
  <c r="G597"/>
  <c r="E597"/>
  <c r="M596"/>
  <c r="L596"/>
  <c r="N596" s="1"/>
  <c r="K596"/>
  <c r="G596"/>
  <c r="E596"/>
  <c r="M595"/>
  <c r="N595" s="1"/>
  <c r="K595"/>
  <c r="L595" s="1"/>
  <c r="G595"/>
  <c r="E595"/>
  <c r="M594"/>
  <c r="K594"/>
  <c r="L594" s="1"/>
  <c r="N594" s="1"/>
  <c r="G594"/>
  <c r="E594"/>
  <c r="M593"/>
  <c r="K593"/>
  <c r="L593" s="1"/>
  <c r="N593" s="1"/>
  <c r="G593"/>
  <c r="E593"/>
  <c r="M592"/>
  <c r="L592"/>
  <c r="N592" s="1"/>
  <c r="K592"/>
  <c r="G592"/>
  <c r="E592"/>
  <c r="N591"/>
  <c r="M591"/>
  <c r="K591"/>
  <c r="L591" s="1"/>
  <c r="G591"/>
  <c r="E591"/>
  <c r="M590"/>
  <c r="K590"/>
  <c r="L590" s="1"/>
  <c r="N590" s="1"/>
  <c r="G590"/>
  <c r="E590"/>
  <c r="M589"/>
  <c r="K589"/>
  <c r="L589" s="1"/>
  <c r="N589" s="1"/>
  <c r="G589"/>
  <c r="E589"/>
  <c r="M588"/>
  <c r="L588"/>
  <c r="N588" s="1"/>
  <c r="K588"/>
  <c r="G588"/>
  <c r="E588"/>
  <c r="M587"/>
  <c r="N587" s="1"/>
  <c r="K587"/>
  <c r="L587" s="1"/>
  <c r="G587"/>
  <c r="E587"/>
  <c r="M586"/>
  <c r="K586"/>
  <c r="L586" s="1"/>
  <c r="N586" s="1"/>
  <c r="G586"/>
  <c r="E586"/>
  <c r="M585"/>
  <c r="K585"/>
  <c r="L585" s="1"/>
  <c r="N585" s="1"/>
  <c r="G585"/>
  <c r="E585"/>
  <c r="M584"/>
  <c r="L584"/>
  <c r="N584" s="1"/>
  <c r="K584"/>
  <c r="G584"/>
  <c r="E584"/>
  <c r="N583"/>
  <c r="M583"/>
  <c r="K583"/>
  <c r="L583" s="1"/>
  <c r="G583"/>
  <c r="E583"/>
  <c r="M582"/>
  <c r="K582"/>
  <c r="L582" s="1"/>
  <c r="N582" s="1"/>
  <c r="G582"/>
  <c r="E582"/>
  <c r="M581"/>
  <c r="K581"/>
  <c r="L581" s="1"/>
  <c r="N581" s="1"/>
  <c r="G581"/>
  <c r="E581"/>
  <c r="M580"/>
  <c r="L580"/>
  <c r="N580" s="1"/>
  <c r="K580"/>
  <c r="G580"/>
  <c r="E580"/>
  <c r="M579"/>
  <c r="N579" s="1"/>
  <c r="K579"/>
  <c r="L579" s="1"/>
  <c r="G579"/>
  <c r="E579"/>
  <c r="M578"/>
  <c r="K578"/>
  <c r="L578" s="1"/>
  <c r="N578" s="1"/>
  <c r="G578"/>
  <c r="E578"/>
  <c r="M577"/>
  <c r="K577"/>
  <c r="L577" s="1"/>
  <c r="N577" s="1"/>
  <c r="G577"/>
  <c r="E577"/>
  <c r="M576"/>
  <c r="L576"/>
  <c r="N576" s="1"/>
  <c r="K576"/>
  <c r="G576"/>
  <c r="E576"/>
  <c r="N575"/>
  <c r="M575"/>
  <c r="K575"/>
  <c r="L575" s="1"/>
  <c r="G575"/>
  <c r="E575"/>
  <c r="M574"/>
  <c r="K574"/>
  <c r="L574" s="1"/>
  <c r="N574" s="1"/>
  <c r="G574"/>
  <c r="E574"/>
  <c r="M573"/>
  <c r="K573"/>
  <c r="L573" s="1"/>
  <c r="N573" s="1"/>
  <c r="G573"/>
  <c r="E573"/>
  <c r="M572"/>
  <c r="L572"/>
  <c r="N572" s="1"/>
  <c r="K572"/>
  <c r="G572"/>
  <c r="E572"/>
  <c r="M571"/>
  <c r="N571" s="1"/>
  <c r="K571"/>
  <c r="L571" s="1"/>
  <c r="G571"/>
  <c r="E571"/>
  <c r="M570"/>
  <c r="K570"/>
  <c r="L570" s="1"/>
  <c r="N570" s="1"/>
  <c r="G570"/>
  <c r="E570"/>
  <c r="M569"/>
  <c r="K569"/>
  <c r="L569" s="1"/>
  <c r="N569" s="1"/>
  <c r="G569"/>
  <c r="E569"/>
  <c r="M568"/>
  <c r="L568"/>
  <c r="N568" s="1"/>
  <c r="K568"/>
  <c r="G568"/>
  <c r="E568"/>
  <c r="N567"/>
  <c r="M567"/>
  <c r="K567"/>
  <c r="L567" s="1"/>
  <c r="G567"/>
  <c r="E567"/>
  <c r="M566"/>
  <c r="K566"/>
  <c r="L566" s="1"/>
  <c r="N566" s="1"/>
  <c r="G566"/>
  <c r="E566"/>
  <c r="M565"/>
  <c r="K565"/>
  <c r="L565" s="1"/>
  <c r="N565" s="1"/>
  <c r="G565"/>
  <c r="E565"/>
  <c r="M564"/>
  <c r="L564"/>
  <c r="N564" s="1"/>
  <c r="K564"/>
  <c r="G564"/>
  <c r="E564"/>
  <c r="M563"/>
  <c r="N563" s="1"/>
  <c r="K563"/>
  <c r="L563" s="1"/>
  <c r="G563"/>
  <c r="E563"/>
  <c r="M562"/>
  <c r="K562"/>
  <c r="L562" s="1"/>
  <c r="N562" s="1"/>
  <c r="G562"/>
  <c r="E562"/>
  <c r="M561"/>
  <c r="K561"/>
  <c r="L561" s="1"/>
  <c r="N561" s="1"/>
  <c r="G561"/>
  <c r="E561"/>
  <c r="M560"/>
  <c r="L560"/>
  <c r="N560" s="1"/>
  <c r="K560"/>
  <c r="G560"/>
  <c r="E560"/>
  <c r="N559"/>
  <c r="M559"/>
  <c r="K559"/>
  <c r="L559" s="1"/>
  <c r="G559"/>
  <c r="E559"/>
  <c r="M558"/>
  <c r="K558"/>
  <c r="L558" s="1"/>
  <c r="G558"/>
  <c r="E558"/>
  <c r="M557"/>
  <c r="K557"/>
  <c r="L557" s="1"/>
  <c r="G557"/>
  <c r="E557"/>
  <c r="M556"/>
  <c r="L556"/>
  <c r="K556"/>
  <c r="G556"/>
  <c r="E556"/>
  <c r="M555"/>
  <c r="N555" s="1"/>
  <c r="K555"/>
  <c r="L555" s="1"/>
  <c r="G555"/>
  <c r="E555"/>
  <c r="M554"/>
  <c r="K554"/>
  <c r="L554" s="1"/>
  <c r="N554" s="1"/>
  <c r="G554"/>
  <c r="E554"/>
  <c r="M553"/>
  <c r="K553"/>
  <c r="L553" s="1"/>
  <c r="N553" s="1"/>
  <c r="G553"/>
  <c r="E553"/>
  <c r="M552"/>
  <c r="L552"/>
  <c r="N552" s="1"/>
  <c r="K552"/>
  <c r="G552"/>
  <c r="E552"/>
  <c r="N551"/>
  <c r="M551"/>
  <c r="K551"/>
  <c r="L551" s="1"/>
  <c r="G551"/>
  <c r="E551"/>
  <c r="M550"/>
  <c r="K550"/>
  <c r="L550" s="1"/>
  <c r="G550"/>
  <c r="E550"/>
  <c r="M549"/>
  <c r="K549"/>
  <c r="L549" s="1"/>
  <c r="G549"/>
  <c r="E549"/>
  <c r="M548"/>
  <c r="L548"/>
  <c r="K548"/>
  <c r="G548"/>
  <c r="E548"/>
  <c r="M547"/>
  <c r="N547" s="1"/>
  <c r="K547"/>
  <c r="L547" s="1"/>
  <c r="G547"/>
  <c r="E547"/>
  <c r="M546"/>
  <c r="K546"/>
  <c r="L546" s="1"/>
  <c r="N546" s="1"/>
  <c r="G546"/>
  <c r="E546"/>
  <c r="M545"/>
  <c r="K545"/>
  <c r="L545" s="1"/>
  <c r="N545" s="1"/>
  <c r="G545"/>
  <c r="E545"/>
  <c r="M544"/>
  <c r="L544"/>
  <c r="N544" s="1"/>
  <c r="K544"/>
  <c r="G544"/>
  <c r="E544"/>
  <c r="N543"/>
  <c r="M543"/>
  <c r="K543"/>
  <c r="L543" s="1"/>
  <c r="G543"/>
  <c r="E543"/>
  <c r="M542"/>
  <c r="K542"/>
  <c r="L542" s="1"/>
  <c r="G542"/>
  <c r="E542"/>
  <c r="M541"/>
  <c r="K541"/>
  <c r="L541" s="1"/>
  <c r="G541"/>
  <c r="E541"/>
  <c r="M540"/>
  <c r="L540"/>
  <c r="K540"/>
  <c r="G540"/>
  <c r="E540"/>
  <c r="M539"/>
  <c r="N539" s="1"/>
  <c r="K539"/>
  <c r="L539" s="1"/>
  <c r="G539"/>
  <c r="E539"/>
  <c r="M538"/>
  <c r="K538"/>
  <c r="L538" s="1"/>
  <c r="N538" s="1"/>
  <c r="G538"/>
  <c r="E538"/>
  <c r="M537"/>
  <c r="K537"/>
  <c r="L537" s="1"/>
  <c r="N537" s="1"/>
  <c r="G537"/>
  <c r="E537"/>
  <c r="M536"/>
  <c r="L536"/>
  <c r="N536" s="1"/>
  <c r="K536"/>
  <c r="G536"/>
  <c r="E536"/>
  <c r="N535"/>
  <c r="M535"/>
  <c r="K535"/>
  <c r="L535" s="1"/>
  <c r="G535"/>
  <c r="E535"/>
  <c r="M534"/>
  <c r="K534"/>
  <c r="L534" s="1"/>
  <c r="G534"/>
  <c r="E534"/>
  <c r="M533"/>
  <c r="K533"/>
  <c r="L533" s="1"/>
  <c r="G533"/>
  <c r="E533"/>
  <c r="M532"/>
  <c r="L532"/>
  <c r="K532"/>
  <c r="G532"/>
  <c r="E532"/>
  <c r="M531"/>
  <c r="N531" s="1"/>
  <c r="K531"/>
  <c r="L531" s="1"/>
  <c r="G531"/>
  <c r="E531"/>
  <c r="M530"/>
  <c r="K530"/>
  <c r="L530" s="1"/>
  <c r="N530" s="1"/>
  <c r="G530"/>
  <c r="E530"/>
  <c r="M529"/>
  <c r="K529"/>
  <c r="L529" s="1"/>
  <c r="N529" s="1"/>
  <c r="G529"/>
  <c r="E529"/>
  <c r="M528"/>
  <c r="L528"/>
  <c r="N528" s="1"/>
  <c r="K528"/>
  <c r="G528"/>
  <c r="E528"/>
  <c r="N527"/>
  <c r="M527"/>
  <c r="K527"/>
  <c r="L527" s="1"/>
  <c r="G527"/>
  <c r="E527"/>
  <c r="M526"/>
  <c r="K526"/>
  <c r="L526" s="1"/>
  <c r="G526"/>
  <c r="E526"/>
  <c r="M525"/>
  <c r="K525"/>
  <c r="L525" s="1"/>
  <c r="G525"/>
  <c r="E525"/>
  <c r="M524"/>
  <c r="L524"/>
  <c r="K524"/>
  <c r="G524"/>
  <c r="E524"/>
  <c r="M523"/>
  <c r="N523" s="1"/>
  <c r="K523"/>
  <c r="L523" s="1"/>
  <c r="G523"/>
  <c r="E523"/>
  <c r="M522"/>
  <c r="K522"/>
  <c r="L522" s="1"/>
  <c r="N522" s="1"/>
  <c r="G522"/>
  <c r="E522"/>
  <c r="M521"/>
  <c r="K521"/>
  <c r="L521" s="1"/>
  <c r="N521" s="1"/>
  <c r="G521"/>
  <c r="E521"/>
  <c r="M520"/>
  <c r="L520"/>
  <c r="N520" s="1"/>
  <c r="K520"/>
  <c r="G520"/>
  <c r="E520"/>
  <c r="N519"/>
  <c r="M519"/>
  <c r="K519"/>
  <c r="L519" s="1"/>
  <c r="G519"/>
  <c r="E519"/>
  <c r="M518"/>
  <c r="K518"/>
  <c r="L518" s="1"/>
  <c r="G518"/>
  <c r="E518"/>
  <c r="M517"/>
  <c r="K517"/>
  <c r="L517" s="1"/>
  <c r="G517"/>
  <c r="E517"/>
  <c r="M516"/>
  <c r="L516"/>
  <c r="K516"/>
  <c r="G516"/>
  <c r="E516"/>
  <c r="M515"/>
  <c r="N515" s="1"/>
  <c r="K515"/>
  <c r="L515" s="1"/>
  <c r="G515"/>
  <c r="E515"/>
  <c r="M514"/>
  <c r="K514"/>
  <c r="L514" s="1"/>
  <c r="N514" s="1"/>
  <c r="G514"/>
  <c r="E514"/>
  <c r="M513"/>
  <c r="K513"/>
  <c r="L513" s="1"/>
  <c r="N513" s="1"/>
  <c r="G513"/>
  <c r="E513"/>
  <c r="M512"/>
  <c r="L512"/>
  <c r="N512" s="1"/>
  <c r="K512"/>
  <c r="G512"/>
  <c r="E512"/>
  <c r="N511"/>
  <c r="M511"/>
  <c r="K511"/>
  <c r="L511" s="1"/>
  <c r="G511"/>
  <c r="E511"/>
  <c r="M510"/>
  <c r="K510"/>
  <c r="L510" s="1"/>
  <c r="G510"/>
  <c r="E510"/>
  <c r="M509"/>
  <c r="K509"/>
  <c r="L509" s="1"/>
  <c r="G509"/>
  <c r="E509"/>
  <c r="M508"/>
  <c r="L508"/>
  <c r="K508"/>
  <c r="G508"/>
  <c r="E508"/>
  <c r="M507"/>
  <c r="N507" s="1"/>
  <c r="K507"/>
  <c r="L507" s="1"/>
  <c r="G507"/>
  <c r="E507"/>
  <c r="M506"/>
  <c r="K506"/>
  <c r="L506" s="1"/>
  <c r="N506" s="1"/>
  <c r="G506"/>
  <c r="E506"/>
  <c r="M505"/>
  <c r="K505"/>
  <c r="L505" s="1"/>
  <c r="N505" s="1"/>
  <c r="G505"/>
  <c r="E505"/>
  <c r="M504"/>
  <c r="L504"/>
  <c r="N504" s="1"/>
  <c r="K504"/>
  <c r="G504"/>
  <c r="E504"/>
  <c r="N503"/>
  <c r="M503"/>
  <c r="K503"/>
  <c r="L503" s="1"/>
  <c r="G503"/>
  <c r="E503"/>
  <c r="M502"/>
  <c r="K502"/>
  <c r="L502" s="1"/>
  <c r="G502"/>
  <c r="E502"/>
  <c r="M501"/>
  <c r="K501"/>
  <c r="L501" s="1"/>
  <c r="G501"/>
  <c r="E501"/>
  <c r="M500"/>
  <c r="L500"/>
  <c r="K500"/>
  <c r="G500"/>
  <c r="E500"/>
  <c r="M499"/>
  <c r="N499" s="1"/>
  <c r="K499"/>
  <c r="L499" s="1"/>
  <c r="G499"/>
  <c r="E499"/>
  <c r="M498"/>
  <c r="K498"/>
  <c r="L498" s="1"/>
  <c r="N498" s="1"/>
  <c r="G498"/>
  <c r="E498"/>
  <c r="M497"/>
  <c r="K497"/>
  <c r="L497" s="1"/>
  <c r="N497" s="1"/>
  <c r="G497"/>
  <c r="E497"/>
  <c r="M496"/>
  <c r="L496"/>
  <c r="N496" s="1"/>
  <c r="K496"/>
  <c r="G496"/>
  <c r="E496"/>
  <c r="N495"/>
  <c r="M495"/>
  <c r="K495"/>
  <c r="L495" s="1"/>
  <c r="G495"/>
  <c r="E495"/>
  <c r="M494"/>
  <c r="K494"/>
  <c r="L494" s="1"/>
  <c r="G494"/>
  <c r="E494"/>
  <c r="M493"/>
  <c r="K493"/>
  <c r="L493" s="1"/>
  <c r="G493"/>
  <c r="E493"/>
  <c r="M492"/>
  <c r="L492"/>
  <c r="K492"/>
  <c r="G492"/>
  <c r="E492"/>
  <c r="M491"/>
  <c r="N491" s="1"/>
  <c r="K491"/>
  <c r="L491" s="1"/>
  <c r="G491"/>
  <c r="E491"/>
  <c r="M490"/>
  <c r="K490"/>
  <c r="L490" s="1"/>
  <c r="N490" s="1"/>
  <c r="G490"/>
  <c r="E490"/>
  <c r="M489"/>
  <c r="K489"/>
  <c r="L489" s="1"/>
  <c r="N489" s="1"/>
  <c r="G489"/>
  <c r="E489"/>
  <c r="M488"/>
  <c r="L488"/>
  <c r="N488" s="1"/>
  <c r="K488"/>
  <c r="G488"/>
  <c r="E488"/>
  <c r="N487"/>
  <c r="M487"/>
  <c r="K487"/>
  <c r="L487" s="1"/>
  <c r="G487"/>
  <c r="E487"/>
  <c r="M486"/>
  <c r="K486"/>
  <c r="L486" s="1"/>
  <c r="G486"/>
  <c r="E486"/>
  <c r="M485"/>
  <c r="K485"/>
  <c r="L485" s="1"/>
  <c r="G485"/>
  <c r="E485"/>
  <c r="M484"/>
  <c r="L484"/>
  <c r="K484"/>
  <c r="G484"/>
  <c r="E484"/>
  <c r="M483"/>
  <c r="N483" s="1"/>
  <c r="K483"/>
  <c r="L483" s="1"/>
  <c r="G483"/>
  <c r="E483"/>
  <c r="M482"/>
  <c r="K482"/>
  <c r="L482" s="1"/>
  <c r="N482" s="1"/>
  <c r="G482"/>
  <c r="E482"/>
  <c r="M481"/>
  <c r="K481"/>
  <c r="L481" s="1"/>
  <c r="N481" s="1"/>
  <c r="G481"/>
  <c r="E481"/>
  <c r="M480"/>
  <c r="L480"/>
  <c r="N480" s="1"/>
  <c r="K480"/>
  <c r="G480"/>
  <c r="E480"/>
  <c r="N479"/>
  <c r="M479"/>
  <c r="K479"/>
  <c r="L479" s="1"/>
  <c r="G479"/>
  <c r="E479"/>
  <c r="M478"/>
  <c r="K478"/>
  <c r="L478" s="1"/>
  <c r="G478"/>
  <c r="E478"/>
  <c r="M477"/>
  <c r="K477"/>
  <c r="L477" s="1"/>
  <c r="G477"/>
  <c r="E477"/>
  <c r="M476"/>
  <c r="L476"/>
  <c r="K476"/>
  <c r="G476"/>
  <c r="E476"/>
  <c r="M475"/>
  <c r="N475" s="1"/>
  <c r="K475"/>
  <c r="L475" s="1"/>
  <c r="G475"/>
  <c r="E475"/>
  <c r="M474"/>
  <c r="K474"/>
  <c r="L474" s="1"/>
  <c r="N474" s="1"/>
  <c r="G474"/>
  <c r="E474"/>
  <c r="M473"/>
  <c r="K473"/>
  <c r="L473" s="1"/>
  <c r="N473" s="1"/>
  <c r="G473"/>
  <c r="E473"/>
  <c r="M472"/>
  <c r="L472"/>
  <c r="N472" s="1"/>
  <c r="K472"/>
  <c r="G472"/>
  <c r="E472"/>
  <c r="N471"/>
  <c r="M471"/>
  <c r="K471"/>
  <c r="L471" s="1"/>
  <c r="G471"/>
  <c r="E471"/>
  <c r="M470"/>
  <c r="K470"/>
  <c r="L470" s="1"/>
  <c r="G470"/>
  <c r="E470"/>
  <c r="M469"/>
  <c r="K469"/>
  <c r="L469" s="1"/>
  <c r="G469"/>
  <c r="E469"/>
  <c r="M468"/>
  <c r="L468"/>
  <c r="K468"/>
  <c r="G468"/>
  <c r="E468"/>
  <c r="M467"/>
  <c r="N467" s="1"/>
  <c r="K467"/>
  <c r="L467" s="1"/>
  <c r="G467"/>
  <c r="E467"/>
  <c r="M466"/>
  <c r="K466"/>
  <c r="L466" s="1"/>
  <c r="N466" s="1"/>
  <c r="G466"/>
  <c r="E466"/>
  <c r="M465"/>
  <c r="K465"/>
  <c r="L465" s="1"/>
  <c r="N465" s="1"/>
  <c r="G465"/>
  <c r="E465"/>
  <c r="M464"/>
  <c r="L464"/>
  <c r="N464" s="1"/>
  <c r="K464"/>
  <c r="G464"/>
  <c r="E464"/>
  <c r="N463"/>
  <c r="M463"/>
  <c r="K463"/>
  <c r="L463" s="1"/>
  <c r="G463"/>
  <c r="E463"/>
  <c r="M462"/>
  <c r="K462"/>
  <c r="L462" s="1"/>
  <c r="G462"/>
  <c r="E462"/>
  <c r="M461"/>
  <c r="K461"/>
  <c r="L461" s="1"/>
  <c r="G461"/>
  <c r="E461"/>
  <c r="M460"/>
  <c r="L460"/>
  <c r="K460"/>
  <c r="G460"/>
  <c r="E460"/>
  <c r="M459"/>
  <c r="N459" s="1"/>
  <c r="K459"/>
  <c r="L459" s="1"/>
  <c r="G459"/>
  <c r="E459"/>
  <c r="M458"/>
  <c r="K458"/>
  <c r="L458" s="1"/>
  <c r="N458" s="1"/>
  <c r="G458"/>
  <c r="E458"/>
  <c r="M457"/>
  <c r="K457"/>
  <c r="L457" s="1"/>
  <c r="N457" s="1"/>
  <c r="G457"/>
  <c r="E457"/>
  <c r="M456"/>
  <c r="L456"/>
  <c r="N456" s="1"/>
  <c r="K456"/>
  <c r="G456"/>
  <c r="E456"/>
  <c r="N455"/>
  <c r="M455"/>
  <c r="K455"/>
  <c r="L455" s="1"/>
  <c r="G455"/>
  <c r="E455"/>
  <c r="M454"/>
  <c r="K454"/>
  <c r="L454" s="1"/>
  <c r="G454"/>
  <c r="E454"/>
  <c r="M453"/>
  <c r="K453"/>
  <c r="L453" s="1"/>
  <c r="G453"/>
  <c r="E453"/>
  <c r="M452"/>
  <c r="L452"/>
  <c r="K452"/>
  <c r="G452"/>
  <c r="E452"/>
  <c r="M451"/>
  <c r="N451" s="1"/>
  <c r="K451"/>
  <c r="L451" s="1"/>
  <c r="G451"/>
  <c r="E451"/>
  <c r="M450"/>
  <c r="K450"/>
  <c r="L450" s="1"/>
  <c r="N450" s="1"/>
  <c r="G450"/>
  <c r="E450"/>
  <c r="M449"/>
  <c r="K449"/>
  <c r="L449" s="1"/>
  <c r="N449" s="1"/>
  <c r="G449"/>
  <c r="E449"/>
  <c r="M448"/>
  <c r="L448"/>
  <c r="N448" s="1"/>
  <c r="K448"/>
  <c r="G448"/>
  <c r="E448"/>
  <c r="N447"/>
  <c r="M447"/>
  <c r="K447"/>
  <c r="L447" s="1"/>
  <c r="G447"/>
  <c r="E447"/>
  <c r="M446"/>
  <c r="K446"/>
  <c r="L446" s="1"/>
  <c r="G446"/>
  <c r="E446"/>
  <c r="M445"/>
  <c r="K445"/>
  <c r="L445" s="1"/>
  <c r="G445"/>
  <c r="E445"/>
  <c r="M444"/>
  <c r="L444"/>
  <c r="K444"/>
  <c r="G444"/>
  <c r="E444"/>
  <c r="M443"/>
  <c r="N443" s="1"/>
  <c r="K443"/>
  <c r="L443" s="1"/>
  <c r="G443"/>
  <c r="E443"/>
  <c r="M442"/>
  <c r="K442"/>
  <c r="L442" s="1"/>
  <c r="N442" s="1"/>
  <c r="G442"/>
  <c r="E442"/>
  <c r="M441"/>
  <c r="K441"/>
  <c r="L441" s="1"/>
  <c r="N441" s="1"/>
  <c r="G441"/>
  <c r="E441"/>
  <c r="M440"/>
  <c r="L440"/>
  <c r="N440" s="1"/>
  <c r="K440"/>
  <c r="G440"/>
  <c r="E440"/>
  <c r="N439"/>
  <c r="M439"/>
  <c r="K439"/>
  <c r="L439" s="1"/>
  <c r="G439"/>
  <c r="E439"/>
  <c r="M438"/>
  <c r="K438"/>
  <c r="L438" s="1"/>
  <c r="G438"/>
  <c r="E438"/>
  <c r="M437"/>
  <c r="K437"/>
  <c r="L437" s="1"/>
  <c r="G437"/>
  <c r="E437"/>
  <c r="M436"/>
  <c r="L436"/>
  <c r="K436"/>
  <c r="G436"/>
  <c r="E436"/>
  <c r="M435"/>
  <c r="N435" s="1"/>
  <c r="K435"/>
  <c r="L435" s="1"/>
  <c r="G435"/>
  <c r="E435"/>
  <c r="M434"/>
  <c r="K434"/>
  <c r="L434" s="1"/>
  <c r="N434" s="1"/>
  <c r="G434"/>
  <c r="E434"/>
  <c r="M433"/>
  <c r="K433"/>
  <c r="L433" s="1"/>
  <c r="N433" s="1"/>
  <c r="G433"/>
  <c r="E433"/>
  <c r="M432"/>
  <c r="L432"/>
  <c r="N432" s="1"/>
  <c r="K432"/>
  <c r="G432"/>
  <c r="E432"/>
  <c r="N431"/>
  <c r="M431"/>
  <c r="K431"/>
  <c r="L431" s="1"/>
  <c r="G431"/>
  <c r="E431"/>
  <c r="M430"/>
  <c r="K430"/>
  <c r="L430" s="1"/>
  <c r="G430"/>
  <c r="E430"/>
  <c r="M429"/>
  <c r="K429"/>
  <c r="L429" s="1"/>
  <c r="G429"/>
  <c r="E429"/>
  <c r="M428"/>
  <c r="L428"/>
  <c r="K428"/>
  <c r="G428"/>
  <c r="E428"/>
  <c r="M427"/>
  <c r="N427" s="1"/>
  <c r="K427"/>
  <c r="L427" s="1"/>
  <c r="G427"/>
  <c r="E427"/>
  <c r="M426"/>
  <c r="K426"/>
  <c r="L426" s="1"/>
  <c r="N426" s="1"/>
  <c r="G426"/>
  <c r="E426"/>
  <c r="M425"/>
  <c r="K425"/>
  <c r="L425" s="1"/>
  <c r="N425" s="1"/>
  <c r="G425"/>
  <c r="E425"/>
  <c r="M424"/>
  <c r="L424"/>
  <c r="N424" s="1"/>
  <c r="K424"/>
  <c r="G424"/>
  <c r="E424"/>
  <c r="N423"/>
  <c r="M423"/>
  <c r="K423"/>
  <c r="L423" s="1"/>
  <c r="G423"/>
  <c r="E423"/>
  <c r="M422"/>
  <c r="K422"/>
  <c r="L422" s="1"/>
  <c r="G422"/>
  <c r="E422"/>
  <c r="M421"/>
  <c r="K421"/>
  <c r="L421" s="1"/>
  <c r="G421"/>
  <c r="E421"/>
  <c r="M420"/>
  <c r="L420"/>
  <c r="K420"/>
  <c r="G420"/>
  <c r="E420"/>
  <c r="M419"/>
  <c r="N419" s="1"/>
  <c r="K419"/>
  <c r="L419" s="1"/>
  <c r="G419"/>
  <c r="E419"/>
  <c r="M418"/>
  <c r="K418"/>
  <c r="L418" s="1"/>
  <c r="N418" s="1"/>
  <c r="G418"/>
  <c r="E418"/>
  <c r="M417"/>
  <c r="K417"/>
  <c r="L417" s="1"/>
  <c r="N417" s="1"/>
  <c r="G417"/>
  <c r="E417"/>
  <c r="M416"/>
  <c r="L416"/>
  <c r="N416" s="1"/>
  <c r="K416"/>
  <c r="G416"/>
  <c r="E416"/>
  <c r="N415"/>
  <c r="M415"/>
  <c r="K415"/>
  <c r="L415" s="1"/>
  <c r="G415"/>
  <c r="E415"/>
  <c r="M414"/>
  <c r="K414"/>
  <c r="L414" s="1"/>
  <c r="G414"/>
  <c r="E414"/>
  <c r="M413"/>
  <c r="K413"/>
  <c r="L413" s="1"/>
  <c r="G413"/>
  <c r="E413"/>
  <c r="M412"/>
  <c r="L412"/>
  <c r="K412"/>
  <c r="G412"/>
  <c r="E412"/>
  <c r="M411"/>
  <c r="N411" s="1"/>
  <c r="K411"/>
  <c r="L411" s="1"/>
  <c r="G411"/>
  <c r="E411"/>
  <c r="M410"/>
  <c r="K410"/>
  <c r="L410" s="1"/>
  <c r="N410" s="1"/>
  <c r="G410"/>
  <c r="E410"/>
  <c r="M409"/>
  <c r="K409"/>
  <c r="L409" s="1"/>
  <c r="N409" s="1"/>
  <c r="G409"/>
  <c r="E409"/>
  <c r="M408"/>
  <c r="L408"/>
  <c r="N408" s="1"/>
  <c r="K408"/>
  <c r="G408"/>
  <c r="E408"/>
  <c r="N407"/>
  <c r="M407"/>
  <c r="K407"/>
  <c r="L407" s="1"/>
  <c r="G407"/>
  <c r="E407"/>
  <c r="M406"/>
  <c r="K406"/>
  <c r="L406" s="1"/>
  <c r="G406"/>
  <c r="E406"/>
  <c r="M405"/>
  <c r="K405"/>
  <c r="L405" s="1"/>
  <c r="G405"/>
  <c r="E405"/>
  <c r="M404"/>
  <c r="L404"/>
  <c r="K404"/>
  <c r="G404"/>
  <c r="E404"/>
  <c r="M403"/>
  <c r="N403" s="1"/>
  <c r="K403"/>
  <c r="L403" s="1"/>
  <c r="G403"/>
  <c r="E403"/>
  <c r="M402"/>
  <c r="K402"/>
  <c r="L402" s="1"/>
  <c r="N402" s="1"/>
  <c r="G402"/>
  <c r="E402"/>
  <c r="M401"/>
  <c r="K401"/>
  <c r="L401" s="1"/>
  <c r="N401" s="1"/>
  <c r="G401"/>
  <c r="E401"/>
  <c r="M400"/>
  <c r="L400"/>
  <c r="N400" s="1"/>
  <c r="K400"/>
  <c r="G400"/>
  <c r="E400"/>
  <c r="N399"/>
  <c r="M399"/>
  <c r="K399"/>
  <c r="L399" s="1"/>
  <c r="G399"/>
  <c r="E399"/>
  <c r="M398"/>
  <c r="K398"/>
  <c r="L398" s="1"/>
  <c r="G398"/>
  <c r="E398"/>
  <c r="M397"/>
  <c r="K397"/>
  <c r="L397" s="1"/>
  <c r="G397"/>
  <c r="E397"/>
  <c r="M396"/>
  <c r="L396"/>
  <c r="K396"/>
  <c r="G396"/>
  <c r="E396"/>
  <c r="M395"/>
  <c r="N395" s="1"/>
  <c r="K395"/>
  <c r="L395" s="1"/>
  <c r="G395"/>
  <c r="E395"/>
  <c r="M394"/>
  <c r="K394"/>
  <c r="L394" s="1"/>
  <c r="N394" s="1"/>
  <c r="G394"/>
  <c r="E394"/>
  <c r="M393"/>
  <c r="K393"/>
  <c r="L393" s="1"/>
  <c r="N393" s="1"/>
  <c r="G393"/>
  <c r="E393"/>
  <c r="M392"/>
  <c r="L392"/>
  <c r="N392" s="1"/>
  <c r="K392"/>
  <c r="G392"/>
  <c r="E392"/>
  <c r="N391"/>
  <c r="M391"/>
  <c r="K391"/>
  <c r="L391" s="1"/>
  <c r="G391"/>
  <c r="E391"/>
  <c r="M390"/>
  <c r="K390"/>
  <c r="L390" s="1"/>
  <c r="G390"/>
  <c r="E390"/>
  <c r="M389"/>
  <c r="K389"/>
  <c r="L389" s="1"/>
  <c r="G389"/>
  <c r="E389"/>
  <c r="M388"/>
  <c r="L388"/>
  <c r="K388"/>
  <c r="G388"/>
  <c r="E388"/>
  <c r="M387"/>
  <c r="N387" s="1"/>
  <c r="K387"/>
  <c r="L387" s="1"/>
  <c r="G387"/>
  <c r="E387"/>
  <c r="M386"/>
  <c r="K386"/>
  <c r="L386" s="1"/>
  <c r="N386" s="1"/>
  <c r="G386"/>
  <c r="E386"/>
  <c r="M385"/>
  <c r="K385"/>
  <c r="L385" s="1"/>
  <c r="N385" s="1"/>
  <c r="G385"/>
  <c r="E385"/>
  <c r="M384"/>
  <c r="L384"/>
  <c r="N384" s="1"/>
  <c r="K384"/>
  <c r="G384"/>
  <c r="E384"/>
  <c r="N383"/>
  <c r="M383"/>
  <c r="K383"/>
  <c r="L383" s="1"/>
  <c r="G383"/>
  <c r="E383"/>
  <c r="M382"/>
  <c r="K382"/>
  <c r="L382" s="1"/>
  <c r="G382"/>
  <c r="E382"/>
  <c r="M381"/>
  <c r="K381"/>
  <c r="L381" s="1"/>
  <c r="G381"/>
  <c r="E381"/>
  <c r="M380"/>
  <c r="L380"/>
  <c r="K380"/>
  <c r="G380"/>
  <c r="E380"/>
  <c r="M379"/>
  <c r="N379" s="1"/>
  <c r="K379"/>
  <c r="L379" s="1"/>
  <c r="G379"/>
  <c r="E379"/>
  <c r="M378"/>
  <c r="K378"/>
  <c r="L378" s="1"/>
  <c r="N378" s="1"/>
  <c r="G378"/>
  <c r="E378"/>
  <c r="M377"/>
  <c r="K377"/>
  <c r="L377" s="1"/>
  <c r="N377" s="1"/>
  <c r="G377"/>
  <c r="E377"/>
  <c r="M376"/>
  <c r="L376"/>
  <c r="N376" s="1"/>
  <c r="K376"/>
  <c r="G376"/>
  <c r="E376"/>
  <c r="N375"/>
  <c r="M375"/>
  <c r="K375"/>
  <c r="L375" s="1"/>
  <c r="G375"/>
  <c r="E375"/>
  <c r="M374"/>
  <c r="K374"/>
  <c r="L374" s="1"/>
  <c r="G374"/>
  <c r="E374"/>
  <c r="M373"/>
  <c r="K373"/>
  <c r="L373" s="1"/>
  <c r="G373"/>
  <c r="E373"/>
  <c r="M372"/>
  <c r="L372"/>
  <c r="K372"/>
  <c r="G372"/>
  <c r="E372"/>
  <c r="M371"/>
  <c r="N371" s="1"/>
  <c r="K371"/>
  <c r="L371" s="1"/>
  <c r="G371"/>
  <c r="E371"/>
  <c r="M370"/>
  <c r="K370"/>
  <c r="L370" s="1"/>
  <c r="N370" s="1"/>
  <c r="G370"/>
  <c r="E370"/>
  <c r="M369"/>
  <c r="K369"/>
  <c r="L369" s="1"/>
  <c r="N369" s="1"/>
  <c r="G369"/>
  <c r="E369"/>
  <c r="M368"/>
  <c r="L368"/>
  <c r="N368" s="1"/>
  <c r="K368"/>
  <c r="G368"/>
  <c r="E368"/>
  <c r="N367"/>
  <c r="M367"/>
  <c r="K367"/>
  <c r="L367" s="1"/>
  <c r="G367"/>
  <c r="E367"/>
  <c r="M366"/>
  <c r="K366"/>
  <c r="L366" s="1"/>
  <c r="G366"/>
  <c r="E366"/>
  <c r="M365"/>
  <c r="K365"/>
  <c r="L365" s="1"/>
  <c r="G365"/>
  <c r="E365"/>
  <c r="M364"/>
  <c r="L364"/>
  <c r="K364"/>
  <c r="G364"/>
  <c r="E364"/>
  <c r="M363"/>
  <c r="N363" s="1"/>
  <c r="K363"/>
  <c r="L363" s="1"/>
  <c r="G363"/>
  <c r="E363"/>
  <c r="M362"/>
  <c r="K362"/>
  <c r="L362" s="1"/>
  <c r="N362" s="1"/>
  <c r="G362"/>
  <c r="E362"/>
  <c r="M361"/>
  <c r="K361"/>
  <c r="L361" s="1"/>
  <c r="N361" s="1"/>
  <c r="G361"/>
  <c r="E361"/>
  <c r="M360"/>
  <c r="L360"/>
  <c r="N360" s="1"/>
  <c r="K360"/>
  <c r="G360"/>
  <c r="E360"/>
  <c r="N359"/>
  <c r="M359"/>
  <c r="K359"/>
  <c r="L359" s="1"/>
  <c r="G359"/>
  <c r="E359"/>
  <c r="M358"/>
  <c r="K358"/>
  <c r="L358" s="1"/>
  <c r="G358"/>
  <c r="E358"/>
  <c r="M357"/>
  <c r="K357"/>
  <c r="L357" s="1"/>
  <c r="G357"/>
  <c r="E357"/>
  <c r="M356"/>
  <c r="L356"/>
  <c r="K356"/>
  <c r="G356"/>
  <c r="E356"/>
  <c r="M355"/>
  <c r="N355" s="1"/>
  <c r="K355"/>
  <c r="L355" s="1"/>
  <c r="G355"/>
  <c r="E355"/>
  <c r="M354"/>
  <c r="K354"/>
  <c r="L354" s="1"/>
  <c r="N354" s="1"/>
  <c r="G354"/>
  <c r="E354"/>
  <c r="M353"/>
  <c r="K353"/>
  <c r="L353" s="1"/>
  <c r="N353" s="1"/>
  <c r="G353"/>
  <c r="E353"/>
  <c r="M352"/>
  <c r="L352"/>
  <c r="N352" s="1"/>
  <c r="K352"/>
  <c r="G352"/>
  <c r="E352"/>
  <c r="N351"/>
  <c r="M351"/>
  <c r="K351"/>
  <c r="L351" s="1"/>
  <c r="G351"/>
  <c r="E351"/>
  <c r="M350"/>
  <c r="K350"/>
  <c r="L350" s="1"/>
  <c r="G350"/>
  <c r="E350"/>
  <c r="M349"/>
  <c r="K349"/>
  <c r="L349" s="1"/>
  <c r="G349"/>
  <c r="E349"/>
  <c r="M348"/>
  <c r="L348"/>
  <c r="K348"/>
  <c r="G348"/>
  <c r="E348"/>
  <c r="M347"/>
  <c r="N347" s="1"/>
  <c r="K347"/>
  <c r="L347" s="1"/>
  <c r="G347"/>
  <c r="E347"/>
  <c r="M346"/>
  <c r="K346"/>
  <c r="L346" s="1"/>
  <c r="N346" s="1"/>
  <c r="G346"/>
  <c r="E346"/>
  <c r="M345"/>
  <c r="K345"/>
  <c r="L345" s="1"/>
  <c r="N345" s="1"/>
  <c r="G345"/>
  <c r="E345"/>
  <c r="M344"/>
  <c r="L344"/>
  <c r="N344" s="1"/>
  <c r="K344"/>
  <c r="G344"/>
  <c r="E344"/>
  <c r="N343"/>
  <c r="M343"/>
  <c r="K343"/>
  <c r="L343" s="1"/>
  <c r="G343"/>
  <c r="E343"/>
  <c r="M342"/>
  <c r="K342"/>
  <c r="L342" s="1"/>
  <c r="G342"/>
  <c r="E342"/>
  <c r="M341"/>
  <c r="K341"/>
  <c r="L341" s="1"/>
  <c r="G341"/>
  <c r="E341"/>
  <c r="M340"/>
  <c r="L340"/>
  <c r="K340"/>
  <c r="G340"/>
  <c r="E340"/>
  <c r="M339"/>
  <c r="N339" s="1"/>
  <c r="K339"/>
  <c r="L339" s="1"/>
  <c r="G339"/>
  <c r="E339"/>
  <c r="M338"/>
  <c r="K338"/>
  <c r="L338" s="1"/>
  <c r="N338" s="1"/>
  <c r="G338"/>
  <c r="E338"/>
  <c r="M337"/>
  <c r="K337"/>
  <c r="L337" s="1"/>
  <c r="N337" s="1"/>
  <c r="G337"/>
  <c r="E337"/>
  <c r="M336"/>
  <c r="L336"/>
  <c r="N336" s="1"/>
  <c r="K336"/>
  <c r="G336"/>
  <c r="E336"/>
  <c r="N335"/>
  <c r="M335"/>
  <c r="K335"/>
  <c r="L335" s="1"/>
  <c r="G335"/>
  <c r="E335"/>
  <c r="M334"/>
  <c r="K334"/>
  <c r="L334" s="1"/>
  <c r="G334"/>
  <c r="E334"/>
  <c r="M333"/>
  <c r="K333"/>
  <c r="L333" s="1"/>
  <c r="G333"/>
  <c r="E333"/>
  <c r="M332"/>
  <c r="L332"/>
  <c r="K332"/>
  <c r="G332"/>
  <c r="E332"/>
  <c r="M331"/>
  <c r="N331" s="1"/>
  <c r="K331"/>
  <c r="L331" s="1"/>
  <c r="G331"/>
  <c r="E331"/>
  <c r="M330"/>
  <c r="K330"/>
  <c r="L330" s="1"/>
  <c r="N330" s="1"/>
  <c r="G330"/>
  <c r="E330"/>
  <c r="M329"/>
  <c r="K329"/>
  <c r="L329" s="1"/>
  <c r="N329" s="1"/>
  <c r="G329"/>
  <c r="E329"/>
  <c r="M328"/>
  <c r="L328"/>
  <c r="N328" s="1"/>
  <c r="K328"/>
  <c r="G328"/>
  <c r="E328"/>
  <c r="N327"/>
  <c r="M327"/>
  <c r="K327"/>
  <c r="L327" s="1"/>
  <c r="G327"/>
  <c r="E327"/>
  <c r="M326"/>
  <c r="K326"/>
  <c r="L326" s="1"/>
  <c r="G326"/>
  <c r="E326"/>
  <c r="M325"/>
  <c r="K325"/>
  <c r="L325" s="1"/>
  <c r="G325"/>
  <c r="E325"/>
  <c r="M324"/>
  <c r="L324"/>
  <c r="K324"/>
  <c r="G324"/>
  <c r="E324"/>
  <c r="M323"/>
  <c r="N323" s="1"/>
  <c r="K323"/>
  <c r="L323" s="1"/>
  <c r="G323"/>
  <c r="E323"/>
  <c r="M322"/>
  <c r="K322"/>
  <c r="L322" s="1"/>
  <c r="N322" s="1"/>
  <c r="G322"/>
  <c r="E322"/>
  <c r="M321"/>
  <c r="K321"/>
  <c r="L321" s="1"/>
  <c r="N321" s="1"/>
  <c r="G321"/>
  <c r="E321"/>
  <c r="M320"/>
  <c r="L320"/>
  <c r="N320" s="1"/>
  <c r="K320"/>
  <c r="G320"/>
  <c r="E320"/>
  <c r="N319"/>
  <c r="M319"/>
  <c r="K319"/>
  <c r="L319" s="1"/>
  <c r="G319"/>
  <c r="E319"/>
  <c r="M318"/>
  <c r="K318"/>
  <c r="L318" s="1"/>
  <c r="G318"/>
  <c r="E318"/>
  <c r="M317"/>
  <c r="K317"/>
  <c r="L317" s="1"/>
  <c r="G317"/>
  <c r="E317"/>
  <c r="M316"/>
  <c r="L316"/>
  <c r="K316"/>
  <c r="G316"/>
  <c r="E316"/>
  <c r="M315"/>
  <c r="N315" s="1"/>
  <c r="K315"/>
  <c r="L315" s="1"/>
  <c r="G315"/>
  <c r="E315"/>
  <c r="M314"/>
  <c r="K314"/>
  <c r="L314" s="1"/>
  <c r="N314" s="1"/>
  <c r="G314"/>
  <c r="E314"/>
  <c r="M313"/>
  <c r="K313"/>
  <c r="L313" s="1"/>
  <c r="N313" s="1"/>
  <c r="G313"/>
  <c r="E313"/>
  <c r="M312"/>
  <c r="L312"/>
  <c r="N312" s="1"/>
  <c r="K312"/>
  <c r="G312"/>
  <c r="E312"/>
  <c r="N311"/>
  <c r="M311"/>
  <c r="K311"/>
  <c r="L311" s="1"/>
  <c r="G311"/>
  <c r="E311"/>
  <c r="M310"/>
  <c r="K310"/>
  <c r="L310" s="1"/>
  <c r="G310"/>
  <c r="E310"/>
  <c r="M309"/>
  <c r="K309"/>
  <c r="L309" s="1"/>
  <c r="G309"/>
  <c r="E309"/>
  <c r="M308"/>
  <c r="L308"/>
  <c r="K308"/>
  <c r="G308"/>
  <c r="E308"/>
  <c r="M307"/>
  <c r="N307" s="1"/>
  <c r="K307"/>
  <c r="L307" s="1"/>
  <c r="G307"/>
  <c r="E307"/>
  <c r="M306"/>
  <c r="K306"/>
  <c r="L306" s="1"/>
  <c r="N306" s="1"/>
  <c r="G306"/>
  <c r="E306"/>
  <c r="M305"/>
  <c r="K305"/>
  <c r="L305" s="1"/>
  <c r="N305" s="1"/>
  <c r="G305"/>
  <c r="E305"/>
  <c r="M304"/>
  <c r="L304"/>
  <c r="K304"/>
  <c r="G304"/>
  <c r="E304"/>
  <c r="N303"/>
  <c r="M303"/>
  <c r="K303"/>
  <c r="L303" s="1"/>
  <c r="G303"/>
  <c r="E303"/>
  <c r="M302"/>
  <c r="K302"/>
  <c r="L302" s="1"/>
  <c r="G302"/>
  <c r="E302"/>
  <c r="M301"/>
  <c r="K301"/>
  <c r="L301" s="1"/>
  <c r="G301"/>
  <c r="E301"/>
  <c r="M300"/>
  <c r="L300"/>
  <c r="K300"/>
  <c r="G300"/>
  <c r="E300"/>
  <c r="M299"/>
  <c r="N299" s="1"/>
  <c r="K299"/>
  <c r="L299" s="1"/>
  <c r="G299"/>
  <c r="E299"/>
  <c r="M298"/>
  <c r="K298"/>
  <c r="L298" s="1"/>
  <c r="N298" s="1"/>
  <c r="G298"/>
  <c r="E298"/>
  <c r="M297"/>
  <c r="K297"/>
  <c r="L297" s="1"/>
  <c r="N297" s="1"/>
  <c r="G297"/>
  <c r="E297"/>
  <c r="M296"/>
  <c r="L296"/>
  <c r="K296"/>
  <c r="G296"/>
  <c r="E296"/>
  <c r="N295"/>
  <c r="M295"/>
  <c r="K295"/>
  <c r="L295" s="1"/>
  <c r="G295"/>
  <c r="E295"/>
  <c r="M294"/>
  <c r="K294"/>
  <c r="L294" s="1"/>
  <c r="G294"/>
  <c r="E294"/>
  <c r="M293"/>
  <c r="K293"/>
  <c r="L293" s="1"/>
  <c r="G293"/>
  <c r="E293"/>
  <c r="M292"/>
  <c r="L292"/>
  <c r="K292"/>
  <c r="G292"/>
  <c r="E292"/>
  <c r="M291"/>
  <c r="N291" s="1"/>
  <c r="K291"/>
  <c r="L291" s="1"/>
  <c r="G291"/>
  <c r="E291"/>
  <c r="M290"/>
  <c r="K290"/>
  <c r="L290" s="1"/>
  <c r="N290" s="1"/>
  <c r="G290"/>
  <c r="E290"/>
  <c r="M289"/>
  <c r="K289"/>
  <c r="L289" s="1"/>
  <c r="N289" s="1"/>
  <c r="G289"/>
  <c r="E289"/>
  <c r="M288"/>
  <c r="K288"/>
  <c r="L288" s="1"/>
  <c r="N288" s="1"/>
  <c r="G288"/>
  <c r="E288"/>
  <c r="M287"/>
  <c r="N287" s="1"/>
  <c r="K287"/>
  <c r="L287" s="1"/>
  <c r="G287"/>
  <c r="E287"/>
  <c r="M286"/>
  <c r="K286"/>
  <c r="L286" s="1"/>
  <c r="N286" s="1"/>
  <c r="G286"/>
  <c r="E286"/>
  <c r="M285"/>
  <c r="K285"/>
  <c r="L285" s="1"/>
  <c r="N285" s="1"/>
  <c r="G285"/>
  <c r="E285"/>
  <c r="M284"/>
  <c r="K284"/>
  <c r="L284" s="1"/>
  <c r="N284" s="1"/>
  <c r="G284"/>
  <c r="E284"/>
  <c r="M283"/>
  <c r="N283" s="1"/>
  <c r="K283"/>
  <c r="L283" s="1"/>
  <c r="G283"/>
  <c r="E283"/>
  <c r="M282"/>
  <c r="K282"/>
  <c r="L282" s="1"/>
  <c r="N282" s="1"/>
  <c r="G282"/>
  <c r="E282"/>
  <c r="M281"/>
  <c r="K281"/>
  <c r="L281" s="1"/>
  <c r="N281" s="1"/>
  <c r="G281"/>
  <c r="E281"/>
  <c r="M280"/>
  <c r="K280"/>
  <c r="L280" s="1"/>
  <c r="N280" s="1"/>
  <c r="G280"/>
  <c r="E280"/>
  <c r="M279"/>
  <c r="N279" s="1"/>
  <c r="K279"/>
  <c r="L279" s="1"/>
  <c r="G279"/>
  <c r="E279"/>
  <c r="M278"/>
  <c r="K278"/>
  <c r="L278" s="1"/>
  <c r="N278" s="1"/>
  <c r="G278"/>
  <c r="E278"/>
  <c r="M277"/>
  <c r="K277"/>
  <c r="L277" s="1"/>
  <c r="N277" s="1"/>
  <c r="G277"/>
  <c r="E277"/>
  <c r="M276"/>
  <c r="K276"/>
  <c r="L276" s="1"/>
  <c r="N276" s="1"/>
  <c r="G276"/>
  <c r="E276"/>
  <c r="M275"/>
  <c r="N275" s="1"/>
  <c r="K275"/>
  <c r="L275" s="1"/>
  <c r="G275"/>
  <c r="E275"/>
  <c r="M274"/>
  <c r="K274"/>
  <c r="L274" s="1"/>
  <c r="N274" s="1"/>
  <c r="G274"/>
  <c r="E274"/>
  <c r="M273"/>
  <c r="K273"/>
  <c r="L273" s="1"/>
  <c r="N273" s="1"/>
  <c r="G273"/>
  <c r="E273"/>
  <c r="M272"/>
  <c r="K272"/>
  <c r="L272" s="1"/>
  <c r="N272" s="1"/>
  <c r="G272"/>
  <c r="E272"/>
  <c r="M271"/>
  <c r="N271" s="1"/>
  <c r="K271"/>
  <c r="L271" s="1"/>
  <c r="G271"/>
  <c r="E271"/>
  <c r="M270"/>
  <c r="K270"/>
  <c r="L270" s="1"/>
  <c r="N270" s="1"/>
  <c r="G270"/>
  <c r="E270"/>
  <c r="M269"/>
  <c r="K269"/>
  <c r="L269" s="1"/>
  <c r="N269" s="1"/>
  <c r="G269"/>
  <c r="E269"/>
  <c r="M268"/>
  <c r="K268"/>
  <c r="L268" s="1"/>
  <c r="N268" s="1"/>
  <c r="G268"/>
  <c r="E268"/>
  <c r="M267"/>
  <c r="N267" s="1"/>
  <c r="K267"/>
  <c r="L267" s="1"/>
  <c r="G267"/>
  <c r="E267"/>
  <c r="M266"/>
  <c r="K266"/>
  <c r="L266" s="1"/>
  <c r="N266" s="1"/>
  <c r="G266"/>
  <c r="E266"/>
  <c r="M265"/>
  <c r="K265"/>
  <c r="L265" s="1"/>
  <c r="N265" s="1"/>
  <c r="G265"/>
  <c r="E265"/>
  <c r="M264"/>
  <c r="K264"/>
  <c r="L264" s="1"/>
  <c r="N264" s="1"/>
  <c r="G264"/>
  <c r="E264"/>
  <c r="M263"/>
  <c r="N263" s="1"/>
  <c r="K263"/>
  <c r="L263" s="1"/>
  <c r="G263"/>
  <c r="E263"/>
  <c r="M262"/>
  <c r="K262"/>
  <c r="L262" s="1"/>
  <c r="N262" s="1"/>
  <c r="G262"/>
  <c r="E262"/>
  <c r="M261"/>
  <c r="K261"/>
  <c r="L261" s="1"/>
  <c r="N261" s="1"/>
  <c r="G261"/>
  <c r="E261"/>
  <c r="M260"/>
  <c r="K260"/>
  <c r="L260" s="1"/>
  <c r="N260" s="1"/>
  <c r="G260"/>
  <c r="E260"/>
  <c r="M259"/>
  <c r="N259" s="1"/>
  <c r="K259"/>
  <c r="L259" s="1"/>
  <c r="G259"/>
  <c r="E259"/>
  <c r="M258"/>
  <c r="K258"/>
  <c r="L258" s="1"/>
  <c r="N258" s="1"/>
  <c r="G258"/>
  <c r="E258"/>
  <c r="M257"/>
  <c r="K257"/>
  <c r="L257" s="1"/>
  <c r="N257" s="1"/>
  <c r="G257"/>
  <c r="E257"/>
  <c r="M256"/>
  <c r="K256"/>
  <c r="L256" s="1"/>
  <c r="N256" s="1"/>
  <c r="G256"/>
  <c r="E256"/>
  <c r="M255"/>
  <c r="N255" s="1"/>
  <c r="K255"/>
  <c r="L255" s="1"/>
  <c r="G255"/>
  <c r="E255"/>
  <c r="M254"/>
  <c r="K254"/>
  <c r="L254" s="1"/>
  <c r="N254" s="1"/>
  <c r="G254"/>
  <c r="E254"/>
  <c r="M253"/>
  <c r="K253"/>
  <c r="L253" s="1"/>
  <c r="N253" s="1"/>
  <c r="G253"/>
  <c r="E253"/>
  <c r="M252"/>
  <c r="K252"/>
  <c r="L252" s="1"/>
  <c r="N252" s="1"/>
  <c r="G252"/>
  <c r="E252"/>
  <c r="M251"/>
  <c r="N251" s="1"/>
  <c r="K251"/>
  <c r="L251" s="1"/>
  <c r="G251"/>
  <c r="E251"/>
  <c r="M250"/>
  <c r="K250"/>
  <c r="L250" s="1"/>
  <c r="N250" s="1"/>
  <c r="G250"/>
  <c r="E250"/>
  <c r="M249"/>
  <c r="K249"/>
  <c r="L249" s="1"/>
  <c r="N249" s="1"/>
  <c r="G249"/>
  <c r="E249"/>
  <c r="M248"/>
  <c r="K248"/>
  <c r="L248" s="1"/>
  <c r="N248" s="1"/>
  <c r="G248"/>
  <c r="E248"/>
  <c r="M247"/>
  <c r="N247" s="1"/>
  <c r="K247"/>
  <c r="L247" s="1"/>
  <c r="G247"/>
  <c r="E247"/>
  <c r="M246"/>
  <c r="K246"/>
  <c r="L246" s="1"/>
  <c r="N246" s="1"/>
  <c r="G246"/>
  <c r="E246"/>
  <c r="M245"/>
  <c r="K245"/>
  <c r="L245" s="1"/>
  <c r="N245" s="1"/>
  <c r="G245"/>
  <c r="E245"/>
  <c r="M244"/>
  <c r="K244"/>
  <c r="L244" s="1"/>
  <c r="N244" s="1"/>
  <c r="G244"/>
  <c r="E244"/>
  <c r="M243"/>
  <c r="N243" s="1"/>
  <c r="K243"/>
  <c r="L243" s="1"/>
  <c r="G243"/>
  <c r="E243"/>
  <c r="M242"/>
  <c r="K242"/>
  <c r="L242" s="1"/>
  <c r="N242" s="1"/>
  <c r="G242"/>
  <c r="E242"/>
  <c r="M241"/>
  <c r="K241"/>
  <c r="L241" s="1"/>
  <c r="N241" s="1"/>
  <c r="G241"/>
  <c r="E241"/>
  <c r="M240"/>
  <c r="K240"/>
  <c r="L240" s="1"/>
  <c r="N240" s="1"/>
  <c r="G240"/>
  <c r="E240"/>
  <c r="M239"/>
  <c r="N239" s="1"/>
  <c r="K239"/>
  <c r="L239" s="1"/>
  <c r="G239"/>
  <c r="E239"/>
  <c r="M238"/>
  <c r="K238"/>
  <c r="L238" s="1"/>
  <c r="N238" s="1"/>
  <c r="G238"/>
  <c r="E238"/>
  <c r="M237"/>
  <c r="K237"/>
  <c r="L237" s="1"/>
  <c r="N237" s="1"/>
  <c r="G237"/>
  <c r="E237"/>
  <c r="M236"/>
  <c r="K236"/>
  <c r="L236" s="1"/>
  <c r="N236" s="1"/>
  <c r="G236"/>
  <c r="E236"/>
  <c r="M235"/>
  <c r="N235" s="1"/>
  <c r="K235"/>
  <c r="L235" s="1"/>
  <c r="G235"/>
  <c r="E235"/>
  <c r="M234"/>
  <c r="K234"/>
  <c r="L234" s="1"/>
  <c r="N234" s="1"/>
  <c r="G234"/>
  <c r="E234"/>
  <c r="M233"/>
  <c r="K233"/>
  <c r="L233" s="1"/>
  <c r="N233" s="1"/>
  <c r="G233"/>
  <c r="E233"/>
  <c r="M232"/>
  <c r="K232"/>
  <c r="L232" s="1"/>
  <c r="N232" s="1"/>
  <c r="G232"/>
  <c r="E232"/>
  <c r="M231"/>
  <c r="N231" s="1"/>
  <c r="K231"/>
  <c r="L231" s="1"/>
  <c r="G231"/>
  <c r="E231"/>
  <c r="M230"/>
  <c r="K230"/>
  <c r="L230" s="1"/>
  <c r="N230" s="1"/>
  <c r="G230"/>
  <c r="E230"/>
  <c r="M229"/>
  <c r="K229"/>
  <c r="L229" s="1"/>
  <c r="N229" s="1"/>
  <c r="G229"/>
  <c r="E229"/>
  <c r="M228"/>
  <c r="K228"/>
  <c r="L228" s="1"/>
  <c r="N228" s="1"/>
  <c r="G228"/>
  <c r="E228"/>
  <c r="M227"/>
  <c r="N227" s="1"/>
  <c r="K227"/>
  <c r="L227" s="1"/>
  <c r="G227"/>
  <c r="E227"/>
  <c r="M226"/>
  <c r="K226"/>
  <c r="L226" s="1"/>
  <c r="N226" s="1"/>
  <c r="G226"/>
  <c r="E226"/>
  <c r="M225"/>
  <c r="K225"/>
  <c r="L225" s="1"/>
  <c r="N225" s="1"/>
  <c r="G225"/>
  <c r="E225"/>
  <c r="M224"/>
  <c r="K224"/>
  <c r="L224" s="1"/>
  <c r="N224" s="1"/>
  <c r="G224"/>
  <c r="E224"/>
  <c r="M223"/>
  <c r="N223" s="1"/>
  <c r="K223"/>
  <c r="L223" s="1"/>
  <c r="G223"/>
  <c r="E223"/>
  <c r="M222"/>
  <c r="K222"/>
  <c r="L222" s="1"/>
  <c r="N222" s="1"/>
  <c r="G222"/>
  <c r="E222"/>
  <c r="M221"/>
  <c r="K221"/>
  <c r="L221" s="1"/>
  <c r="N221" s="1"/>
  <c r="G221"/>
  <c r="E221"/>
  <c r="M220"/>
  <c r="K220"/>
  <c r="L220" s="1"/>
  <c r="N220" s="1"/>
  <c r="G220"/>
  <c r="E220"/>
  <c r="M219"/>
  <c r="N219" s="1"/>
  <c r="K219"/>
  <c r="L219" s="1"/>
  <c r="G219"/>
  <c r="E219"/>
  <c r="M218"/>
  <c r="K218"/>
  <c r="L218" s="1"/>
  <c r="N218" s="1"/>
  <c r="G218"/>
  <c r="E218"/>
  <c r="M217"/>
  <c r="K217"/>
  <c r="L217" s="1"/>
  <c r="N217" s="1"/>
  <c r="G217"/>
  <c r="E217"/>
  <c r="M216"/>
  <c r="K216"/>
  <c r="L216" s="1"/>
  <c r="N216" s="1"/>
  <c r="G216"/>
  <c r="E216"/>
  <c r="M215"/>
  <c r="N215" s="1"/>
  <c r="K215"/>
  <c r="L215" s="1"/>
  <c r="G215"/>
  <c r="E215"/>
  <c r="M214"/>
  <c r="K214"/>
  <c r="L214" s="1"/>
  <c r="N214" s="1"/>
  <c r="G214"/>
  <c r="E214"/>
  <c r="M213"/>
  <c r="K213"/>
  <c r="L213" s="1"/>
  <c r="N213" s="1"/>
  <c r="G213"/>
  <c r="E213"/>
  <c r="M212"/>
  <c r="K212"/>
  <c r="L212" s="1"/>
  <c r="N212" s="1"/>
  <c r="G212"/>
  <c r="E212"/>
  <c r="M211"/>
  <c r="N211" s="1"/>
  <c r="K211"/>
  <c r="L211" s="1"/>
  <c r="G211"/>
  <c r="E211"/>
  <c r="M210"/>
  <c r="K210"/>
  <c r="L210" s="1"/>
  <c r="N210" s="1"/>
  <c r="G210"/>
  <c r="E210"/>
  <c r="M209"/>
  <c r="K209"/>
  <c r="L209" s="1"/>
  <c r="N209" s="1"/>
  <c r="G209"/>
  <c r="E209"/>
  <c r="M208"/>
  <c r="K208"/>
  <c r="L208" s="1"/>
  <c r="N208" s="1"/>
  <c r="G208"/>
  <c r="E208"/>
  <c r="M207"/>
  <c r="N207" s="1"/>
  <c r="K207"/>
  <c r="L207" s="1"/>
  <c r="G207"/>
  <c r="E207"/>
  <c r="M206"/>
  <c r="K206"/>
  <c r="L206" s="1"/>
  <c r="N206" s="1"/>
  <c r="G206"/>
  <c r="E206"/>
  <c r="M205"/>
  <c r="K205"/>
  <c r="L205" s="1"/>
  <c r="N205" s="1"/>
  <c r="G205"/>
  <c r="E205"/>
  <c r="M204"/>
  <c r="K204"/>
  <c r="L204" s="1"/>
  <c r="N204" s="1"/>
  <c r="G204"/>
  <c r="E204"/>
  <c r="M203"/>
  <c r="N203" s="1"/>
  <c r="K203"/>
  <c r="L203" s="1"/>
  <c r="G203"/>
  <c r="E203"/>
  <c r="M202"/>
  <c r="K202"/>
  <c r="L202" s="1"/>
  <c r="N202" s="1"/>
  <c r="G202"/>
  <c r="E202"/>
  <c r="M201"/>
  <c r="K201"/>
  <c r="L201" s="1"/>
  <c r="N201" s="1"/>
  <c r="G201"/>
  <c r="E201"/>
  <c r="M200"/>
  <c r="K200"/>
  <c r="L200" s="1"/>
  <c r="N200" s="1"/>
  <c r="G200"/>
  <c r="E200"/>
  <c r="M199"/>
  <c r="N199" s="1"/>
  <c r="K199"/>
  <c r="L199" s="1"/>
  <c r="G199"/>
  <c r="E199"/>
  <c r="M198"/>
  <c r="K198"/>
  <c r="L198" s="1"/>
  <c r="N198" s="1"/>
  <c r="G198"/>
  <c r="E198"/>
  <c r="M197"/>
  <c r="K197"/>
  <c r="L197" s="1"/>
  <c r="N197" s="1"/>
  <c r="G197"/>
  <c r="E197"/>
  <c r="M196"/>
  <c r="K196"/>
  <c r="L196" s="1"/>
  <c r="N196" s="1"/>
  <c r="G196"/>
  <c r="E196"/>
  <c r="M195"/>
  <c r="N195" s="1"/>
  <c r="K195"/>
  <c r="L195" s="1"/>
  <c r="G195"/>
  <c r="E195"/>
  <c r="M194"/>
  <c r="K194"/>
  <c r="L194" s="1"/>
  <c r="N194" s="1"/>
  <c r="G194"/>
  <c r="E194"/>
  <c r="M193"/>
  <c r="K193"/>
  <c r="L193" s="1"/>
  <c r="N193" s="1"/>
  <c r="G193"/>
  <c r="E193"/>
  <c r="M192"/>
  <c r="K192"/>
  <c r="L192" s="1"/>
  <c r="N192" s="1"/>
  <c r="G192"/>
  <c r="E192"/>
  <c r="M191"/>
  <c r="N191" s="1"/>
  <c r="K191"/>
  <c r="L191" s="1"/>
  <c r="G191"/>
  <c r="E191"/>
  <c r="M190"/>
  <c r="K190"/>
  <c r="L190" s="1"/>
  <c r="N190" s="1"/>
  <c r="G190"/>
  <c r="E190"/>
  <c r="M189"/>
  <c r="K189"/>
  <c r="L189" s="1"/>
  <c r="N189" s="1"/>
  <c r="G189"/>
  <c r="E189"/>
  <c r="M188"/>
  <c r="K188"/>
  <c r="L188" s="1"/>
  <c r="N188" s="1"/>
  <c r="G188"/>
  <c r="E188"/>
  <c r="M187"/>
  <c r="N187" s="1"/>
  <c r="K187"/>
  <c r="L187" s="1"/>
  <c r="G187"/>
  <c r="E187"/>
  <c r="M186"/>
  <c r="K186"/>
  <c r="L186" s="1"/>
  <c r="N186" s="1"/>
  <c r="G186"/>
  <c r="E186"/>
  <c r="M185"/>
  <c r="K185"/>
  <c r="L185" s="1"/>
  <c r="N185" s="1"/>
  <c r="G185"/>
  <c r="E185"/>
  <c r="M184"/>
  <c r="K184"/>
  <c r="L184" s="1"/>
  <c r="N184" s="1"/>
  <c r="G184"/>
  <c r="E184"/>
  <c r="M183"/>
  <c r="N183" s="1"/>
  <c r="K183"/>
  <c r="L183" s="1"/>
  <c r="G183"/>
  <c r="E183"/>
  <c r="M182"/>
  <c r="K182"/>
  <c r="L182" s="1"/>
  <c r="N182" s="1"/>
  <c r="G182"/>
  <c r="E182"/>
  <c r="M181"/>
  <c r="K181"/>
  <c r="L181" s="1"/>
  <c r="N181" s="1"/>
  <c r="G181"/>
  <c r="E181"/>
  <c r="M180"/>
  <c r="K180"/>
  <c r="L180" s="1"/>
  <c r="N180" s="1"/>
  <c r="G180"/>
  <c r="E180"/>
  <c r="M179"/>
  <c r="N179" s="1"/>
  <c r="K179"/>
  <c r="L179" s="1"/>
  <c r="G179"/>
  <c r="E179"/>
  <c r="M178"/>
  <c r="L178"/>
  <c r="N178" s="1"/>
  <c r="K178"/>
  <c r="G178"/>
  <c r="E178"/>
  <c r="M177"/>
  <c r="N177" s="1"/>
  <c r="L177"/>
  <c r="K177"/>
  <c r="G177"/>
  <c r="E177"/>
  <c r="M176"/>
  <c r="L176"/>
  <c r="K176"/>
  <c r="G176"/>
  <c r="E176"/>
  <c r="M175"/>
  <c r="N175" s="1"/>
  <c r="L175"/>
  <c r="K175"/>
  <c r="G175"/>
  <c r="E175"/>
  <c r="M174"/>
  <c r="L174"/>
  <c r="K174"/>
  <c r="G174"/>
  <c r="E174"/>
  <c r="N173"/>
  <c r="M173"/>
  <c r="L173"/>
  <c r="K173"/>
  <c r="G173"/>
  <c r="E173"/>
  <c r="M172"/>
  <c r="L172"/>
  <c r="N172" s="1"/>
  <c r="K172"/>
  <c r="G172"/>
  <c r="E172"/>
  <c r="N171"/>
  <c r="M171"/>
  <c r="L171"/>
  <c r="K171"/>
  <c r="G171"/>
  <c r="E171"/>
  <c r="M170"/>
  <c r="L170"/>
  <c r="N170" s="1"/>
  <c r="K170"/>
  <c r="G170"/>
  <c r="E170"/>
  <c r="M169"/>
  <c r="N169" s="1"/>
  <c r="L169"/>
  <c r="K169"/>
  <c r="G169"/>
  <c r="E169"/>
  <c r="M168"/>
  <c r="L168"/>
  <c r="K168"/>
  <c r="G168"/>
  <c r="E168"/>
  <c r="M167"/>
  <c r="N167" s="1"/>
  <c r="L167"/>
  <c r="K167"/>
  <c r="G167"/>
  <c r="E167"/>
  <c r="M166"/>
  <c r="L166"/>
  <c r="K166"/>
  <c r="G166"/>
  <c r="E166"/>
  <c r="N165"/>
  <c r="M165"/>
  <c r="L165"/>
  <c r="K165"/>
  <c r="G165"/>
  <c r="E165"/>
  <c r="M164"/>
  <c r="L164"/>
  <c r="N164" s="1"/>
  <c r="K164"/>
  <c r="G164"/>
  <c r="E164"/>
  <c r="N163"/>
  <c r="M163"/>
  <c r="L163"/>
  <c r="K163"/>
  <c r="G163"/>
  <c r="E163"/>
  <c r="M162"/>
  <c r="L162"/>
  <c r="N162" s="1"/>
  <c r="K162"/>
  <c r="G162"/>
  <c r="E162"/>
  <c r="M161"/>
  <c r="N161" s="1"/>
  <c r="L161"/>
  <c r="K161"/>
  <c r="G161"/>
  <c r="E161"/>
  <c r="M160"/>
  <c r="L160"/>
  <c r="K160"/>
  <c r="G160"/>
  <c r="E160"/>
  <c r="M159"/>
  <c r="N159" s="1"/>
  <c r="L159"/>
  <c r="K159"/>
  <c r="G159"/>
  <c r="E159"/>
  <c r="M158"/>
  <c r="L158"/>
  <c r="K158"/>
  <c r="G158"/>
  <c r="E158"/>
  <c r="N157"/>
  <c r="M157"/>
  <c r="L157"/>
  <c r="K157"/>
  <c r="G157"/>
  <c r="E157"/>
  <c r="M156"/>
  <c r="L156"/>
  <c r="N156" s="1"/>
  <c r="K156"/>
  <c r="G156"/>
  <c r="E156"/>
  <c r="N155"/>
  <c r="M155"/>
  <c r="L155"/>
  <c r="K155"/>
  <c r="G155"/>
  <c r="E155"/>
  <c r="M154"/>
  <c r="L154"/>
  <c r="N154" s="1"/>
  <c r="K154"/>
  <c r="G154"/>
  <c r="E154"/>
  <c r="M153"/>
  <c r="N153" s="1"/>
  <c r="L153"/>
  <c r="K153"/>
  <c r="G153"/>
  <c r="E153"/>
  <c r="M152"/>
  <c r="L152"/>
  <c r="K152"/>
  <c r="G152"/>
  <c r="E152"/>
  <c r="M151"/>
  <c r="N151" s="1"/>
  <c r="L151"/>
  <c r="K151"/>
  <c r="G151"/>
  <c r="E151"/>
  <c r="M150"/>
  <c r="L150"/>
  <c r="K150"/>
  <c r="G150"/>
  <c r="E150"/>
  <c r="N149"/>
  <c r="M149"/>
  <c r="L149"/>
  <c r="K149"/>
  <c r="G149"/>
  <c r="E149"/>
  <c r="M148"/>
  <c r="L148"/>
  <c r="N148" s="1"/>
  <c r="K148"/>
  <c r="G148"/>
  <c r="E148"/>
  <c r="N147"/>
  <c r="M147"/>
  <c r="L147"/>
  <c r="K147"/>
  <c r="G147"/>
  <c r="E147"/>
  <c r="M146"/>
  <c r="L146"/>
  <c r="N146" s="1"/>
  <c r="K146"/>
  <c r="G146"/>
  <c r="E146"/>
  <c r="M145"/>
  <c r="N145" s="1"/>
  <c r="L145"/>
  <c r="K145"/>
  <c r="G145"/>
  <c r="E145"/>
  <c r="M144"/>
  <c r="L144"/>
  <c r="K144"/>
  <c r="G144"/>
  <c r="E144"/>
  <c r="M143"/>
  <c r="N143" s="1"/>
  <c r="L143"/>
  <c r="K143"/>
  <c r="G143"/>
  <c r="E143"/>
  <c r="M142"/>
  <c r="L142"/>
  <c r="K142"/>
  <c r="G142"/>
  <c r="E142"/>
  <c r="N141"/>
  <c r="M141"/>
  <c r="L141"/>
  <c r="K141"/>
  <c r="G141"/>
  <c r="E141"/>
  <c r="M140"/>
  <c r="L140"/>
  <c r="N140" s="1"/>
  <c r="K140"/>
  <c r="G140"/>
  <c r="E140"/>
  <c r="N139"/>
  <c r="M139"/>
  <c r="L139"/>
  <c r="K139"/>
  <c r="G139"/>
  <c r="E139"/>
  <c r="M138"/>
  <c r="L138"/>
  <c r="N138" s="1"/>
  <c r="K138"/>
  <c r="G138"/>
  <c r="E138"/>
  <c r="M137"/>
  <c r="N137" s="1"/>
  <c r="L137"/>
  <c r="K137"/>
  <c r="G137"/>
  <c r="E137"/>
  <c r="M136"/>
  <c r="L136"/>
  <c r="K136"/>
  <c r="G136"/>
  <c r="E136"/>
  <c r="M135"/>
  <c r="N135" s="1"/>
  <c r="L135"/>
  <c r="K135"/>
  <c r="G135"/>
  <c r="E135"/>
  <c r="M134"/>
  <c r="L134"/>
  <c r="K134"/>
  <c r="G134"/>
  <c r="E134"/>
  <c r="N133"/>
  <c r="M133"/>
  <c r="L133"/>
  <c r="K133"/>
  <c r="G133"/>
  <c r="E133"/>
  <c r="M132"/>
  <c r="L132"/>
  <c r="N132" s="1"/>
  <c r="K132"/>
  <c r="G132"/>
  <c r="E132"/>
  <c r="N131"/>
  <c r="M131"/>
  <c r="L131"/>
  <c r="K131"/>
  <c r="G131"/>
  <c r="E131"/>
  <c r="M130"/>
  <c r="L130"/>
  <c r="N130" s="1"/>
  <c r="K130"/>
  <c r="G130"/>
  <c r="E130"/>
  <c r="M129"/>
  <c r="N129" s="1"/>
  <c r="L129"/>
  <c r="K129"/>
  <c r="G129"/>
  <c r="E129"/>
  <c r="M128"/>
  <c r="L128"/>
  <c r="K128"/>
  <c r="G128"/>
  <c r="E128"/>
  <c r="M127"/>
  <c r="N127" s="1"/>
  <c r="L127"/>
  <c r="K127"/>
  <c r="G127"/>
  <c r="E127"/>
  <c r="M126"/>
  <c r="L126"/>
  <c r="K126"/>
  <c r="G126"/>
  <c r="E126"/>
  <c r="N125"/>
  <c r="M125"/>
  <c r="L125"/>
  <c r="K125"/>
  <c r="G125"/>
  <c r="E125"/>
  <c r="M124"/>
  <c r="L124"/>
  <c r="N124" s="1"/>
  <c r="K124"/>
  <c r="G124"/>
  <c r="E124"/>
  <c r="N123"/>
  <c r="M123"/>
  <c r="L123"/>
  <c r="K123"/>
  <c r="G123"/>
  <c r="E123"/>
  <c r="M122"/>
  <c r="L122"/>
  <c r="N122" s="1"/>
  <c r="K122"/>
  <c r="G122"/>
  <c r="E122"/>
  <c r="M121"/>
  <c r="N121" s="1"/>
  <c r="L121"/>
  <c r="K121"/>
  <c r="G121"/>
  <c r="E121"/>
  <c r="M120"/>
  <c r="L120"/>
  <c r="K120"/>
  <c r="G120"/>
  <c r="E120"/>
  <c r="M119"/>
  <c r="N119" s="1"/>
  <c r="L119"/>
  <c r="K119"/>
  <c r="G119"/>
  <c r="E119"/>
  <c r="M118"/>
  <c r="L118"/>
  <c r="K118"/>
  <c r="G118"/>
  <c r="E118"/>
  <c r="N117"/>
  <c r="M117"/>
  <c r="L117"/>
  <c r="K117"/>
  <c r="G117"/>
  <c r="E117"/>
  <c r="M116"/>
  <c r="L116"/>
  <c r="N116" s="1"/>
  <c r="K116"/>
  <c r="G116"/>
  <c r="E116"/>
  <c r="N115"/>
  <c r="M115"/>
  <c r="L115"/>
  <c r="K115"/>
  <c r="G115"/>
  <c r="E115"/>
  <c r="M114"/>
  <c r="L114"/>
  <c r="N114" s="1"/>
  <c r="K114"/>
  <c r="G114"/>
  <c r="E114"/>
  <c r="M113"/>
  <c r="N113" s="1"/>
  <c r="L113"/>
  <c r="K113"/>
  <c r="G113"/>
  <c r="E113"/>
  <c r="M112"/>
  <c r="L112"/>
  <c r="K112"/>
  <c r="G112"/>
  <c r="E112"/>
  <c r="M111"/>
  <c r="N111" s="1"/>
  <c r="L111"/>
  <c r="K111"/>
  <c r="G111"/>
  <c r="E111"/>
  <c r="M110"/>
  <c r="L110"/>
  <c r="K110"/>
  <c r="G110"/>
  <c r="E110"/>
  <c r="N109"/>
  <c r="M109"/>
  <c r="L109"/>
  <c r="K109"/>
  <c r="G109"/>
  <c r="E109"/>
  <c r="M108"/>
  <c r="L108"/>
  <c r="N108" s="1"/>
  <c r="K108"/>
  <c r="G108"/>
  <c r="E108"/>
  <c r="N107"/>
  <c r="M107"/>
  <c r="L107"/>
  <c r="K107"/>
  <c r="G107"/>
  <c r="E107"/>
  <c r="M106"/>
  <c r="L106"/>
  <c r="N106" s="1"/>
  <c r="K106"/>
  <c r="G106"/>
  <c r="E106"/>
  <c r="M105"/>
  <c r="N105" s="1"/>
  <c r="L105"/>
  <c r="K105"/>
  <c r="G105"/>
  <c r="E105"/>
  <c r="M104"/>
  <c r="L104"/>
  <c r="K104"/>
  <c r="G104"/>
  <c r="E104"/>
  <c r="M103"/>
  <c r="N103" s="1"/>
  <c r="L103"/>
  <c r="K103"/>
  <c r="G103"/>
  <c r="E103"/>
  <c r="M102"/>
  <c r="L102"/>
  <c r="K102"/>
  <c r="G102"/>
  <c r="E102"/>
  <c r="N101"/>
  <c r="M101"/>
  <c r="L101"/>
  <c r="K101"/>
  <c r="G101"/>
  <c r="E101"/>
  <c r="M100"/>
  <c r="L100"/>
  <c r="N100" s="1"/>
  <c r="K100"/>
  <c r="G100"/>
  <c r="E100"/>
  <c r="N99"/>
  <c r="M99"/>
  <c r="L99"/>
  <c r="K99"/>
  <c r="G99"/>
  <c r="E99"/>
  <c r="M98"/>
  <c r="L98"/>
  <c r="N98" s="1"/>
  <c r="K98"/>
  <c r="G98"/>
  <c r="E98"/>
  <c r="M97"/>
  <c r="N97" s="1"/>
  <c r="L97"/>
  <c r="K97"/>
  <c r="G97"/>
  <c r="E97"/>
  <c r="M96"/>
  <c r="L96"/>
  <c r="K96"/>
  <c r="G96"/>
  <c r="E96"/>
  <c r="M95"/>
  <c r="N95" s="1"/>
  <c r="L95"/>
  <c r="K95"/>
  <c r="G95"/>
  <c r="E95"/>
  <c r="M94"/>
  <c r="L94"/>
  <c r="K94"/>
  <c r="G94"/>
  <c r="E94"/>
  <c r="N93"/>
  <c r="M93"/>
  <c r="L93"/>
  <c r="K93"/>
  <c r="G93"/>
  <c r="E93"/>
  <c r="M92"/>
  <c r="L92"/>
  <c r="N92" s="1"/>
  <c r="K92"/>
  <c r="G92"/>
  <c r="E92"/>
  <c r="N91"/>
  <c r="M91"/>
  <c r="L91"/>
  <c r="K91"/>
  <c r="G91"/>
  <c r="E91"/>
  <c r="M90"/>
  <c r="L90"/>
  <c r="N90" s="1"/>
  <c r="K90"/>
  <c r="G90"/>
  <c r="E90"/>
  <c r="M89"/>
  <c r="N89" s="1"/>
  <c r="L89"/>
  <c r="K89"/>
  <c r="G89"/>
  <c r="E89"/>
  <c r="M88"/>
  <c r="L88"/>
  <c r="K88"/>
  <c r="G88"/>
  <c r="E88"/>
  <c r="M87"/>
  <c r="N87" s="1"/>
  <c r="L87"/>
  <c r="K87"/>
  <c r="G87"/>
  <c r="E87"/>
  <c r="M86"/>
  <c r="L86"/>
  <c r="K86"/>
  <c r="G86"/>
  <c r="E86"/>
  <c r="N85"/>
  <c r="M85"/>
  <c r="L85"/>
  <c r="K85"/>
  <c r="G85"/>
  <c r="E85"/>
  <c r="M84"/>
  <c r="L84"/>
  <c r="N84" s="1"/>
  <c r="K84"/>
  <c r="G84"/>
  <c r="E84"/>
  <c r="N83"/>
  <c r="M83"/>
  <c r="L83"/>
  <c r="K83"/>
  <c r="G83"/>
  <c r="E83"/>
  <c r="M82"/>
  <c r="L82"/>
  <c r="N82" s="1"/>
  <c r="K82"/>
  <c r="G82"/>
  <c r="E82"/>
  <c r="M81"/>
  <c r="N81" s="1"/>
  <c r="L81"/>
  <c r="K81"/>
  <c r="G81"/>
  <c r="E81"/>
  <c r="M80"/>
  <c r="L80"/>
  <c r="K80"/>
  <c r="G80"/>
  <c r="E80"/>
  <c r="M79"/>
  <c r="N79" s="1"/>
  <c r="L79"/>
  <c r="K79"/>
  <c r="G79"/>
  <c r="E79"/>
  <c r="M78"/>
  <c r="L78"/>
  <c r="K78"/>
  <c r="G78"/>
  <c r="E78"/>
  <c r="N77"/>
  <c r="M77"/>
  <c r="L77"/>
  <c r="K77"/>
  <c r="G77"/>
  <c r="E77"/>
  <c r="M76"/>
  <c r="L76"/>
  <c r="N76" s="1"/>
  <c r="K76"/>
  <c r="G76"/>
  <c r="E76"/>
  <c r="N75"/>
  <c r="M75"/>
  <c r="L75"/>
  <c r="K75"/>
  <c r="G75"/>
  <c r="E75"/>
  <c r="M74"/>
  <c r="L74"/>
  <c r="N74" s="1"/>
  <c r="K74"/>
  <c r="G74"/>
  <c r="E74"/>
  <c r="M73"/>
  <c r="N73" s="1"/>
  <c r="L73"/>
  <c r="K73"/>
  <c r="G73"/>
  <c r="E73"/>
  <c r="M72"/>
  <c r="L72"/>
  <c r="K72"/>
  <c r="G72"/>
  <c r="E72"/>
  <c r="M71"/>
  <c r="N71" s="1"/>
  <c r="L71"/>
  <c r="K71"/>
  <c r="G71"/>
  <c r="E71"/>
  <c r="M70"/>
  <c r="L70"/>
  <c r="K70"/>
  <c r="G70"/>
  <c r="E70"/>
  <c r="N69"/>
  <c r="M69"/>
  <c r="L69"/>
  <c r="K69"/>
  <c r="G69"/>
  <c r="E69"/>
  <c r="M68"/>
  <c r="L68"/>
  <c r="N68" s="1"/>
  <c r="K68"/>
  <c r="G68"/>
  <c r="E68"/>
  <c r="N67"/>
  <c r="M67"/>
  <c r="L67"/>
  <c r="K67"/>
  <c r="G67"/>
  <c r="E67"/>
  <c r="M66"/>
  <c r="L66"/>
  <c r="N66" s="1"/>
  <c r="K66"/>
  <c r="G66"/>
  <c r="E66"/>
  <c r="M65"/>
  <c r="N65" s="1"/>
  <c r="L65"/>
  <c r="K65"/>
  <c r="G65"/>
  <c r="E65"/>
  <c r="M64"/>
  <c r="L64"/>
  <c r="K64"/>
  <c r="G64"/>
  <c r="E64"/>
  <c r="M63"/>
  <c r="N63" s="1"/>
  <c r="L63"/>
  <c r="K63"/>
  <c r="G63"/>
  <c r="E63"/>
  <c r="M62"/>
  <c r="L62"/>
  <c r="K62"/>
  <c r="G62"/>
  <c r="E62"/>
  <c r="N61"/>
  <c r="M61"/>
  <c r="L61"/>
  <c r="K61"/>
  <c r="G61"/>
  <c r="E61"/>
  <c r="M60"/>
  <c r="L60"/>
  <c r="N60" s="1"/>
  <c r="K60"/>
  <c r="G60"/>
  <c r="E60"/>
  <c r="N59"/>
  <c r="M59"/>
  <c r="L59"/>
  <c r="K59"/>
  <c r="G59"/>
  <c r="E59"/>
  <c r="M58"/>
  <c r="L58"/>
  <c r="N58" s="1"/>
  <c r="K58"/>
  <c r="G58"/>
  <c r="E58"/>
  <c r="M57"/>
  <c r="N57" s="1"/>
  <c r="L57"/>
  <c r="K57"/>
  <c r="G57"/>
  <c r="E57"/>
  <c r="M56"/>
  <c r="K56"/>
  <c r="L56" s="1"/>
  <c r="G56"/>
  <c r="E56"/>
  <c r="M55"/>
  <c r="N55" s="1"/>
  <c r="L55"/>
  <c r="K55"/>
  <c r="G55"/>
  <c r="E55"/>
  <c r="M54"/>
  <c r="K54"/>
  <c r="L54" s="1"/>
  <c r="G54"/>
  <c r="E54"/>
  <c r="M53"/>
  <c r="N53" s="1"/>
  <c r="L53"/>
  <c r="K53"/>
  <c r="G53"/>
  <c r="E53"/>
  <c r="M52"/>
  <c r="K52"/>
  <c r="L52" s="1"/>
  <c r="N52" s="1"/>
  <c r="G52"/>
  <c r="E52"/>
  <c r="M51"/>
  <c r="N51" s="1"/>
  <c r="L51"/>
  <c r="K51"/>
  <c r="G51"/>
  <c r="E51"/>
  <c r="M50"/>
  <c r="K50"/>
  <c r="L50" s="1"/>
  <c r="N50" s="1"/>
  <c r="G50"/>
  <c r="E50"/>
  <c r="M49"/>
  <c r="N49" s="1"/>
  <c r="L49"/>
  <c r="K49"/>
  <c r="G49"/>
  <c r="E49"/>
  <c r="M48"/>
  <c r="K48"/>
  <c r="L48" s="1"/>
  <c r="G48"/>
  <c r="E48"/>
  <c r="M47"/>
  <c r="N47" s="1"/>
  <c r="L47"/>
  <c r="K47"/>
  <c r="G47"/>
  <c r="E47"/>
  <c r="M46"/>
  <c r="K46"/>
  <c r="L46" s="1"/>
  <c r="G46"/>
  <c r="E46"/>
  <c r="M45"/>
  <c r="N45" s="1"/>
  <c r="L45"/>
  <c r="K45"/>
  <c r="G45"/>
  <c r="E45"/>
  <c r="M44"/>
  <c r="K44"/>
  <c r="L44" s="1"/>
  <c r="N44" s="1"/>
  <c r="G44"/>
  <c r="E44"/>
  <c r="M43"/>
  <c r="N43" s="1"/>
  <c r="L43"/>
  <c r="K43"/>
  <c r="G43"/>
  <c r="E43"/>
  <c r="M42"/>
  <c r="K42"/>
  <c r="L42" s="1"/>
  <c r="N42" s="1"/>
  <c r="G42"/>
  <c r="E42"/>
  <c r="M41"/>
  <c r="N41" s="1"/>
  <c r="L41"/>
  <c r="K41"/>
  <c r="G41"/>
  <c r="E41"/>
  <c r="M40"/>
  <c r="K40"/>
  <c r="L40" s="1"/>
  <c r="G40"/>
  <c r="E40"/>
  <c r="M39"/>
  <c r="N39" s="1"/>
  <c r="L39"/>
  <c r="K39"/>
  <c r="G39"/>
  <c r="E39"/>
  <c r="M38"/>
  <c r="K38"/>
  <c r="L38" s="1"/>
  <c r="G38"/>
  <c r="E38"/>
  <c r="M37"/>
  <c r="N37" s="1"/>
  <c r="L37"/>
  <c r="K37"/>
  <c r="G37"/>
  <c r="E37"/>
  <c r="M36"/>
  <c r="K36"/>
  <c r="L36" s="1"/>
  <c r="N36" s="1"/>
  <c r="G36"/>
  <c r="E36"/>
  <c r="M35"/>
  <c r="N35" s="1"/>
  <c r="L35"/>
  <c r="K35"/>
  <c r="G35"/>
  <c r="E35"/>
  <c r="M34"/>
  <c r="K34"/>
  <c r="L34" s="1"/>
  <c r="N34" s="1"/>
  <c r="G34"/>
  <c r="E34"/>
  <c r="M33"/>
  <c r="N33" s="1"/>
  <c r="L33"/>
  <c r="K33"/>
  <c r="G33"/>
  <c r="E33"/>
  <c r="M32"/>
  <c r="K32"/>
  <c r="L32" s="1"/>
  <c r="G32"/>
  <c r="E32"/>
  <c r="M31"/>
  <c r="N31" s="1"/>
  <c r="L31"/>
  <c r="K31"/>
  <c r="G31"/>
  <c r="E31"/>
  <c r="M30"/>
  <c r="K30"/>
  <c r="L30" s="1"/>
  <c r="G30"/>
  <c r="E30"/>
  <c r="M29"/>
  <c r="N29" s="1"/>
  <c r="L29"/>
  <c r="K29"/>
  <c r="G29"/>
  <c r="E29"/>
  <c r="M28"/>
  <c r="K28"/>
  <c r="L28" s="1"/>
  <c r="N28" s="1"/>
  <c r="G28"/>
  <c r="E28"/>
  <c r="M27"/>
  <c r="N27" s="1"/>
  <c r="L27"/>
  <c r="K27"/>
  <c r="G27"/>
  <c r="E27"/>
  <c r="M26"/>
  <c r="K26"/>
  <c r="L26" s="1"/>
  <c r="N26" s="1"/>
  <c r="G26"/>
  <c r="E26"/>
  <c r="M25"/>
  <c r="N25" s="1"/>
  <c r="L25"/>
  <c r="K25"/>
  <c r="G25"/>
  <c r="E25"/>
  <c r="M24"/>
  <c r="K24"/>
  <c r="L24" s="1"/>
  <c r="G24"/>
  <c r="E24"/>
  <c r="M23"/>
  <c r="N23" s="1"/>
  <c r="L23"/>
  <c r="K23"/>
  <c r="G23"/>
  <c r="E23"/>
  <c r="M22"/>
  <c r="K22"/>
  <c r="L22" s="1"/>
  <c r="G22"/>
  <c r="E22"/>
  <c r="M21"/>
  <c r="N21" s="1"/>
  <c r="L21"/>
  <c r="K21"/>
  <c r="G21"/>
  <c r="E21"/>
  <c r="M20"/>
  <c r="K20"/>
  <c r="L20" s="1"/>
  <c r="N20" s="1"/>
  <c r="G20"/>
  <c r="E20"/>
  <c r="M19"/>
  <c r="N19" s="1"/>
  <c r="L19"/>
  <c r="K19"/>
  <c r="G19"/>
  <c r="E19"/>
  <c r="M18"/>
  <c r="K18"/>
  <c r="L18" s="1"/>
  <c r="N18" s="1"/>
  <c r="G18"/>
  <c r="E18"/>
  <c r="M17"/>
  <c r="N17" s="1"/>
  <c r="L17"/>
  <c r="K17"/>
  <c r="G17"/>
  <c r="E17"/>
  <c r="M16"/>
  <c r="K16"/>
  <c r="L16" s="1"/>
  <c r="G16"/>
  <c r="E16"/>
  <c r="M15"/>
  <c r="N15" s="1"/>
  <c r="L15"/>
  <c r="K15"/>
  <c r="G15"/>
  <c r="E15"/>
  <c r="M14"/>
  <c r="K14"/>
  <c r="L14" s="1"/>
  <c r="G14"/>
  <c r="E14"/>
  <c r="M13"/>
  <c r="N13" s="1"/>
  <c r="L13"/>
  <c r="K13"/>
  <c r="G13"/>
  <c r="E13"/>
  <c r="M12"/>
  <c r="K12"/>
  <c r="L12" s="1"/>
  <c r="N12" s="1"/>
  <c r="G12"/>
  <c r="E12"/>
  <c r="M11"/>
  <c r="N11" s="1"/>
  <c r="L11"/>
  <c r="K11"/>
  <c r="G11"/>
  <c r="E11"/>
  <c r="M10"/>
  <c r="K10"/>
  <c r="L10" s="1"/>
  <c r="N10" s="1"/>
  <c r="G10"/>
  <c r="E10"/>
  <c r="M9"/>
  <c r="N9" s="1"/>
  <c r="L9"/>
  <c r="K9"/>
  <c r="G9"/>
  <c r="E9"/>
  <c r="M8"/>
  <c r="K8"/>
  <c r="L8" s="1"/>
  <c r="G8"/>
  <c r="E8"/>
  <c r="M7"/>
  <c r="N7" s="1"/>
  <c r="L7"/>
  <c r="K7"/>
  <c r="G7"/>
  <c r="E7"/>
  <c r="M6"/>
  <c r="K6"/>
  <c r="L6" s="1"/>
  <c r="G6"/>
  <c r="E6"/>
  <c r="M5"/>
  <c r="N5" s="1"/>
  <c r="L5"/>
  <c r="K5"/>
  <c r="G5"/>
  <c r="E5"/>
  <c r="M4"/>
  <c r="K4"/>
  <c r="L4" s="1"/>
  <c r="N4" s="1"/>
  <c r="G4"/>
  <c r="E4"/>
  <c r="M3"/>
  <c r="N3" s="1"/>
  <c r="L3"/>
  <c r="K3"/>
  <c r="G3"/>
  <c r="E3"/>
  <c r="M2"/>
  <c r="K2"/>
  <c r="L2" s="1"/>
  <c r="N2" s="1"/>
  <c r="G2"/>
  <c r="E2"/>
  <c r="H501" i="18"/>
  <c r="J501" s="1"/>
  <c r="D501"/>
  <c r="J500"/>
  <c r="H500"/>
  <c r="D500"/>
  <c r="H499"/>
  <c r="J499" s="1"/>
  <c r="D499"/>
  <c r="J498"/>
  <c r="H498"/>
  <c r="D498"/>
  <c r="H497"/>
  <c r="J497" s="1"/>
  <c r="D497"/>
  <c r="J496"/>
  <c r="H496"/>
  <c r="D496"/>
  <c r="H495"/>
  <c r="J495" s="1"/>
  <c r="D495"/>
  <c r="J494"/>
  <c r="H494"/>
  <c r="D494"/>
  <c r="H493"/>
  <c r="J493" s="1"/>
  <c r="D493"/>
  <c r="J492"/>
  <c r="H492"/>
  <c r="D492"/>
  <c r="H491"/>
  <c r="J491" s="1"/>
  <c r="D491"/>
  <c r="J490"/>
  <c r="H490"/>
  <c r="D490"/>
  <c r="H489"/>
  <c r="J489" s="1"/>
  <c r="D489"/>
  <c r="J488"/>
  <c r="H488"/>
  <c r="D488"/>
  <c r="H487"/>
  <c r="J487" s="1"/>
  <c r="D487"/>
  <c r="J486"/>
  <c r="H486"/>
  <c r="D486"/>
  <c r="H485"/>
  <c r="J485" s="1"/>
  <c r="D485"/>
  <c r="J484"/>
  <c r="H484"/>
  <c r="D484"/>
  <c r="H483"/>
  <c r="J483" s="1"/>
  <c r="D483"/>
  <c r="J482"/>
  <c r="H482"/>
  <c r="D482"/>
  <c r="H481"/>
  <c r="J481" s="1"/>
  <c r="D481"/>
  <c r="J480"/>
  <c r="H480"/>
  <c r="D480"/>
  <c r="H479"/>
  <c r="J479" s="1"/>
  <c r="D479"/>
  <c r="J478"/>
  <c r="H478"/>
  <c r="D478"/>
  <c r="H477"/>
  <c r="J477" s="1"/>
  <c r="D477"/>
  <c r="J476"/>
  <c r="H476"/>
  <c r="D476"/>
  <c r="H475"/>
  <c r="J475" s="1"/>
  <c r="D475"/>
  <c r="J474"/>
  <c r="H474"/>
  <c r="D474"/>
  <c r="H473"/>
  <c r="J473" s="1"/>
  <c r="D473"/>
  <c r="J472"/>
  <c r="H472"/>
  <c r="D472"/>
  <c r="H471"/>
  <c r="J471" s="1"/>
  <c r="D471"/>
  <c r="J470"/>
  <c r="H470"/>
  <c r="D470"/>
  <c r="H469"/>
  <c r="J469" s="1"/>
  <c r="D469"/>
  <c r="J468"/>
  <c r="H468"/>
  <c r="D468"/>
  <c r="H467"/>
  <c r="J467" s="1"/>
  <c r="D467"/>
  <c r="J466"/>
  <c r="H466"/>
  <c r="D466"/>
  <c r="H465"/>
  <c r="J465" s="1"/>
  <c r="D465"/>
  <c r="J464"/>
  <c r="H464"/>
  <c r="D464"/>
  <c r="H463"/>
  <c r="J463" s="1"/>
  <c r="D463"/>
  <c r="J462"/>
  <c r="H462"/>
  <c r="D462"/>
  <c r="H461"/>
  <c r="J461" s="1"/>
  <c r="D461"/>
  <c r="J460"/>
  <c r="H460"/>
  <c r="D460"/>
  <c r="H459"/>
  <c r="J459" s="1"/>
  <c r="D459"/>
  <c r="J458"/>
  <c r="H458"/>
  <c r="D458"/>
  <c r="H457"/>
  <c r="J457" s="1"/>
  <c r="D457"/>
  <c r="J456"/>
  <c r="H456"/>
  <c r="D456"/>
  <c r="H455"/>
  <c r="J455" s="1"/>
  <c r="D455"/>
  <c r="J454"/>
  <c r="H454"/>
  <c r="D454"/>
  <c r="H453"/>
  <c r="J453" s="1"/>
  <c r="D453"/>
  <c r="J452"/>
  <c r="H452"/>
  <c r="D452"/>
  <c r="H451"/>
  <c r="J451" s="1"/>
  <c r="D451"/>
  <c r="J450"/>
  <c r="H450"/>
  <c r="D450"/>
  <c r="H449"/>
  <c r="J449" s="1"/>
  <c r="D449"/>
  <c r="J448"/>
  <c r="H448"/>
  <c r="D448"/>
  <c r="H447"/>
  <c r="J447" s="1"/>
  <c r="D447"/>
  <c r="J446"/>
  <c r="H446"/>
  <c r="D446"/>
  <c r="H445"/>
  <c r="J445" s="1"/>
  <c r="D445"/>
  <c r="J444"/>
  <c r="H444"/>
  <c r="D444"/>
  <c r="H443"/>
  <c r="J443" s="1"/>
  <c r="D443"/>
  <c r="J442"/>
  <c r="H442"/>
  <c r="D442"/>
  <c r="H441"/>
  <c r="J441" s="1"/>
  <c r="D441"/>
  <c r="J440"/>
  <c r="H440"/>
  <c r="D440"/>
  <c r="H439"/>
  <c r="J439" s="1"/>
  <c r="D439"/>
  <c r="J438"/>
  <c r="H438"/>
  <c r="D438"/>
  <c r="H437"/>
  <c r="J437" s="1"/>
  <c r="D437"/>
  <c r="J436"/>
  <c r="H436"/>
  <c r="D436"/>
  <c r="H435"/>
  <c r="J435" s="1"/>
  <c r="D435"/>
  <c r="J434"/>
  <c r="H434"/>
  <c r="D434"/>
  <c r="H433"/>
  <c r="J433" s="1"/>
  <c r="D433"/>
  <c r="J432"/>
  <c r="H432"/>
  <c r="D432"/>
  <c r="H431"/>
  <c r="J431" s="1"/>
  <c r="D431"/>
  <c r="J430"/>
  <c r="H430"/>
  <c r="D430"/>
  <c r="H429"/>
  <c r="J429" s="1"/>
  <c r="D429"/>
  <c r="J428"/>
  <c r="H428"/>
  <c r="D428"/>
  <c r="H427"/>
  <c r="J427" s="1"/>
  <c r="D427"/>
  <c r="J426"/>
  <c r="H426"/>
  <c r="D426"/>
  <c r="H425"/>
  <c r="J425" s="1"/>
  <c r="D425"/>
  <c r="J424"/>
  <c r="H424"/>
  <c r="D424"/>
  <c r="H423"/>
  <c r="J423" s="1"/>
  <c r="D423"/>
  <c r="J422"/>
  <c r="H422"/>
  <c r="D422"/>
  <c r="H421"/>
  <c r="J421" s="1"/>
  <c r="D421"/>
  <c r="J420"/>
  <c r="H420"/>
  <c r="D420"/>
  <c r="H419"/>
  <c r="J419" s="1"/>
  <c r="D419"/>
  <c r="J418"/>
  <c r="H418"/>
  <c r="D418"/>
  <c r="H417"/>
  <c r="J417" s="1"/>
  <c r="D417"/>
  <c r="J416"/>
  <c r="H416"/>
  <c r="D416"/>
  <c r="H415"/>
  <c r="J415" s="1"/>
  <c r="D415"/>
  <c r="J414"/>
  <c r="H414"/>
  <c r="D414"/>
  <c r="H413"/>
  <c r="J413" s="1"/>
  <c r="D413"/>
  <c r="J412"/>
  <c r="H412"/>
  <c r="D412"/>
  <c r="H411"/>
  <c r="J411" s="1"/>
  <c r="D411"/>
  <c r="J410"/>
  <c r="H410"/>
  <c r="D410"/>
  <c r="H409"/>
  <c r="J409" s="1"/>
  <c r="D409"/>
  <c r="J408"/>
  <c r="H408"/>
  <c r="D408"/>
  <c r="H407"/>
  <c r="J407" s="1"/>
  <c r="D407"/>
  <c r="J406"/>
  <c r="H406"/>
  <c r="D406"/>
  <c r="H405"/>
  <c r="J405" s="1"/>
  <c r="D405"/>
  <c r="J404"/>
  <c r="H404"/>
  <c r="D404"/>
  <c r="H403"/>
  <c r="J403" s="1"/>
  <c r="D403"/>
  <c r="J402"/>
  <c r="H402"/>
  <c r="D402"/>
  <c r="H401"/>
  <c r="J401" s="1"/>
  <c r="D401"/>
  <c r="J400"/>
  <c r="H400"/>
  <c r="D400"/>
  <c r="H399"/>
  <c r="J399" s="1"/>
  <c r="D399"/>
  <c r="J398"/>
  <c r="H398"/>
  <c r="D398"/>
  <c r="H397"/>
  <c r="J397" s="1"/>
  <c r="D397"/>
  <c r="J396"/>
  <c r="H396"/>
  <c r="D396"/>
  <c r="H395"/>
  <c r="J395" s="1"/>
  <c r="D395"/>
  <c r="J394"/>
  <c r="H394"/>
  <c r="D394"/>
  <c r="H393"/>
  <c r="J393" s="1"/>
  <c r="D393"/>
  <c r="J392"/>
  <c r="H392"/>
  <c r="D392"/>
  <c r="H391"/>
  <c r="J391" s="1"/>
  <c r="D391"/>
  <c r="J390"/>
  <c r="H390"/>
  <c r="D390"/>
  <c r="H389"/>
  <c r="J389" s="1"/>
  <c r="D389"/>
  <c r="J388"/>
  <c r="H388"/>
  <c r="D388"/>
  <c r="H387"/>
  <c r="J387" s="1"/>
  <c r="D387"/>
  <c r="J386"/>
  <c r="H386"/>
  <c r="D386"/>
  <c r="H385"/>
  <c r="J385" s="1"/>
  <c r="D385"/>
  <c r="J384"/>
  <c r="H384"/>
  <c r="D384"/>
  <c r="H383"/>
  <c r="J383" s="1"/>
  <c r="D383"/>
  <c r="J382"/>
  <c r="H382"/>
  <c r="D382"/>
  <c r="H381"/>
  <c r="J381" s="1"/>
  <c r="D381"/>
  <c r="J380"/>
  <c r="H380"/>
  <c r="D380"/>
  <c r="H379"/>
  <c r="J379" s="1"/>
  <c r="D379"/>
  <c r="J378"/>
  <c r="H378"/>
  <c r="D378"/>
  <c r="H377"/>
  <c r="J377" s="1"/>
  <c r="D377"/>
  <c r="J376"/>
  <c r="H376"/>
  <c r="D376"/>
  <c r="H375"/>
  <c r="J375" s="1"/>
  <c r="D375"/>
  <c r="J374"/>
  <c r="H374"/>
  <c r="D374"/>
  <c r="H373"/>
  <c r="J373" s="1"/>
  <c r="D373"/>
  <c r="J372"/>
  <c r="H372"/>
  <c r="D372"/>
  <c r="H371"/>
  <c r="J371" s="1"/>
  <c r="D371"/>
  <c r="J370"/>
  <c r="H370"/>
  <c r="D370"/>
  <c r="H369"/>
  <c r="J369" s="1"/>
  <c r="D369"/>
  <c r="J368"/>
  <c r="H368"/>
  <c r="D368"/>
  <c r="H367"/>
  <c r="J367" s="1"/>
  <c r="D367"/>
  <c r="J366"/>
  <c r="H366"/>
  <c r="D366"/>
  <c r="H365"/>
  <c r="J365" s="1"/>
  <c r="D365"/>
  <c r="J364"/>
  <c r="H364"/>
  <c r="D364"/>
  <c r="H363"/>
  <c r="J363" s="1"/>
  <c r="D363"/>
  <c r="J362"/>
  <c r="H362"/>
  <c r="D362"/>
  <c r="H361"/>
  <c r="J361" s="1"/>
  <c r="D361"/>
  <c r="J360"/>
  <c r="H360"/>
  <c r="D360"/>
  <c r="H359"/>
  <c r="J359" s="1"/>
  <c r="D359"/>
  <c r="J358"/>
  <c r="H358"/>
  <c r="D358"/>
  <c r="H357"/>
  <c r="J357" s="1"/>
  <c r="D357"/>
  <c r="J356"/>
  <c r="H356"/>
  <c r="D356"/>
  <c r="H355"/>
  <c r="J355" s="1"/>
  <c r="D355"/>
  <c r="J354"/>
  <c r="H354"/>
  <c r="D354"/>
  <c r="H353"/>
  <c r="J353" s="1"/>
  <c r="D353"/>
  <c r="J352"/>
  <c r="H352"/>
  <c r="D352"/>
  <c r="H351"/>
  <c r="J351" s="1"/>
  <c r="D351"/>
  <c r="J350"/>
  <c r="H350"/>
  <c r="D350"/>
  <c r="H349"/>
  <c r="J349" s="1"/>
  <c r="D349"/>
  <c r="J348"/>
  <c r="H348"/>
  <c r="D348"/>
  <c r="H347"/>
  <c r="J347" s="1"/>
  <c r="D347"/>
  <c r="J346"/>
  <c r="H346"/>
  <c r="D346"/>
  <c r="H345"/>
  <c r="J345" s="1"/>
  <c r="D345"/>
  <c r="J344"/>
  <c r="H344"/>
  <c r="D344"/>
  <c r="H343"/>
  <c r="J343" s="1"/>
  <c r="D343"/>
  <c r="J342"/>
  <c r="H342"/>
  <c r="D342"/>
  <c r="H341"/>
  <c r="J341" s="1"/>
  <c r="D341"/>
  <c r="J340"/>
  <c r="H340"/>
  <c r="D340"/>
  <c r="H339"/>
  <c r="J339" s="1"/>
  <c r="D339"/>
  <c r="J338"/>
  <c r="H338"/>
  <c r="D338"/>
  <c r="H337"/>
  <c r="J337" s="1"/>
  <c r="D337"/>
  <c r="J336"/>
  <c r="H336"/>
  <c r="D336"/>
  <c r="H335"/>
  <c r="J335" s="1"/>
  <c r="D335"/>
  <c r="J334"/>
  <c r="H334"/>
  <c r="D334"/>
  <c r="H333"/>
  <c r="J333" s="1"/>
  <c r="D333"/>
  <c r="J332"/>
  <c r="H332"/>
  <c r="D332"/>
  <c r="H331"/>
  <c r="J331" s="1"/>
  <c r="D331"/>
  <c r="J330"/>
  <c r="H330"/>
  <c r="D330"/>
  <c r="H329"/>
  <c r="J329" s="1"/>
  <c r="D329"/>
  <c r="J328"/>
  <c r="H328"/>
  <c r="D328"/>
  <c r="H327"/>
  <c r="J327" s="1"/>
  <c r="D327"/>
  <c r="J326"/>
  <c r="H326"/>
  <c r="D326"/>
  <c r="H325"/>
  <c r="J325" s="1"/>
  <c r="D325"/>
  <c r="J324"/>
  <c r="H324"/>
  <c r="D324"/>
  <c r="H323"/>
  <c r="J323" s="1"/>
  <c r="D323"/>
  <c r="J322"/>
  <c r="H322"/>
  <c r="D322"/>
  <c r="H321"/>
  <c r="J321" s="1"/>
  <c r="D321"/>
  <c r="J320"/>
  <c r="H320"/>
  <c r="D320"/>
  <c r="H319"/>
  <c r="J319" s="1"/>
  <c r="D319"/>
  <c r="J318"/>
  <c r="H318"/>
  <c r="D318"/>
  <c r="H317"/>
  <c r="J317" s="1"/>
  <c r="D317"/>
  <c r="J316"/>
  <c r="H316"/>
  <c r="D316"/>
  <c r="H315"/>
  <c r="J315" s="1"/>
  <c r="D315"/>
  <c r="J314"/>
  <c r="H314"/>
  <c r="D314"/>
  <c r="H313"/>
  <c r="J313" s="1"/>
  <c r="D313"/>
  <c r="J312"/>
  <c r="H312"/>
  <c r="D312"/>
  <c r="H311"/>
  <c r="J311" s="1"/>
  <c r="D311"/>
  <c r="J310"/>
  <c r="H310"/>
  <c r="D310"/>
  <c r="H309"/>
  <c r="J309" s="1"/>
  <c r="D309"/>
  <c r="J308"/>
  <c r="H308"/>
  <c r="D308"/>
  <c r="H307"/>
  <c r="J307" s="1"/>
  <c r="D307"/>
  <c r="J306"/>
  <c r="H306"/>
  <c r="D306"/>
  <c r="H305"/>
  <c r="J305" s="1"/>
  <c r="D305"/>
  <c r="J304"/>
  <c r="H304"/>
  <c r="D304"/>
  <c r="H303"/>
  <c r="J303" s="1"/>
  <c r="D303"/>
  <c r="J302"/>
  <c r="H302"/>
  <c r="D302"/>
  <c r="H301"/>
  <c r="J301" s="1"/>
  <c r="D301"/>
  <c r="J300"/>
  <c r="H300"/>
  <c r="D300"/>
  <c r="H299"/>
  <c r="J299" s="1"/>
  <c r="D299"/>
  <c r="J298"/>
  <c r="H298"/>
  <c r="D298"/>
  <c r="H297"/>
  <c r="J297" s="1"/>
  <c r="D297"/>
  <c r="J296"/>
  <c r="H296"/>
  <c r="D296"/>
  <c r="H295"/>
  <c r="J295" s="1"/>
  <c r="D295"/>
  <c r="J294"/>
  <c r="H294"/>
  <c r="D294"/>
  <c r="H293"/>
  <c r="J293" s="1"/>
  <c r="D293"/>
  <c r="J292"/>
  <c r="H292"/>
  <c r="D292"/>
  <c r="H291"/>
  <c r="J291" s="1"/>
  <c r="D291"/>
  <c r="J290"/>
  <c r="H290"/>
  <c r="D290"/>
  <c r="H289"/>
  <c r="J289" s="1"/>
  <c r="D289"/>
  <c r="J288"/>
  <c r="H288"/>
  <c r="D288"/>
  <c r="H287"/>
  <c r="J287" s="1"/>
  <c r="D287"/>
  <c r="J286"/>
  <c r="H286"/>
  <c r="D286"/>
  <c r="H285"/>
  <c r="J285" s="1"/>
  <c r="D285"/>
  <c r="J284"/>
  <c r="H284"/>
  <c r="D284"/>
  <c r="H283"/>
  <c r="J283" s="1"/>
  <c r="D283"/>
  <c r="J282"/>
  <c r="H282"/>
  <c r="D282"/>
  <c r="H281"/>
  <c r="J281" s="1"/>
  <c r="D281"/>
  <c r="J280"/>
  <c r="H280"/>
  <c r="D280"/>
  <c r="H279"/>
  <c r="J279" s="1"/>
  <c r="D279"/>
  <c r="J278"/>
  <c r="H278"/>
  <c r="D278"/>
  <c r="H277"/>
  <c r="J277" s="1"/>
  <c r="D277"/>
  <c r="J276"/>
  <c r="H276"/>
  <c r="D276"/>
  <c r="H275"/>
  <c r="J275" s="1"/>
  <c r="D275"/>
  <c r="J274"/>
  <c r="H274"/>
  <c r="D274"/>
  <c r="H273"/>
  <c r="J273" s="1"/>
  <c r="D273"/>
  <c r="J272"/>
  <c r="H272"/>
  <c r="D272"/>
  <c r="H271"/>
  <c r="J271" s="1"/>
  <c r="D271"/>
  <c r="J270"/>
  <c r="H270"/>
  <c r="D270"/>
  <c r="H269"/>
  <c r="J269" s="1"/>
  <c r="D269"/>
  <c r="J268"/>
  <c r="H268"/>
  <c r="D268"/>
  <c r="H267"/>
  <c r="J267" s="1"/>
  <c r="D267"/>
  <c r="J266"/>
  <c r="H266"/>
  <c r="D266"/>
  <c r="H265"/>
  <c r="J265" s="1"/>
  <c r="D265"/>
  <c r="J264"/>
  <c r="H264"/>
  <c r="D264"/>
  <c r="H263"/>
  <c r="J263" s="1"/>
  <c r="D263"/>
  <c r="J262"/>
  <c r="H262"/>
  <c r="D262"/>
  <c r="H261"/>
  <c r="J261" s="1"/>
  <c r="D261"/>
  <c r="J260"/>
  <c r="H260"/>
  <c r="D260"/>
  <c r="H259"/>
  <c r="J259" s="1"/>
  <c r="D259"/>
  <c r="J258"/>
  <c r="H258"/>
  <c r="D258"/>
  <c r="H257"/>
  <c r="J257" s="1"/>
  <c r="D257"/>
  <c r="J256"/>
  <c r="H256"/>
  <c r="D256"/>
  <c r="H255"/>
  <c r="J255" s="1"/>
  <c r="D255"/>
  <c r="J254"/>
  <c r="H254"/>
  <c r="D254"/>
  <c r="H253"/>
  <c r="J253" s="1"/>
  <c r="D253"/>
  <c r="J252"/>
  <c r="H252"/>
  <c r="D252"/>
  <c r="H251"/>
  <c r="J251" s="1"/>
  <c r="D251"/>
  <c r="J250"/>
  <c r="H250"/>
  <c r="D250"/>
  <c r="H249"/>
  <c r="J249" s="1"/>
  <c r="D249"/>
  <c r="J248"/>
  <c r="H248"/>
  <c r="D248"/>
  <c r="H247"/>
  <c r="J247" s="1"/>
  <c r="D247"/>
  <c r="J246"/>
  <c r="H246"/>
  <c r="D246"/>
  <c r="H245"/>
  <c r="J245" s="1"/>
  <c r="D245"/>
  <c r="J244"/>
  <c r="H244"/>
  <c r="D244"/>
  <c r="H243"/>
  <c r="J243" s="1"/>
  <c r="D243"/>
  <c r="J242"/>
  <c r="H242"/>
  <c r="D242"/>
  <c r="H241"/>
  <c r="J241" s="1"/>
  <c r="D241"/>
  <c r="J240"/>
  <c r="H240"/>
  <c r="D240"/>
  <c r="H239"/>
  <c r="J239" s="1"/>
  <c r="D239"/>
  <c r="J238"/>
  <c r="H238"/>
  <c r="D238"/>
  <c r="H237"/>
  <c r="J237" s="1"/>
  <c r="D237"/>
  <c r="J236"/>
  <c r="H236"/>
  <c r="D236"/>
  <c r="H235"/>
  <c r="J235" s="1"/>
  <c r="D235"/>
  <c r="J234"/>
  <c r="H234"/>
  <c r="D234"/>
  <c r="H233"/>
  <c r="J233" s="1"/>
  <c r="D233"/>
  <c r="J232"/>
  <c r="H232"/>
  <c r="D232"/>
  <c r="H231"/>
  <c r="J231" s="1"/>
  <c r="D231"/>
  <c r="J230"/>
  <c r="H230"/>
  <c r="D230"/>
  <c r="H229"/>
  <c r="J229" s="1"/>
  <c r="D229"/>
  <c r="J228"/>
  <c r="H228"/>
  <c r="D228"/>
  <c r="H227"/>
  <c r="J227" s="1"/>
  <c r="D227"/>
  <c r="J226"/>
  <c r="H226"/>
  <c r="D226"/>
  <c r="H225"/>
  <c r="J225" s="1"/>
  <c r="D225"/>
  <c r="J224"/>
  <c r="H224"/>
  <c r="D224"/>
  <c r="H223"/>
  <c r="J223" s="1"/>
  <c r="D223"/>
  <c r="J222"/>
  <c r="H222"/>
  <c r="D222"/>
  <c r="H221"/>
  <c r="J221" s="1"/>
  <c r="D221"/>
  <c r="J220"/>
  <c r="H220"/>
  <c r="D220"/>
  <c r="H219"/>
  <c r="J219" s="1"/>
  <c r="D219"/>
  <c r="J218"/>
  <c r="H218"/>
  <c r="D218"/>
  <c r="H217"/>
  <c r="J217" s="1"/>
  <c r="D217"/>
  <c r="J216"/>
  <c r="H216"/>
  <c r="D216"/>
  <c r="H215"/>
  <c r="J215" s="1"/>
  <c r="D215"/>
  <c r="J214"/>
  <c r="H214"/>
  <c r="D214"/>
  <c r="H213"/>
  <c r="J213" s="1"/>
  <c r="D213"/>
  <c r="J212"/>
  <c r="H212"/>
  <c r="D212"/>
  <c r="H211"/>
  <c r="J211" s="1"/>
  <c r="D211"/>
  <c r="J210"/>
  <c r="H210"/>
  <c r="D210"/>
  <c r="H209"/>
  <c r="J209" s="1"/>
  <c r="D209"/>
  <c r="J208"/>
  <c r="H208"/>
  <c r="D208"/>
  <c r="H207"/>
  <c r="J207" s="1"/>
  <c r="D207"/>
  <c r="J206"/>
  <c r="H206"/>
  <c r="D206"/>
  <c r="H205"/>
  <c r="J205" s="1"/>
  <c r="D205"/>
  <c r="J204"/>
  <c r="H204"/>
  <c r="D204"/>
  <c r="H203"/>
  <c r="J203" s="1"/>
  <c r="D203"/>
  <c r="J202"/>
  <c r="H202"/>
  <c r="D202"/>
  <c r="H201"/>
  <c r="J201" s="1"/>
  <c r="D201"/>
  <c r="J200"/>
  <c r="H200"/>
  <c r="D200"/>
  <c r="H199"/>
  <c r="J199" s="1"/>
  <c r="D199"/>
  <c r="J198"/>
  <c r="H198"/>
  <c r="D198"/>
  <c r="H197"/>
  <c r="J197" s="1"/>
  <c r="D197"/>
  <c r="J196"/>
  <c r="H196"/>
  <c r="D196"/>
  <c r="H195"/>
  <c r="J195" s="1"/>
  <c r="D195"/>
  <c r="J194"/>
  <c r="H194"/>
  <c r="D194"/>
  <c r="H193"/>
  <c r="J193" s="1"/>
  <c r="D193"/>
  <c r="J192"/>
  <c r="H192"/>
  <c r="D192"/>
  <c r="H191"/>
  <c r="J191" s="1"/>
  <c r="D191"/>
  <c r="J190"/>
  <c r="H190"/>
  <c r="D190"/>
  <c r="H189"/>
  <c r="J189" s="1"/>
  <c r="D189"/>
  <c r="J188"/>
  <c r="H188"/>
  <c r="D188"/>
  <c r="H187"/>
  <c r="J187" s="1"/>
  <c r="D187"/>
  <c r="J186"/>
  <c r="H186"/>
  <c r="D186"/>
  <c r="H185"/>
  <c r="J185" s="1"/>
  <c r="D185"/>
  <c r="J184"/>
  <c r="H184"/>
  <c r="D184"/>
  <c r="H183"/>
  <c r="J183" s="1"/>
  <c r="D183"/>
  <c r="J182"/>
  <c r="H182"/>
  <c r="D182"/>
  <c r="H181"/>
  <c r="J181" s="1"/>
  <c r="D181"/>
  <c r="J180"/>
  <c r="H180"/>
  <c r="D180"/>
  <c r="H179"/>
  <c r="J179" s="1"/>
  <c r="D179"/>
  <c r="J178"/>
  <c r="H178"/>
  <c r="D178"/>
  <c r="H177"/>
  <c r="J177" s="1"/>
  <c r="D177"/>
  <c r="J176"/>
  <c r="H176"/>
  <c r="D176"/>
  <c r="H175"/>
  <c r="J175" s="1"/>
  <c r="D175"/>
  <c r="J174"/>
  <c r="H174"/>
  <c r="D174"/>
  <c r="H173"/>
  <c r="J173" s="1"/>
  <c r="D173"/>
  <c r="J172"/>
  <c r="H172"/>
  <c r="D172"/>
  <c r="H171"/>
  <c r="J171" s="1"/>
  <c r="D171"/>
  <c r="J170"/>
  <c r="H170"/>
  <c r="D170"/>
  <c r="H169"/>
  <c r="J169" s="1"/>
  <c r="D169"/>
  <c r="J168"/>
  <c r="H168"/>
  <c r="D168"/>
  <c r="H167"/>
  <c r="J167" s="1"/>
  <c r="D167"/>
  <c r="J166"/>
  <c r="H166"/>
  <c r="D166"/>
  <c r="H165"/>
  <c r="J165" s="1"/>
  <c r="D165"/>
  <c r="J164"/>
  <c r="H164"/>
  <c r="D164"/>
  <c r="H163"/>
  <c r="J163" s="1"/>
  <c r="D163"/>
  <c r="J162"/>
  <c r="H162"/>
  <c r="D162"/>
  <c r="H161"/>
  <c r="J161" s="1"/>
  <c r="D161"/>
  <c r="J160"/>
  <c r="H160"/>
  <c r="D160"/>
  <c r="H159"/>
  <c r="J159" s="1"/>
  <c r="D159"/>
  <c r="J158"/>
  <c r="H158"/>
  <c r="D158"/>
  <c r="H157"/>
  <c r="J157" s="1"/>
  <c r="D157"/>
  <c r="J156"/>
  <c r="H156"/>
  <c r="D156"/>
  <c r="H155"/>
  <c r="J155" s="1"/>
  <c r="D155"/>
  <c r="J154"/>
  <c r="H154"/>
  <c r="D154"/>
  <c r="H153"/>
  <c r="J153" s="1"/>
  <c r="D153"/>
  <c r="J152"/>
  <c r="H152"/>
  <c r="D152"/>
  <c r="H151"/>
  <c r="J151" s="1"/>
  <c r="D151"/>
  <c r="J150"/>
  <c r="H150"/>
  <c r="D150"/>
  <c r="H149"/>
  <c r="J149" s="1"/>
  <c r="D149"/>
  <c r="J148"/>
  <c r="H148"/>
  <c r="D148"/>
  <c r="H147"/>
  <c r="J147" s="1"/>
  <c r="D147"/>
  <c r="J146"/>
  <c r="H146"/>
  <c r="D146"/>
  <c r="H145"/>
  <c r="J145" s="1"/>
  <c r="D145"/>
  <c r="J144"/>
  <c r="H144"/>
  <c r="D144"/>
  <c r="H143"/>
  <c r="J143" s="1"/>
  <c r="D143"/>
  <c r="J142"/>
  <c r="H142"/>
  <c r="D142"/>
  <c r="H141"/>
  <c r="J141" s="1"/>
  <c r="D141"/>
  <c r="J140"/>
  <c r="H140"/>
  <c r="D140"/>
  <c r="H139"/>
  <c r="J139" s="1"/>
  <c r="D139"/>
  <c r="J138"/>
  <c r="H138"/>
  <c r="D138"/>
  <c r="H137"/>
  <c r="J137" s="1"/>
  <c r="D137"/>
  <c r="J136"/>
  <c r="H136"/>
  <c r="D136"/>
  <c r="H135"/>
  <c r="J135" s="1"/>
  <c r="D135"/>
  <c r="J134"/>
  <c r="H134"/>
  <c r="D134"/>
  <c r="H133"/>
  <c r="J133" s="1"/>
  <c r="D133"/>
  <c r="J132"/>
  <c r="H132"/>
  <c r="D132"/>
  <c r="H131"/>
  <c r="J131" s="1"/>
  <c r="D131"/>
  <c r="J130"/>
  <c r="H130"/>
  <c r="D130"/>
  <c r="H129"/>
  <c r="J129" s="1"/>
  <c r="D129"/>
  <c r="J128"/>
  <c r="H128"/>
  <c r="D128"/>
  <c r="H127"/>
  <c r="J127" s="1"/>
  <c r="D127"/>
  <c r="J126"/>
  <c r="H126"/>
  <c r="D126"/>
  <c r="H125"/>
  <c r="J125" s="1"/>
  <c r="D125"/>
  <c r="J124"/>
  <c r="H124"/>
  <c r="D124"/>
  <c r="H123"/>
  <c r="J123" s="1"/>
  <c r="D123"/>
  <c r="J122"/>
  <c r="H122"/>
  <c r="D122"/>
  <c r="H121"/>
  <c r="J121" s="1"/>
  <c r="D121"/>
  <c r="J120"/>
  <c r="H120"/>
  <c r="D120"/>
  <c r="H119"/>
  <c r="J119" s="1"/>
  <c r="D119"/>
  <c r="J118"/>
  <c r="H118"/>
  <c r="D118"/>
  <c r="H117"/>
  <c r="J117" s="1"/>
  <c r="D117"/>
  <c r="J116"/>
  <c r="H116"/>
  <c r="D116"/>
  <c r="H115"/>
  <c r="J115" s="1"/>
  <c r="D115"/>
  <c r="J114"/>
  <c r="H114"/>
  <c r="D114"/>
  <c r="H113"/>
  <c r="J113" s="1"/>
  <c r="D113"/>
  <c r="J112"/>
  <c r="H112"/>
  <c r="D112"/>
  <c r="H111"/>
  <c r="J111" s="1"/>
  <c r="D111"/>
  <c r="J110"/>
  <c r="H110"/>
  <c r="D110"/>
  <c r="H109"/>
  <c r="J109" s="1"/>
  <c r="D109"/>
  <c r="J108"/>
  <c r="H108"/>
  <c r="D108"/>
  <c r="H107"/>
  <c r="J107" s="1"/>
  <c r="D107"/>
  <c r="J106"/>
  <c r="H106"/>
  <c r="D106"/>
  <c r="H105"/>
  <c r="J105" s="1"/>
  <c r="D105"/>
  <c r="J104"/>
  <c r="H104"/>
  <c r="D104"/>
  <c r="H103"/>
  <c r="J103" s="1"/>
  <c r="D103"/>
  <c r="J102"/>
  <c r="H102"/>
  <c r="D102"/>
  <c r="H101"/>
  <c r="J101" s="1"/>
  <c r="D101"/>
  <c r="J100"/>
  <c r="H100"/>
  <c r="D100"/>
  <c r="H99"/>
  <c r="J99" s="1"/>
  <c r="D99"/>
  <c r="J98"/>
  <c r="H98"/>
  <c r="D98"/>
  <c r="H97"/>
  <c r="J97" s="1"/>
  <c r="D97"/>
  <c r="J96"/>
  <c r="H96"/>
  <c r="D96"/>
  <c r="H95"/>
  <c r="J95" s="1"/>
  <c r="D95"/>
  <c r="J94"/>
  <c r="H94"/>
  <c r="D94"/>
  <c r="H93"/>
  <c r="J93" s="1"/>
  <c r="D93"/>
  <c r="J92"/>
  <c r="H92"/>
  <c r="D92"/>
  <c r="H91"/>
  <c r="J91" s="1"/>
  <c r="D91"/>
  <c r="J90"/>
  <c r="H90"/>
  <c r="D90"/>
  <c r="H89"/>
  <c r="J89" s="1"/>
  <c r="D89"/>
  <c r="J88"/>
  <c r="H88"/>
  <c r="D88"/>
  <c r="H87"/>
  <c r="J87" s="1"/>
  <c r="D87"/>
  <c r="J86"/>
  <c r="H86"/>
  <c r="D86"/>
  <c r="H85"/>
  <c r="J85" s="1"/>
  <c r="D85"/>
  <c r="H84"/>
  <c r="J84" s="1"/>
  <c r="D84"/>
  <c r="H83"/>
  <c r="J83" s="1"/>
  <c r="D83"/>
  <c r="J82"/>
  <c r="H82"/>
  <c r="D82"/>
  <c r="H81"/>
  <c r="J81" s="1"/>
  <c r="D81"/>
  <c r="H80"/>
  <c r="J80" s="1"/>
  <c r="D80"/>
  <c r="J79"/>
  <c r="H79"/>
  <c r="D79"/>
  <c r="J78"/>
  <c r="H78"/>
  <c r="D78"/>
  <c r="H77"/>
  <c r="J77" s="1"/>
  <c r="D77"/>
  <c r="H76"/>
  <c r="J76" s="1"/>
  <c r="D76"/>
  <c r="H75"/>
  <c r="J75" s="1"/>
  <c r="D75"/>
  <c r="J74"/>
  <c r="H74"/>
  <c r="D74"/>
  <c r="H73"/>
  <c r="J73" s="1"/>
  <c r="D73"/>
  <c r="H72"/>
  <c r="J72" s="1"/>
  <c r="D72"/>
  <c r="J71"/>
  <c r="H71"/>
  <c r="D71"/>
  <c r="J70"/>
  <c r="H70"/>
  <c r="D70"/>
  <c r="H69"/>
  <c r="J69" s="1"/>
  <c r="D69"/>
  <c r="H68"/>
  <c r="J68" s="1"/>
  <c r="D68"/>
  <c r="H67"/>
  <c r="J67" s="1"/>
  <c r="D67"/>
  <c r="J66"/>
  <c r="H66"/>
  <c r="D66"/>
  <c r="H65"/>
  <c r="J65" s="1"/>
  <c r="D65"/>
  <c r="H64"/>
  <c r="J64" s="1"/>
  <c r="D64"/>
  <c r="J63"/>
  <c r="H63"/>
  <c r="D63"/>
  <c r="J62"/>
  <c r="H62"/>
  <c r="D62"/>
  <c r="H61"/>
  <c r="J61" s="1"/>
  <c r="D61"/>
  <c r="H60"/>
  <c r="J60" s="1"/>
  <c r="D60"/>
  <c r="H59"/>
  <c r="J59" s="1"/>
  <c r="D59"/>
  <c r="J58"/>
  <c r="H58"/>
  <c r="D58"/>
  <c r="H57"/>
  <c r="J57" s="1"/>
  <c r="D57"/>
  <c r="H56"/>
  <c r="J56" s="1"/>
  <c r="D56"/>
  <c r="J55"/>
  <c r="H55"/>
  <c r="D55"/>
  <c r="J54"/>
  <c r="H54"/>
  <c r="D54"/>
  <c r="H53"/>
  <c r="J53" s="1"/>
  <c r="D53"/>
  <c r="H52"/>
  <c r="J52" s="1"/>
  <c r="D52"/>
  <c r="H51"/>
  <c r="J51" s="1"/>
  <c r="D51"/>
  <c r="J50"/>
  <c r="H50"/>
  <c r="D50"/>
  <c r="H49"/>
  <c r="J49" s="1"/>
  <c r="D49"/>
  <c r="H48"/>
  <c r="J48" s="1"/>
  <c r="D48"/>
  <c r="J47"/>
  <c r="H47"/>
  <c r="D47"/>
  <c r="J46"/>
  <c r="H46"/>
  <c r="D46"/>
  <c r="H45"/>
  <c r="J45" s="1"/>
  <c r="D45"/>
  <c r="H44"/>
  <c r="J44" s="1"/>
  <c r="D44"/>
  <c r="H43"/>
  <c r="J43" s="1"/>
  <c r="D43"/>
  <c r="J42"/>
  <c r="H42"/>
  <c r="D42"/>
  <c r="H41"/>
  <c r="J41" s="1"/>
  <c r="D41"/>
  <c r="H40"/>
  <c r="J40" s="1"/>
  <c r="D40"/>
  <c r="J39"/>
  <c r="H39"/>
  <c r="D39"/>
  <c r="J38"/>
  <c r="H38"/>
  <c r="D38"/>
  <c r="H37"/>
  <c r="J37" s="1"/>
  <c r="D37"/>
  <c r="H36"/>
  <c r="J36" s="1"/>
  <c r="D36"/>
  <c r="H35"/>
  <c r="J35" s="1"/>
  <c r="D35"/>
  <c r="J34"/>
  <c r="H34"/>
  <c r="D34"/>
  <c r="H33"/>
  <c r="J33" s="1"/>
  <c r="D33"/>
  <c r="H32"/>
  <c r="J32" s="1"/>
  <c r="D32"/>
  <c r="J31"/>
  <c r="H31"/>
  <c r="D31"/>
  <c r="J30"/>
  <c r="H30"/>
  <c r="D30"/>
  <c r="H29"/>
  <c r="J29" s="1"/>
  <c r="D29"/>
  <c r="H28"/>
  <c r="J28" s="1"/>
  <c r="D28"/>
  <c r="H27"/>
  <c r="J27" s="1"/>
  <c r="D27"/>
  <c r="J26"/>
  <c r="H26"/>
  <c r="D26"/>
  <c r="H25"/>
  <c r="J25" s="1"/>
  <c r="D25"/>
  <c r="H24"/>
  <c r="J24" s="1"/>
  <c r="D24"/>
  <c r="J23"/>
  <c r="H23"/>
  <c r="D23"/>
  <c r="J22"/>
  <c r="H22"/>
  <c r="D22"/>
  <c r="J21"/>
  <c r="H21"/>
  <c r="D21"/>
  <c r="H20"/>
  <c r="J20" s="1"/>
  <c r="D20"/>
  <c r="J19"/>
  <c r="H19"/>
  <c r="D19"/>
  <c r="J18"/>
  <c r="H18"/>
  <c r="D18"/>
  <c r="J17"/>
  <c r="H17"/>
  <c r="D17"/>
  <c r="H16"/>
  <c r="J16" s="1"/>
  <c r="D16"/>
  <c r="J15"/>
  <c r="H15"/>
  <c r="D15"/>
  <c r="J14"/>
  <c r="H14"/>
  <c r="D14"/>
  <c r="J13"/>
  <c r="H13"/>
  <c r="D13"/>
  <c r="H12"/>
  <c r="J12" s="1"/>
  <c r="D12"/>
  <c r="J11"/>
  <c r="H11"/>
  <c r="D11"/>
  <c r="J10"/>
  <c r="H10"/>
  <c r="D10"/>
  <c r="J9"/>
  <c r="H9"/>
  <c r="D9"/>
  <c r="H8"/>
  <c r="J8" s="1"/>
  <c r="D8"/>
  <c r="J7"/>
  <c r="H7"/>
  <c r="D7"/>
  <c r="J6"/>
  <c r="H6"/>
  <c r="D6"/>
  <c r="J5"/>
  <c r="H5"/>
  <c r="D5"/>
  <c r="H4"/>
  <c r="J4" s="1"/>
  <c r="D4"/>
  <c r="J3"/>
  <c r="H3"/>
  <c r="D3"/>
  <c r="J2"/>
  <c r="H2"/>
  <c r="D2"/>
  <c r="B62" i="17"/>
  <c r="B61"/>
  <c r="H56"/>
  <c r="E56"/>
  <c r="F56" s="1"/>
  <c r="E55"/>
  <c r="F55" s="1"/>
  <c r="H55" s="1"/>
  <c r="F54"/>
  <c r="H54" s="1"/>
  <c r="E54"/>
  <c r="E53"/>
  <c r="F53" s="1"/>
  <c r="H53" s="1"/>
  <c r="H52"/>
  <c r="E52"/>
  <c r="F52" s="1"/>
  <c r="E51"/>
  <c r="F51" s="1"/>
  <c r="H51" s="1"/>
  <c r="E50"/>
  <c r="F50" s="1"/>
  <c r="H50" s="1"/>
  <c r="E49"/>
  <c r="F49" s="1"/>
  <c r="H49" s="1"/>
  <c r="E48"/>
  <c r="F48" s="1"/>
  <c r="H48" s="1"/>
  <c r="H47"/>
  <c r="F47"/>
  <c r="E47"/>
  <c r="F46"/>
  <c r="H46" s="1"/>
  <c r="E46"/>
  <c r="F45"/>
  <c r="H45" s="1"/>
  <c r="E45"/>
  <c r="H44"/>
  <c r="E44"/>
  <c r="F44" s="1"/>
  <c r="E43"/>
  <c r="F43" s="1"/>
  <c r="H43" s="1"/>
  <c r="F42"/>
  <c r="H42" s="1"/>
  <c r="E42"/>
  <c r="E41"/>
  <c r="F41" s="1"/>
  <c r="H41" s="1"/>
  <c r="E40"/>
  <c r="F40" s="1"/>
  <c r="H40" s="1"/>
  <c r="F39"/>
  <c r="H39" s="1"/>
  <c r="E39"/>
  <c r="F38"/>
  <c r="H38" s="1"/>
  <c r="E38"/>
  <c r="F37"/>
  <c r="H37" s="1"/>
  <c r="E37"/>
  <c r="H36"/>
  <c r="E36"/>
  <c r="F36" s="1"/>
  <c r="E35"/>
  <c r="F35" s="1"/>
  <c r="H35" s="1"/>
  <c r="E34"/>
  <c r="F34" s="1"/>
  <c r="H34" s="1"/>
  <c r="F33"/>
  <c r="H33" s="1"/>
  <c r="E33"/>
  <c r="E32"/>
  <c r="F32" s="1"/>
  <c r="H32" s="1"/>
  <c r="H31"/>
  <c r="F31"/>
  <c r="E31"/>
  <c r="E30"/>
  <c r="F30" s="1"/>
  <c r="H30" s="1"/>
  <c r="F29"/>
  <c r="H29" s="1"/>
  <c r="E29"/>
  <c r="E28"/>
  <c r="F28" s="1"/>
  <c r="H28" s="1"/>
  <c r="H27"/>
  <c r="E27"/>
  <c r="F27" s="1"/>
  <c r="E26"/>
  <c r="F26" s="1"/>
  <c r="H26" s="1"/>
  <c r="E25"/>
  <c r="F25" s="1"/>
  <c r="H25" s="1"/>
  <c r="E24"/>
  <c r="F24" s="1"/>
  <c r="H24" s="1"/>
  <c r="F23"/>
  <c r="H23" s="1"/>
  <c r="E23"/>
  <c r="F22"/>
  <c r="H22" s="1"/>
  <c r="E22"/>
  <c r="F21"/>
  <c r="H21" s="1"/>
  <c r="E21"/>
  <c r="H20"/>
  <c r="E20"/>
  <c r="F20" s="1"/>
  <c r="H19"/>
  <c r="F19"/>
  <c r="E19"/>
  <c r="E18"/>
  <c r="F18" s="1"/>
  <c r="H18" s="1"/>
  <c r="F17"/>
  <c r="H17" s="1"/>
  <c r="E17"/>
  <c r="B8"/>
  <c r="B62" i="16"/>
  <c r="B61"/>
  <c r="F56"/>
  <c r="H56" s="1"/>
  <c r="E56"/>
  <c r="E55"/>
  <c r="F55" s="1"/>
  <c r="H55" s="1"/>
  <c r="E54"/>
  <c r="F54" s="1"/>
  <c r="H54" s="1"/>
  <c r="E53"/>
  <c r="F53" s="1"/>
  <c r="H53" s="1"/>
  <c r="E52"/>
  <c r="F52" s="1"/>
  <c r="H52" s="1"/>
  <c r="E51"/>
  <c r="F51" s="1"/>
  <c r="H51" s="1"/>
  <c r="E50"/>
  <c r="F50" s="1"/>
  <c r="H50" s="1"/>
  <c r="E49"/>
  <c r="F49" s="1"/>
  <c r="H49" s="1"/>
  <c r="E48"/>
  <c r="F48" s="1"/>
  <c r="H48" s="1"/>
  <c r="E47"/>
  <c r="F47" s="1"/>
  <c r="H47" s="1"/>
  <c r="E46"/>
  <c r="F46" s="1"/>
  <c r="H46" s="1"/>
  <c r="E45"/>
  <c r="F45" s="1"/>
  <c r="H45" s="1"/>
  <c r="E44"/>
  <c r="F44" s="1"/>
  <c r="H44" s="1"/>
  <c r="E43"/>
  <c r="F43" s="1"/>
  <c r="H43" s="1"/>
  <c r="E42"/>
  <c r="F42" s="1"/>
  <c r="H42" s="1"/>
  <c r="E41"/>
  <c r="F41" s="1"/>
  <c r="H41" s="1"/>
  <c r="F40"/>
  <c r="H40" s="1"/>
  <c r="E40"/>
  <c r="E39"/>
  <c r="F39" s="1"/>
  <c r="H39" s="1"/>
  <c r="E38"/>
  <c r="F38" s="1"/>
  <c r="H38" s="1"/>
  <c r="E37"/>
  <c r="F37" s="1"/>
  <c r="H37" s="1"/>
  <c r="E36"/>
  <c r="F36" s="1"/>
  <c r="H36" s="1"/>
  <c r="E35"/>
  <c r="F35" s="1"/>
  <c r="H35" s="1"/>
  <c r="E34"/>
  <c r="F34" s="1"/>
  <c r="H34" s="1"/>
  <c r="E33"/>
  <c r="F33" s="1"/>
  <c r="H33" s="1"/>
  <c r="F32"/>
  <c r="H32" s="1"/>
  <c r="E32"/>
  <c r="E31"/>
  <c r="F31" s="1"/>
  <c r="H31" s="1"/>
  <c r="E30"/>
  <c r="F30" s="1"/>
  <c r="H30" s="1"/>
  <c r="E29"/>
  <c r="F29" s="1"/>
  <c r="H29" s="1"/>
  <c r="F28"/>
  <c r="H28" s="1"/>
  <c r="E28"/>
  <c r="E27"/>
  <c r="F27" s="1"/>
  <c r="H27" s="1"/>
  <c r="F26"/>
  <c r="H26" s="1"/>
  <c r="E26"/>
  <c r="E25"/>
  <c r="F25" s="1"/>
  <c r="H25" s="1"/>
  <c r="F24"/>
  <c r="H24" s="1"/>
  <c r="E24"/>
  <c r="E23"/>
  <c r="F23" s="1"/>
  <c r="H23" s="1"/>
  <c r="E22"/>
  <c r="F22" s="1"/>
  <c r="H22" s="1"/>
  <c r="E21"/>
  <c r="F21" s="1"/>
  <c r="H21" s="1"/>
  <c r="F20"/>
  <c r="H20" s="1"/>
  <c r="E20"/>
  <c r="E19"/>
  <c r="F19" s="1"/>
  <c r="H19" s="1"/>
  <c r="F18"/>
  <c r="H18" s="1"/>
  <c r="E18"/>
  <c r="E17"/>
  <c r="F17" s="1"/>
  <c r="H17" s="1"/>
  <c r="B8"/>
  <c r="B62" i="15"/>
  <c r="B61"/>
  <c r="E56"/>
  <c r="F56" s="1"/>
  <c r="H56" s="1"/>
  <c r="E55"/>
  <c r="F55" s="1"/>
  <c r="H55" s="1"/>
  <c r="E54"/>
  <c r="F54" s="1"/>
  <c r="H54" s="1"/>
  <c r="E53"/>
  <c r="F53" s="1"/>
  <c r="H53" s="1"/>
  <c r="E52"/>
  <c r="F52" s="1"/>
  <c r="H52" s="1"/>
  <c r="F51"/>
  <c r="H51" s="1"/>
  <c r="E51"/>
  <c r="E50"/>
  <c r="F50" s="1"/>
  <c r="H50" s="1"/>
  <c r="E49"/>
  <c r="F49" s="1"/>
  <c r="H49" s="1"/>
  <c r="E48"/>
  <c r="F48" s="1"/>
  <c r="H48" s="1"/>
  <c r="E47"/>
  <c r="F47" s="1"/>
  <c r="H47" s="1"/>
  <c r="E46"/>
  <c r="F46" s="1"/>
  <c r="H46" s="1"/>
  <c r="F45"/>
  <c r="H45" s="1"/>
  <c r="E45"/>
  <c r="E44"/>
  <c r="F44" s="1"/>
  <c r="H44" s="1"/>
  <c r="F43"/>
  <c r="H43" s="1"/>
  <c r="E43"/>
  <c r="E42"/>
  <c r="F42" s="1"/>
  <c r="H42" s="1"/>
  <c r="E41"/>
  <c r="F41" s="1"/>
  <c r="H41" s="1"/>
  <c r="E40"/>
  <c r="F40" s="1"/>
  <c r="H40" s="1"/>
  <c r="E39"/>
  <c r="F39" s="1"/>
  <c r="H39" s="1"/>
  <c r="E38"/>
  <c r="F38" s="1"/>
  <c r="H38" s="1"/>
  <c r="F37"/>
  <c r="H37" s="1"/>
  <c r="E37"/>
  <c r="E36"/>
  <c r="F36" s="1"/>
  <c r="H36" s="1"/>
  <c r="F35"/>
  <c r="H35" s="1"/>
  <c r="E35"/>
  <c r="E34"/>
  <c r="F34" s="1"/>
  <c r="H34" s="1"/>
  <c r="E33"/>
  <c r="F33" s="1"/>
  <c r="H33" s="1"/>
  <c r="E32"/>
  <c r="F32" s="1"/>
  <c r="H32" s="1"/>
  <c r="E31"/>
  <c r="F31" s="1"/>
  <c r="H31" s="1"/>
  <c r="E30"/>
  <c r="F30" s="1"/>
  <c r="H30" s="1"/>
  <c r="F29"/>
  <c r="H29" s="1"/>
  <c r="E29"/>
  <c r="E28"/>
  <c r="F28" s="1"/>
  <c r="H28" s="1"/>
  <c r="F27"/>
  <c r="H27" s="1"/>
  <c r="E27"/>
  <c r="E26"/>
  <c r="F26" s="1"/>
  <c r="H26" s="1"/>
  <c r="E25"/>
  <c r="F25" s="1"/>
  <c r="H25" s="1"/>
  <c r="E24"/>
  <c r="F24" s="1"/>
  <c r="H24" s="1"/>
  <c r="E23"/>
  <c r="F23" s="1"/>
  <c r="H23" s="1"/>
  <c r="E22"/>
  <c r="F22" s="1"/>
  <c r="H22" s="1"/>
  <c r="F21"/>
  <c r="H21" s="1"/>
  <c r="E21"/>
  <c r="E20"/>
  <c r="F20" s="1"/>
  <c r="H20" s="1"/>
  <c r="F19"/>
  <c r="H19" s="1"/>
  <c r="E19"/>
  <c r="E18"/>
  <c r="F18" s="1"/>
  <c r="H18" s="1"/>
  <c r="E17"/>
  <c r="F17" s="1"/>
  <c r="H17" s="1"/>
  <c r="B8"/>
  <c r="B62" i="14"/>
  <c r="B61"/>
  <c r="F56"/>
  <c r="H56" s="1"/>
  <c r="E56"/>
  <c r="E55"/>
  <c r="F55" s="1"/>
  <c r="H55" s="1"/>
  <c r="E54"/>
  <c r="F54" s="1"/>
  <c r="H54" s="1"/>
  <c r="E53"/>
  <c r="F53" s="1"/>
  <c r="H53" s="1"/>
  <c r="E52"/>
  <c r="F52" s="1"/>
  <c r="H52" s="1"/>
  <c r="E51"/>
  <c r="F51" s="1"/>
  <c r="H51" s="1"/>
  <c r="F50"/>
  <c r="H50" s="1"/>
  <c r="E50"/>
  <c r="E49"/>
  <c r="F49" s="1"/>
  <c r="H49" s="1"/>
  <c r="F48"/>
  <c r="H48" s="1"/>
  <c r="E48"/>
  <c r="E47"/>
  <c r="F47" s="1"/>
  <c r="H47" s="1"/>
  <c r="E46"/>
  <c r="F46" s="1"/>
  <c r="H46" s="1"/>
  <c r="E45"/>
  <c r="F45" s="1"/>
  <c r="H45" s="1"/>
  <c r="E44"/>
  <c r="F44" s="1"/>
  <c r="H44" s="1"/>
  <c r="E43"/>
  <c r="F43" s="1"/>
  <c r="H43" s="1"/>
  <c r="F42"/>
  <c r="H42" s="1"/>
  <c r="E42"/>
  <c r="E41"/>
  <c r="F41" s="1"/>
  <c r="H41" s="1"/>
  <c r="F40"/>
  <c r="H40" s="1"/>
  <c r="E40"/>
  <c r="E39"/>
  <c r="F39" s="1"/>
  <c r="H39" s="1"/>
  <c r="E38"/>
  <c r="F38" s="1"/>
  <c r="H38" s="1"/>
  <c r="E37"/>
  <c r="F37" s="1"/>
  <c r="H37" s="1"/>
  <c r="E36"/>
  <c r="F36" s="1"/>
  <c r="H36" s="1"/>
  <c r="E35"/>
  <c r="F35" s="1"/>
  <c r="H35" s="1"/>
  <c r="F34"/>
  <c r="H34" s="1"/>
  <c r="E34"/>
  <c r="E33"/>
  <c r="F33" s="1"/>
  <c r="H33" s="1"/>
  <c r="F32"/>
  <c r="H32" s="1"/>
  <c r="E32"/>
  <c r="E31"/>
  <c r="F31" s="1"/>
  <c r="H31" s="1"/>
  <c r="E30"/>
  <c r="F30" s="1"/>
  <c r="H30" s="1"/>
  <c r="E29"/>
  <c r="F29" s="1"/>
  <c r="H29" s="1"/>
  <c r="E28"/>
  <c r="F28" s="1"/>
  <c r="H28" s="1"/>
  <c r="E27"/>
  <c r="F27" s="1"/>
  <c r="H27" s="1"/>
  <c r="F26"/>
  <c r="H26" s="1"/>
  <c r="E26"/>
  <c r="E25"/>
  <c r="F25" s="1"/>
  <c r="H25" s="1"/>
  <c r="F24"/>
  <c r="H24" s="1"/>
  <c r="E24"/>
  <c r="E23"/>
  <c r="F23" s="1"/>
  <c r="H23" s="1"/>
  <c r="E22"/>
  <c r="F22" s="1"/>
  <c r="H22" s="1"/>
  <c r="E21"/>
  <c r="F21" s="1"/>
  <c r="H21" s="1"/>
  <c r="E20"/>
  <c r="F20" s="1"/>
  <c r="H20" s="1"/>
  <c r="E19"/>
  <c r="F19" s="1"/>
  <c r="H19" s="1"/>
  <c r="F18"/>
  <c r="H18" s="1"/>
  <c r="E18"/>
  <c r="E17"/>
  <c r="F17" s="1"/>
  <c r="H17" s="1"/>
  <c r="B8"/>
  <c r="B62" i="13"/>
  <c r="B61"/>
  <c r="E56"/>
  <c r="F56" s="1"/>
  <c r="H56" s="1"/>
  <c r="F55"/>
  <c r="H55" s="1"/>
  <c r="E55"/>
  <c r="E54"/>
  <c r="F54" s="1"/>
  <c r="H54" s="1"/>
  <c r="E53"/>
  <c r="F53" s="1"/>
  <c r="H53" s="1"/>
  <c r="E52"/>
  <c r="F52" s="1"/>
  <c r="H52" s="1"/>
  <c r="E51"/>
  <c r="F51" s="1"/>
  <c r="H51" s="1"/>
  <c r="E50"/>
  <c r="F50" s="1"/>
  <c r="H50" s="1"/>
  <c r="F49"/>
  <c r="H49" s="1"/>
  <c r="E49"/>
  <c r="E48"/>
  <c r="F48" s="1"/>
  <c r="H48" s="1"/>
  <c r="F47"/>
  <c r="H47" s="1"/>
  <c r="E47"/>
  <c r="E46"/>
  <c r="F46" s="1"/>
  <c r="H46" s="1"/>
  <c r="E45"/>
  <c r="F45" s="1"/>
  <c r="H45" s="1"/>
  <c r="E44"/>
  <c r="F44" s="1"/>
  <c r="H44" s="1"/>
  <c r="E43"/>
  <c r="F43" s="1"/>
  <c r="H43" s="1"/>
  <c r="E42"/>
  <c r="F42" s="1"/>
  <c r="H42" s="1"/>
  <c r="F41"/>
  <c r="H41" s="1"/>
  <c r="E41"/>
  <c r="E40"/>
  <c r="F40" s="1"/>
  <c r="H40" s="1"/>
  <c r="F39"/>
  <c r="H39" s="1"/>
  <c r="E39"/>
  <c r="E38"/>
  <c r="F38" s="1"/>
  <c r="H38" s="1"/>
  <c r="E37"/>
  <c r="F37" s="1"/>
  <c r="H37" s="1"/>
  <c r="E36"/>
  <c r="F36" s="1"/>
  <c r="H36" s="1"/>
  <c r="E35"/>
  <c r="F35" s="1"/>
  <c r="H35" s="1"/>
  <c r="E34"/>
  <c r="F34" s="1"/>
  <c r="H34" s="1"/>
  <c r="F33"/>
  <c r="H33" s="1"/>
  <c r="E33"/>
  <c r="E32"/>
  <c r="F32" s="1"/>
  <c r="H32" s="1"/>
  <c r="F31"/>
  <c r="H31" s="1"/>
  <c r="E31"/>
  <c r="E30"/>
  <c r="F30" s="1"/>
  <c r="H30" s="1"/>
  <c r="E29"/>
  <c r="F29" s="1"/>
  <c r="H29" s="1"/>
  <c r="E28"/>
  <c r="F28" s="1"/>
  <c r="H28" s="1"/>
  <c r="E27"/>
  <c r="F27" s="1"/>
  <c r="H27" s="1"/>
  <c r="E26"/>
  <c r="F26" s="1"/>
  <c r="H26" s="1"/>
  <c r="F25"/>
  <c r="H25" s="1"/>
  <c r="E25"/>
  <c r="E24"/>
  <c r="F24" s="1"/>
  <c r="H24" s="1"/>
  <c r="F23"/>
  <c r="H23" s="1"/>
  <c r="E23"/>
  <c r="E22"/>
  <c r="F22" s="1"/>
  <c r="H22" s="1"/>
  <c r="E21"/>
  <c r="F21" s="1"/>
  <c r="H21" s="1"/>
  <c r="E20"/>
  <c r="F20" s="1"/>
  <c r="H20" s="1"/>
  <c r="E19"/>
  <c r="F19" s="1"/>
  <c r="H19" s="1"/>
  <c r="E18"/>
  <c r="F18" s="1"/>
  <c r="H18" s="1"/>
  <c r="F17"/>
  <c r="H17" s="1"/>
  <c r="E17"/>
  <c r="B8"/>
  <c r="B62" i="12"/>
  <c r="B61"/>
  <c r="E56"/>
  <c r="F56" s="1"/>
  <c r="H56" s="1"/>
  <c r="E55"/>
  <c r="F55" s="1"/>
  <c r="H55" s="1"/>
  <c r="F54"/>
  <c r="H54" s="1"/>
  <c r="E54"/>
  <c r="E53"/>
  <c r="F53" s="1"/>
  <c r="H53" s="1"/>
  <c r="F52"/>
  <c r="H52" s="1"/>
  <c r="E52"/>
  <c r="E51"/>
  <c r="F51" s="1"/>
  <c r="H51" s="1"/>
  <c r="E50"/>
  <c r="F50" s="1"/>
  <c r="H50" s="1"/>
  <c r="E49"/>
  <c r="F49" s="1"/>
  <c r="H49" s="1"/>
  <c r="E48"/>
  <c r="F48" s="1"/>
  <c r="H48" s="1"/>
  <c r="E47"/>
  <c r="F47" s="1"/>
  <c r="H47" s="1"/>
  <c r="F46"/>
  <c r="H46" s="1"/>
  <c r="E46"/>
  <c r="E45"/>
  <c r="F45" s="1"/>
  <c r="H45" s="1"/>
  <c r="F44"/>
  <c r="H44" s="1"/>
  <c r="E44"/>
  <c r="E43"/>
  <c r="F43" s="1"/>
  <c r="H43" s="1"/>
  <c r="E42"/>
  <c r="F42" s="1"/>
  <c r="H42" s="1"/>
  <c r="E41"/>
  <c r="F41" s="1"/>
  <c r="H41" s="1"/>
  <c r="E40"/>
  <c r="F40" s="1"/>
  <c r="H40" s="1"/>
  <c r="E39"/>
  <c r="F39" s="1"/>
  <c r="H39" s="1"/>
  <c r="F38"/>
  <c r="H38" s="1"/>
  <c r="E38"/>
  <c r="E37"/>
  <c r="F37" s="1"/>
  <c r="H37" s="1"/>
  <c r="F36"/>
  <c r="H36" s="1"/>
  <c r="E36"/>
  <c r="E35"/>
  <c r="F35" s="1"/>
  <c r="H35" s="1"/>
  <c r="E34"/>
  <c r="F34" s="1"/>
  <c r="H34" s="1"/>
  <c r="E33"/>
  <c r="F33" s="1"/>
  <c r="H33" s="1"/>
  <c r="E32"/>
  <c r="F32" s="1"/>
  <c r="H32" s="1"/>
  <c r="E31"/>
  <c r="F31" s="1"/>
  <c r="H31" s="1"/>
  <c r="F30"/>
  <c r="H30" s="1"/>
  <c r="E30"/>
  <c r="E29"/>
  <c r="F29" s="1"/>
  <c r="H29" s="1"/>
  <c r="F28"/>
  <c r="H28" s="1"/>
  <c r="E28"/>
  <c r="E27"/>
  <c r="F27" s="1"/>
  <c r="H27" s="1"/>
  <c r="E26"/>
  <c r="F26" s="1"/>
  <c r="H26" s="1"/>
  <c r="E25"/>
  <c r="F25" s="1"/>
  <c r="H25" s="1"/>
  <c r="E24"/>
  <c r="F24" s="1"/>
  <c r="H24" s="1"/>
  <c r="E23"/>
  <c r="F23" s="1"/>
  <c r="H23" s="1"/>
  <c r="F22"/>
  <c r="H22" s="1"/>
  <c r="E22"/>
  <c r="E21"/>
  <c r="F21" s="1"/>
  <c r="H21" s="1"/>
  <c r="F20"/>
  <c r="H20" s="1"/>
  <c r="E20"/>
  <c r="E19"/>
  <c r="F19" s="1"/>
  <c r="H19" s="1"/>
  <c r="E18"/>
  <c r="F18" s="1"/>
  <c r="H18" s="1"/>
  <c r="E17"/>
  <c r="F17" s="1"/>
  <c r="H17" s="1"/>
  <c r="B8"/>
  <c r="B62" i="11"/>
  <c r="B61"/>
  <c r="E56"/>
  <c r="F56" s="1"/>
  <c r="H56" s="1"/>
  <c r="E55"/>
  <c r="F55" s="1"/>
  <c r="H55" s="1"/>
  <c r="E54"/>
  <c r="F54" s="1"/>
  <c r="H54" s="1"/>
  <c r="F53"/>
  <c r="H53" s="1"/>
  <c r="E53"/>
  <c r="E52"/>
  <c r="F52" s="1"/>
  <c r="H52" s="1"/>
  <c r="F51"/>
  <c r="H51" s="1"/>
  <c r="E51"/>
  <c r="E50"/>
  <c r="F50" s="1"/>
  <c r="H50" s="1"/>
  <c r="E49"/>
  <c r="F49" s="1"/>
  <c r="H49" s="1"/>
  <c r="E48"/>
  <c r="F48" s="1"/>
  <c r="H48" s="1"/>
  <c r="E47"/>
  <c r="F47" s="1"/>
  <c r="H47" s="1"/>
  <c r="E46"/>
  <c r="F46" s="1"/>
  <c r="H46" s="1"/>
  <c r="F45"/>
  <c r="H45" s="1"/>
  <c r="E45"/>
  <c r="E44"/>
  <c r="F44" s="1"/>
  <c r="H44" s="1"/>
  <c r="F43"/>
  <c r="H43" s="1"/>
  <c r="E43"/>
  <c r="E42"/>
  <c r="F42" s="1"/>
  <c r="H42" s="1"/>
  <c r="E41"/>
  <c r="F41" s="1"/>
  <c r="H41" s="1"/>
  <c r="E40"/>
  <c r="F40" s="1"/>
  <c r="H40" s="1"/>
  <c r="E39"/>
  <c r="F39" s="1"/>
  <c r="H39" s="1"/>
  <c r="E38"/>
  <c r="F38" s="1"/>
  <c r="H38" s="1"/>
  <c r="F37"/>
  <c r="H37" s="1"/>
  <c r="E37"/>
  <c r="E36"/>
  <c r="F36" s="1"/>
  <c r="H36" s="1"/>
  <c r="F35"/>
  <c r="H35" s="1"/>
  <c r="E35"/>
  <c r="E34"/>
  <c r="F34" s="1"/>
  <c r="H34" s="1"/>
  <c r="E33"/>
  <c r="F33" s="1"/>
  <c r="H33" s="1"/>
  <c r="E32"/>
  <c r="F32" s="1"/>
  <c r="H32" s="1"/>
  <c r="E31"/>
  <c r="F31" s="1"/>
  <c r="H31" s="1"/>
  <c r="E30"/>
  <c r="F30" s="1"/>
  <c r="H30" s="1"/>
  <c r="F29"/>
  <c r="H29" s="1"/>
  <c r="E29"/>
  <c r="E28"/>
  <c r="F28" s="1"/>
  <c r="H28" s="1"/>
  <c r="F27"/>
  <c r="H27" s="1"/>
  <c r="E27"/>
  <c r="E26"/>
  <c r="F26" s="1"/>
  <c r="H26" s="1"/>
  <c r="E25"/>
  <c r="F25" s="1"/>
  <c r="H25" s="1"/>
  <c r="E24"/>
  <c r="F24" s="1"/>
  <c r="H24" s="1"/>
  <c r="E23"/>
  <c r="F23" s="1"/>
  <c r="H23" s="1"/>
  <c r="E22"/>
  <c r="F22" s="1"/>
  <c r="H22" s="1"/>
  <c r="F21"/>
  <c r="H21" s="1"/>
  <c r="E21"/>
  <c r="E20"/>
  <c r="F20" s="1"/>
  <c r="H20" s="1"/>
  <c r="F19"/>
  <c r="H19" s="1"/>
  <c r="E19"/>
  <c r="E18"/>
  <c r="F18" s="1"/>
  <c r="H18" s="1"/>
  <c r="E17"/>
  <c r="F17" s="1"/>
  <c r="H17" s="1"/>
  <c r="B8"/>
  <c r="B62" i="10"/>
  <c r="B61"/>
  <c r="F56"/>
  <c r="H56" s="1"/>
  <c r="E56"/>
  <c r="E55"/>
  <c r="F55" s="1"/>
  <c r="H55" s="1"/>
  <c r="E54"/>
  <c r="F54" s="1"/>
  <c r="H54" s="1"/>
  <c r="E53"/>
  <c r="F53" s="1"/>
  <c r="H53" s="1"/>
  <c r="E52"/>
  <c r="F52" s="1"/>
  <c r="H52" s="1"/>
  <c r="E51"/>
  <c r="F51" s="1"/>
  <c r="H51" s="1"/>
  <c r="F50"/>
  <c r="H50" s="1"/>
  <c r="E50"/>
  <c r="E49"/>
  <c r="F49" s="1"/>
  <c r="H49" s="1"/>
  <c r="F48"/>
  <c r="H48" s="1"/>
  <c r="E48"/>
  <c r="E47"/>
  <c r="F47" s="1"/>
  <c r="H47" s="1"/>
  <c r="E46"/>
  <c r="F46" s="1"/>
  <c r="H46" s="1"/>
  <c r="E45"/>
  <c r="F45" s="1"/>
  <c r="H45" s="1"/>
  <c r="E44"/>
  <c r="F44" s="1"/>
  <c r="H44" s="1"/>
  <c r="E43"/>
  <c r="F43" s="1"/>
  <c r="H43" s="1"/>
  <c r="F42"/>
  <c r="H42" s="1"/>
  <c r="E42"/>
  <c r="E41"/>
  <c r="F41" s="1"/>
  <c r="H41" s="1"/>
  <c r="F40"/>
  <c r="H40" s="1"/>
  <c r="E40"/>
  <c r="E39"/>
  <c r="F39" s="1"/>
  <c r="H39" s="1"/>
  <c r="E38"/>
  <c r="F38" s="1"/>
  <c r="H38" s="1"/>
  <c r="E37"/>
  <c r="F37" s="1"/>
  <c r="H37" s="1"/>
  <c r="E36"/>
  <c r="F36" s="1"/>
  <c r="H36" s="1"/>
  <c r="E35"/>
  <c r="F35" s="1"/>
  <c r="H35" s="1"/>
  <c r="F34"/>
  <c r="H34" s="1"/>
  <c r="E34"/>
  <c r="E33"/>
  <c r="F33" s="1"/>
  <c r="H33" s="1"/>
  <c r="F32"/>
  <c r="H32" s="1"/>
  <c r="E32"/>
  <c r="E31"/>
  <c r="F31" s="1"/>
  <c r="H31" s="1"/>
  <c r="E30"/>
  <c r="F30" s="1"/>
  <c r="H30" s="1"/>
  <c r="E29"/>
  <c r="F29" s="1"/>
  <c r="H29" s="1"/>
  <c r="E28"/>
  <c r="F28" s="1"/>
  <c r="H28" s="1"/>
  <c r="E27"/>
  <c r="F27" s="1"/>
  <c r="H27" s="1"/>
  <c r="F26"/>
  <c r="H26" s="1"/>
  <c r="E26"/>
  <c r="E25"/>
  <c r="F25" s="1"/>
  <c r="H25" s="1"/>
  <c r="F24"/>
  <c r="H24" s="1"/>
  <c r="E24"/>
  <c r="E23"/>
  <c r="F23" s="1"/>
  <c r="H23" s="1"/>
  <c r="E22"/>
  <c r="F22" s="1"/>
  <c r="H22" s="1"/>
  <c r="E21"/>
  <c r="F21" s="1"/>
  <c r="H21" s="1"/>
  <c r="E20"/>
  <c r="F20" s="1"/>
  <c r="H20" s="1"/>
  <c r="E19"/>
  <c r="F19" s="1"/>
  <c r="H19" s="1"/>
  <c r="F18"/>
  <c r="H18" s="1"/>
  <c r="E18"/>
  <c r="E17"/>
  <c r="F17" s="1"/>
  <c r="H17" s="1"/>
  <c r="B8"/>
  <c r="H64" i="9"/>
  <c r="H63"/>
  <c r="H62"/>
  <c r="H61"/>
  <c r="H60"/>
  <c r="H59"/>
  <c r="H58"/>
  <c r="H57"/>
  <c r="H56"/>
  <c r="H55"/>
  <c r="H54"/>
  <c r="H53"/>
  <c r="H52"/>
  <c r="H51"/>
  <c r="H50"/>
  <c r="H49"/>
  <c r="H48"/>
  <c r="H47"/>
  <c r="H46"/>
  <c r="H45"/>
  <c r="H44"/>
  <c r="H43"/>
  <c r="H42"/>
  <c r="H41"/>
  <c r="H40"/>
  <c r="H39"/>
  <c r="H38"/>
  <c r="H37"/>
  <c r="H36"/>
  <c r="H35"/>
  <c r="H34"/>
  <c r="H33"/>
  <c r="H32"/>
  <c r="H31"/>
  <c r="H30"/>
  <c r="H29"/>
  <c r="H28"/>
  <c r="H27"/>
  <c r="H26"/>
  <c r="H25"/>
  <c r="H24"/>
  <c r="H23"/>
  <c r="H22"/>
  <c r="H21"/>
  <c r="H20"/>
  <c r="H19"/>
  <c r="H18"/>
  <c r="H17"/>
  <c r="H16"/>
  <c r="H15"/>
  <c r="H14"/>
  <c r="H13"/>
  <c r="H12"/>
  <c r="H11"/>
  <c r="H10"/>
  <c r="H9"/>
  <c r="H8"/>
  <c r="H7"/>
  <c r="H6"/>
  <c r="H5"/>
  <c r="H501" i="8"/>
  <c r="D501"/>
  <c r="B501"/>
  <c r="H500"/>
  <c r="D500"/>
  <c r="B500"/>
  <c r="H499"/>
  <c r="D499"/>
  <c r="B499"/>
  <c r="H498"/>
  <c r="D498"/>
  <c r="B498"/>
  <c r="H497"/>
  <c r="D497"/>
  <c r="B497"/>
  <c r="H496"/>
  <c r="D496"/>
  <c r="B496"/>
  <c r="H495"/>
  <c r="D495"/>
  <c r="B495"/>
  <c r="H494"/>
  <c r="D494"/>
  <c r="B494"/>
  <c r="H493"/>
  <c r="D493"/>
  <c r="B493"/>
  <c r="H492"/>
  <c r="D492"/>
  <c r="B492"/>
  <c r="H491"/>
  <c r="D491"/>
  <c r="B491"/>
  <c r="H490"/>
  <c r="D490"/>
  <c r="B490"/>
  <c r="H489"/>
  <c r="D489"/>
  <c r="B489"/>
  <c r="H488"/>
  <c r="D488"/>
  <c r="B488"/>
  <c r="H487"/>
  <c r="D487"/>
  <c r="B487"/>
  <c r="H486"/>
  <c r="D486"/>
  <c r="B486"/>
  <c r="H485"/>
  <c r="D485"/>
  <c r="B485"/>
  <c r="H484"/>
  <c r="D484"/>
  <c r="B484"/>
  <c r="H483"/>
  <c r="D483"/>
  <c r="B483"/>
  <c r="H482"/>
  <c r="D482"/>
  <c r="B482"/>
  <c r="H481"/>
  <c r="D481"/>
  <c r="B481"/>
  <c r="H480"/>
  <c r="D480"/>
  <c r="B480"/>
  <c r="H479"/>
  <c r="D479"/>
  <c r="B479"/>
  <c r="H478"/>
  <c r="D478"/>
  <c r="B478"/>
  <c r="H477"/>
  <c r="D477"/>
  <c r="B477"/>
  <c r="H476"/>
  <c r="D476"/>
  <c r="B476"/>
  <c r="H475"/>
  <c r="D475"/>
  <c r="B475"/>
  <c r="H474"/>
  <c r="D474"/>
  <c r="B474"/>
  <c r="H473"/>
  <c r="D473"/>
  <c r="B473"/>
  <c r="H472"/>
  <c r="D472"/>
  <c r="B472"/>
  <c r="H471"/>
  <c r="D471"/>
  <c r="B471"/>
  <c r="H470"/>
  <c r="D470"/>
  <c r="B470"/>
  <c r="H469"/>
  <c r="D469"/>
  <c r="B469"/>
  <c r="H468"/>
  <c r="D468"/>
  <c r="B468"/>
  <c r="H467"/>
  <c r="D467"/>
  <c r="B467"/>
  <c r="H466"/>
  <c r="D466"/>
  <c r="B466"/>
  <c r="H465"/>
  <c r="D465"/>
  <c r="B465"/>
  <c r="H464"/>
  <c r="D464"/>
  <c r="B464"/>
  <c r="H463"/>
  <c r="D463"/>
  <c r="B463"/>
  <c r="H462"/>
  <c r="D462"/>
  <c r="B462"/>
  <c r="H461"/>
  <c r="D461"/>
  <c r="B461"/>
  <c r="H460"/>
  <c r="D460"/>
  <c r="B460"/>
  <c r="H459"/>
  <c r="D459"/>
  <c r="B459"/>
  <c r="H458"/>
  <c r="D458"/>
  <c r="B458"/>
  <c r="H457"/>
  <c r="D457"/>
  <c r="B457"/>
  <c r="H456"/>
  <c r="D456"/>
  <c r="B456"/>
  <c r="H455"/>
  <c r="D455"/>
  <c r="B455"/>
  <c r="H454"/>
  <c r="D454"/>
  <c r="B454"/>
  <c r="H453"/>
  <c r="D453"/>
  <c r="B453"/>
  <c r="H452"/>
  <c r="D452"/>
  <c r="B452"/>
  <c r="H451"/>
  <c r="D451"/>
  <c r="B451"/>
  <c r="H450"/>
  <c r="D450"/>
  <c r="B450"/>
  <c r="H449"/>
  <c r="D449"/>
  <c r="B449"/>
  <c r="H448"/>
  <c r="D448"/>
  <c r="B448"/>
  <c r="H447"/>
  <c r="D447"/>
  <c r="B447"/>
  <c r="H446"/>
  <c r="D446"/>
  <c r="B446"/>
  <c r="H445"/>
  <c r="D445"/>
  <c r="B445"/>
  <c r="H444"/>
  <c r="D444"/>
  <c r="B444"/>
  <c r="H443"/>
  <c r="D443"/>
  <c r="B443"/>
  <c r="H442"/>
  <c r="D442"/>
  <c r="B442"/>
  <c r="H441"/>
  <c r="D441"/>
  <c r="B441"/>
  <c r="H440"/>
  <c r="D440"/>
  <c r="B440"/>
  <c r="H439"/>
  <c r="D439"/>
  <c r="B439"/>
  <c r="H438"/>
  <c r="D438"/>
  <c r="B438"/>
  <c r="H437"/>
  <c r="D437"/>
  <c r="B437"/>
  <c r="H436"/>
  <c r="D436"/>
  <c r="B436"/>
  <c r="H435"/>
  <c r="D435"/>
  <c r="B435"/>
  <c r="H434"/>
  <c r="D434"/>
  <c r="B434"/>
  <c r="H433"/>
  <c r="D433"/>
  <c r="B433"/>
  <c r="H432"/>
  <c r="D432"/>
  <c r="B432"/>
  <c r="H431"/>
  <c r="D431"/>
  <c r="B431"/>
  <c r="H430"/>
  <c r="D430"/>
  <c r="B430"/>
  <c r="H429"/>
  <c r="D429"/>
  <c r="B429"/>
  <c r="H428"/>
  <c r="D428"/>
  <c r="B428"/>
  <c r="H427"/>
  <c r="D427"/>
  <c r="B427"/>
  <c r="H426"/>
  <c r="D426"/>
  <c r="B426"/>
  <c r="H425"/>
  <c r="D425"/>
  <c r="B425"/>
  <c r="H424"/>
  <c r="D424"/>
  <c r="B424"/>
  <c r="H423"/>
  <c r="D423"/>
  <c r="B423"/>
  <c r="H422"/>
  <c r="D422"/>
  <c r="B422"/>
  <c r="H421"/>
  <c r="D421"/>
  <c r="B421"/>
  <c r="H420"/>
  <c r="D420"/>
  <c r="B420"/>
  <c r="H419"/>
  <c r="D419"/>
  <c r="B419"/>
  <c r="H418"/>
  <c r="D418"/>
  <c r="B418"/>
  <c r="H417"/>
  <c r="D417"/>
  <c r="B417"/>
  <c r="H416"/>
  <c r="D416"/>
  <c r="B416"/>
  <c r="H415"/>
  <c r="D415"/>
  <c r="B415"/>
  <c r="H414"/>
  <c r="D414"/>
  <c r="B414"/>
  <c r="H413"/>
  <c r="D413"/>
  <c r="B413"/>
  <c r="H412"/>
  <c r="D412"/>
  <c r="B412"/>
  <c r="H411"/>
  <c r="D411"/>
  <c r="B411"/>
  <c r="H410"/>
  <c r="D410"/>
  <c r="B410"/>
  <c r="H409"/>
  <c r="D409"/>
  <c r="B409"/>
  <c r="H408"/>
  <c r="D408"/>
  <c r="B408"/>
  <c r="H407"/>
  <c r="D407"/>
  <c r="B407"/>
  <c r="H406"/>
  <c r="D406"/>
  <c r="B406"/>
  <c r="H405"/>
  <c r="D405"/>
  <c r="B405"/>
  <c r="H404"/>
  <c r="D404"/>
  <c r="B404"/>
  <c r="H403"/>
  <c r="D403"/>
  <c r="B403"/>
  <c r="H402"/>
  <c r="D402"/>
  <c r="B402"/>
  <c r="H401"/>
  <c r="D401"/>
  <c r="B401"/>
  <c r="H400"/>
  <c r="D400"/>
  <c r="B400"/>
  <c r="H399"/>
  <c r="D399"/>
  <c r="B399"/>
  <c r="H398"/>
  <c r="D398"/>
  <c r="B398"/>
  <c r="H397"/>
  <c r="D397"/>
  <c r="B397"/>
  <c r="H396"/>
  <c r="D396"/>
  <c r="B396"/>
  <c r="H395"/>
  <c r="D395"/>
  <c r="B395"/>
  <c r="H394"/>
  <c r="D394"/>
  <c r="B394"/>
  <c r="H393"/>
  <c r="D393"/>
  <c r="B393"/>
  <c r="H392"/>
  <c r="D392"/>
  <c r="B392"/>
  <c r="H391"/>
  <c r="D391"/>
  <c r="B391"/>
  <c r="H390"/>
  <c r="D390"/>
  <c r="B390"/>
  <c r="H389"/>
  <c r="D389"/>
  <c r="B389"/>
  <c r="H388"/>
  <c r="D388"/>
  <c r="B388"/>
  <c r="H387"/>
  <c r="D387"/>
  <c r="B387"/>
  <c r="H386"/>
  <c r="D386"/>
  <c r="B386"/>
  <c r="H385"/>
  <c r="D385"/>
  <c r="B385"/>
  <c r="H384"/>
  <c r="D384"/>
  <c r="B384"/>
  <c r="H383"/>
  <c r="D383"/>
  <c r="B383"/>
  <c r="H382"/>
  <c r="D382"/>
  <c r="B382"/>
  <c r="H381"/>
  <c r="D381"/>
  <c r="B381"/>
  <c r="H380"/>
  <c r="D380"/>
  <c r="B380"/>
  <c r="H379"/>
  <c r="D379"/>
  <c r="B379"/>
  <c r="H378"/>
  <c r="D378"/>
  <c r="B378"/>
  <c r="H377"/>
  <c r="D377"/>
  <c r="B377"/>
  <c r="H376"/>
  <c r="D376"/>
  <c r="B376"/>
  <c r="H375"/>
  <c r="D375"/>
  <c r="B375"/>
  <c r="H374"/>
  <c r="D374"/>
  <c r="B374"/>
  <c r="H373"/>
  <c r="D373"/>
  <c r="B373"/>
  <c r="H372"/>
  <c r="D372"/>
  <c r="B372"/>
  <c r="H371"/>
  <c r="D371"/>
  <c r="B371"/>
  <c r="H370"/>
  <c r="D370"/>
  <c r="B370"/>
  <c r="H369"/>
  <c r="D369"/>
  <c r="B369"/>
  <c r="H368"/>
  <c r="D368"/>
  <c r="B368"/>
  <c r="H367"/>
  <c r="D367"/>
  <c r="B367"/>
  <c r="H366"/>
  <c r="D366"/>
  <c r="B366"/>
  <c r="H365"/>
  <c r="D365"/>
  <c r="B365"/>
  <c r="H364"/>
  <c r="D364"/>
  <c r="B364"/>
  <c r="H363"/>
  <c r="D363"/>
  <c r="B363"/>
  <c r="H362"/>
  <c r="D362"/>
  <c r="B362"/>
  <c r="H361"/>
  <c r="D361"/>
  <c r="B361"/>
  <c r="H360"/>
  <c r="D360"/>
  <c r="B360"/>
  <c r="H359"/>
  <c r="D359"/>
  <c r="B359"/>
  <c r="H358"/>
  <c r="D358"/>
  <c r="B358"/>
  <c r="H357"/>
  <c r="D357"/>
  <c r="B357"/>
  <c r="H356"/>
  <c r="D356"/>
  <c r="B356"/>
  <c r="H355"/>
  <c r="D355"/>
  <c r="B355"/>
  <c r="H354"/>
  <c r="D354"/>
  <c r="B354"/>
  <c r="H353"/>
  <c r="D353"/>
  <c r="B353"/>
  <c r="H352"/>
  <c r="D352"/>
  <c r="B352"/>
  <c r="H351"/>
  <c r="D351"/>
  <c r="B351"/>
  <c r="H350"/>
  <c r="D350"/>
  <c r="B350"/>
  <c r="H349"/>
  <c r="D349"/>
  <c r="B349"/>
  <c r="H348"/>
  <c r="D348"/>
  <c r="B348"/>
  <c r="H347"/>
  <c r="D347"/>
  <c r="B347"/>
  <c r="H346"/>
  <c r="D346"/>
  <c r="B346"/>
  <c r="H345"/>
  <c r="D345"/>
  <c r="B345"/>
  <c r="H344"/>
  <c r="D344"/>
  <c r="B344"/>
  <c r="H343"/>
  <c r="D343"/>
  <c r="B343"/>
  <c r="H342"/>
  <c r="D342"/>
  <c r="B342"/>
  <c r="H341"/>
  <c r="D341"/>
  <c r="B341"/>
  <c r="H340"/>
  <c r="D340"/>
  <c r="B340"/>
  <c r="H339"/>
  <c r="D339"/>
  <c r="B339"/>
  <c r="H338"/>
  <c r="D338"/>
  <c r="B338"/>
  <c r="H337"/>
  <c r="D337"/>
  <c r="B337"/>
  <c r="H336"/>
  <c r="D336"/>
  <c r="B336"/>
  <c r="H335"/>
  <c r="D335"/>
  <c r="B335"/>
  <c r="H334"/>
  <c r="D334"/>
  <c r="B334"/>
  <c r="H333"/>
  <c r="D333"/>
  <c r="B333"/>
  <c r="H332"/>
  <c r="D332"/>
  <c r="B332"/>
  <c r="H331"/>
  <c r="D331"/>
  <c r="B331"/>
  <c r="H330"/>
  <c r="D330"/>
  <c r="B330"/>
  <c r="H329"/>
  <c r="D329"/>
  <c r="B329"/>
  <c r="H328"/>
  <c r="D328"/>
  <c r="B328"/>
  <c r="H327"/>
  <c r="D327"/>
  <c r="B327"/>
  <c r="H326"/>
  <c r="D326"/>
  <c r="B326"/>
  <c r="H325"/>
  <c r="D325"/>
  <c r="B325"/>
  <c r="H324"/>
  <c r="D324"/>
  <c r="B324"/>
  <c r="H323"/>
  <c r="D323"/>
  <c r="B323"/>
  <c r="H322"/>
  <c r="D322"/>
  <c r="B322"/>
  <c r="H321"/>
  <c r="D321"/>
  <c r="B321"/>
  <c r="H320"/>
  <c r="D320"/>
  <c r="B320"/>
  <c r="H319"/>
  <c r="D319"/>
  <c r="B319"/>
  <c r="H318"/>
  <c r="D318"/>
  <c r="B318"/>
  <c r="H317"/>
  <c r="D317"/>
  <c r="B317"/>
  <c r="H316"/>
  <c r="D316"/>
  <c r="B316"/>
  <c r="H315"/>
  <c r="D315"/>
  <c r="B315"/>
  <c r="H314"/>
  <c r="D314"/>
  <c r="B314"/>
  <c r="H313"/>
  <c r="D313"/>
  <c r="B313"/>
  <c r="H312"/>
  <c r="D312"/>
  <c r="B312"/>
  <c r="H311"/>
  <c r="D311"/>
  <c r="B311"/>
  <c r="H310"/>
  <c r="D310"/>
  <c r="B310"/>
  <c r="H309"/>
  <c r="D309"/>
  <c r="B309"/>
  <c r="H308"/>
  <c r="D308"/>
  <c r="B308"/>
  <c r="H307"/>
  <c r="D307"/>
  <c r="B307"/>
  <c r="H306"/>
  <c r="D306"/>
  <c r="B306"/>
  <c r="H305"/>
  <c r="D305"/>
  <c r="B305"/>
  <c r="H304"/>
  <c r="D304"/>
  <c r="B304"/>
  <c r="H303"/>
  <c r="D303"/>
  <c r="B303"/>
  <c r="H302"/>
  <c r="D302"/>
  <c r="B302"/>
  <c r="H301"/>
  <c r="D301"/>
  <c r="B301"/>
  <c r="H300"/>
  <c r="D300"/>
  <c r="B300"/>
  <c r="H299"/>
  <c r="D299"/>
  <c r="B299"/>
  <c r="H298"/>
  <c r="D298"/>
  <c r="B298"/>
  <c r="H297"/>
  <c r="D297"/>
  <c r="B297"/>
  <c r="H296"/>
  <c r="D296"/>
  <c r="B296"/>
  <c r="H295"/>
  <c r="D295"/>
  <c r="B295"/>
  <c r="H294"/>
  <c r="D294"/>
  <c r="B294"/>
  <c r="H293"/>
  <c r="D293"/>
  <c r="B293"/>
  <c r="H292"/>
  <c r="D292"/>
  <c r="B292"/>
  <c r="H291"/>
  <c r="D291"/>
  <c r="B291"/>
  <c r="H290"/>
  <c r="D290"/>
  <c r="B290"/>
  <c r="H289"/>
  <c r="D289"/>
  <c r="B289"/>
  <c r="H288"/>
  <c r="D288"/>
  <c r="B288"/>
  <c r="H287"/>
  <c r="D287"/>
  <c r="B287"/>
  <c r="H286"/>
  <c r="D286"/>
  <c r="B286"/>
  <c r="H285"/>
  <c r="D285"/>
  <c r="B285"/>
  <c r="H284"/>
  <c r="D284"/>
  <c r="B284"/>
  <c r="H283"/>
  <c r="D283"/>
  <c r="B283"/>
  <c r="H282"/>
  <c r="D282"/>
  <c r="B282"/>
  <c r="H281"/>
  <c r="D281"/>
  <c r="B281"/>
  <c r="H280"/>
  <c r="D280"/>
  <c r="B280"/>
  <c r="H279"/>
  <c r="D279"/>
  <c r="B279"/>
  <c r="H278"/>
  <c r="D278"/>
  <c r="B278"/>
  <c r="H277"/>
  <c r="D277"/>
  <c r="B277"/>
  <c r="H276"/>
  <c r="D276"/>
  <c r="B276"/>
  <c r="H275"/>
  <c r="D275"/>
  <c r="B275"/>
  <c r="H274"/>
  <c r="D274"/>
  <c r="B274"/>
  <c r="H273"/>
  <c r="D273"/>
  <c r="B273"/>
  <c r="H272"/>
  <c r="D272"/>
  <c r="B272"/>
  <c r="H271"/>
  <c r="D271"/>
  <c r="B271"/>
  <c r="H270"/>
  <c r="D270"/>
  <c r="B270"/>
  <c r="H269"/>
  <c r="D269"/>
  <c r="B269"/>
  <c r="H268"/>
  <c r="D268"/>
  <c r="B268"/>
  <c r="H267"/>
  <c r="D267"/>
  <c r="B267"/>
  <c r="H266"/>
  <c r="D266"/>
  <c r="B266"/>
  <c r="H265"/>
  <c r="D265"/>
  <c r="B265"/>
  <c r="H264"/>
  <c r="D264"/>
  <c r="B264"/>
  <c r="H263"/>
  <c r="D263"/>
  <c r="B263"/>
  <c r="H262"/>
  <c r="D262"/>
  <c r="B262"/>
  <c r="H261"/>
  <c r="D261"/>
  <c r="B261"/>
  <c r="H260"/>
  <c r="D260"/>
  <c r="B260"/>
  <c r="H259"/>
  <c r="D259"/>
  <c r="B259"/>
  <c r="H258"/>
  <c r="D258"/>
  <c r="B258"/>
  <c r="H257"/>
  <c r="D257"/>
  <c r="B257"/>
  <c r="H256"/>
  <c r="D256"/>
  <c r="B256"/>
  <c r="H255"/>
  <c r="D255"/>
  <c r="B255"/>
  <c r="H254"/>
  <c r="D254"/>
  <c r="B254"/>
  <c r="H253"/>
  <c r="D253"/>
  <c r="B253"/>
  <c r="H252"/>
  <c r="D252"/>
  <c r="B252"/>
  <c r="H251"/>
  <c r="D251"/>
  <c r="B251"/>
  <c r="H250"/>
  <c r="D250"/>
  <c r="B250"/>
  <c r="H249"/>
  <c r="D249"/>
  <c r="B249"/>
  <c r="H248"/>
  <c r="D248"/>
  <c r="B248"/>
  <c r="H247"/>
  <c r="D247"/>
  <c r="B247"/>
  <c r="H246"/>
  <c r="D246"/>
  <c r="B246"/>
  <c r="H245"/>
  <c r="D245"/>
  <c r="B245"/>
  <c r="H244"/>
  <c r="D244"/>
  <c r="B244"/>
  <c r="H243"/>
  <c r="D243"/>
  <c r="B243"/>
  <c r="H242"/>
  <c r="D242"/>
  <c r="B242"/>
  <c r="H241"/>
  <c r="D241"/>
  <c r="B241"/>
  <c r="H240"/>
  <c r="D240"/>
  <c r="B240"/>
  <c r="H239"/>
  <c r="D239"/>
  <c r="B239"/>
  <c r="H238"/>
  <c r="D238"/>
  <c r="B238"/>
  <c r="H237"/>
  <c r="D237"/>
  <c r="B237"/>
  <c r="H236"/>
  <c r="D236"/>
  <c r="B236"/>
  <c r="H235"/>
  <c r="D235"/>
  <c r="B235"/>
  <c r="H234"/>
  <c r="D234"/>
  <c r="B234"/>
  <c r="H233"/>
  <c r="D233"/>
  <c r="B233"/>
  <c r="H232"/>
  <c r="D232"/>
  <c r="B232"/>
  <c r="H231"/>
  <c r="D231"/>
  <c r="B231"/>
  <c r="H230"/>
  <c r="D230"/>
  <c r="B230"/>
  <c r="H229"/>
  <c r="D229"/>
  <c r="B229"/>
  <c r="H228"/>
  <c r="D228"/>
  <c r="B228"/>
  <c r="H227"/>
  <c r="D227"/>
  <c r="B227"/>
  <c r="H226"/>
  <c r="D226"/>
  <c r="B226"/>
  <c r="H225"/>
  <c r="D225"/>
  <c r="B225"/>
  <c r="H224"/>
  <c r="D224"/>
  <c r="B224"/>
  <c r="H223"/>
  <c r="D223"/>
  <c r="B223"/>
  <c r="H222"/>
  <c r="D222"/>
  <c r="B222"/>
  <c r="H221"/>
  <c r="D221"/>
  <c r="B221"/>
  <c r="H220"/>
  <c r="D220"/>
  <c r="B220"/>
  <c r="H219"/>
  <c r="D219"/>
  <c r="B219"/>
  <c r="H218"/>
  <c r="D218"/>
  <c r="B218"/>
  <c r="H217"/>
  <c r="D217"/>
  <c r="B217"/>
  <c r="H216"/>
  <c r="D216"/>
  <c r="B216"/>
  <c r="H215"/>
  <c r="D215"/>
  <c r="B215"/>
  <c r="H214"/>
  <c r="D214"/>
  <c r="B214"/>
  <c r="H213"/>
  <c r="D213"/>
  <c r="B213"/>
  <c r="H212"/>
  <c r="D212"/>
  <c r="B212"/>
  <c r="H211"/>
  <c r="D211"/>
  <c r="B211"/>
  <c r="H210"/>
  <c r="D210"/>
  <c r="B210"/>
  <c r="H209"/>
  <c r="D209"/>
  <c r="B209"/>
  <c r="H208"/>
  <c r="D208"/>
  <c r="B208"/>
  <c r="H207"/>
  <c r="D207"/>
  <c r="B207"/>
  <c r="H206"/>
  <c r="D206"/>
  <c r="B206"/>
  <c r="H205"/>
  <c r="D205"/>
  <c r="B205"/>
  <c r="H204"/>
  <c r="D204"/>
  <c r="B204"/>
  <c r="H203"/>
  <c r="D203"/>
  <c r="B203"/>
  <c r="H202"/>
  <c r="D202"/>
  <c r="B202"/>
  <c r="H201"/>
  <c r="D201"/>
  <c r="B201"/>
  <c r="H200"/>
  <c r="D200"/>
  <c r="B200"/>
  <c r="H199"/>
  <c r="D199"/>
  <c r="B199"/>
  <c r="H198"/>
  <c r="D198"/>
  <c r="B198"/>
  <c r="H197"/>
  <c r="D197"/>
  <c r="B197"/>
  <c r="H196"/>
  <c r="D196"/>
  <c r="B196"/>
  <c r="H195"/>
  <c r="D195"/>
  <c r="B195"/>
  <c r="H194"/>
  <c r="D194"/>
  <c r="B194"/>
  <c r="H193"/>
  <c r="D193"/>
  <c r="B193"/>
  <c r="H192"/>
  <c r="D192"/>
  <c r="B192"/>
  <c r="H191"/>
  <c r="D191"/>
  <c r="B191"/>
  <c r="H190"/>
  <c r="D190"/>
  <c r="B190"/>
  <c r="H189"/>
  <c r="D189"/>
  <c r="B189"/>
  <c r="H188"/>
  <c r="D188"/>
  <c r="B188"/>
  <c r="H187"/>
  <c r="D187"/>
  <c r="B187"/>
  <c r="H186"/>
  <c r="D186"/>
  <c r="B186"/>
  <c r="H185"/>
  <c r="D185"/>
  <c r="B185"/>
  <c r="H184"/>
  <c r="D184"/>
  <c r="B184"/>
  <c r="H183"/>
  <c r="D183"/>
  <c r="B183"/>
  <c r="H182"/>
  <c r="D182"/>
  <c r="B182"/>
  <c r="H181"/>
  <c r="D181"/>
  <c r="B181"/>
  <c r="H180"/>
  <c r="D180"/>
  <c r="B180"/>
  <c r="H179"/>
  <c r="D179"/>
  <c r="B179"/>
  <c r="H178"/>
  <c r="D178"/>
  <c r="B178"/>
  <c r="H177"/>
  <c r="D177"/>
  <c r="B177"/>
  <c r="H176"/>
  <c r="D176"/>
  <c r="B176"/>
  <c r="H175"/>
  <c r="D175"/>
  <c r="B175"/>
  <c r="H174"/>
  <c r="D174"/>
  <c r="B174"/>
  <c r="H173"/>
  <c r="D173"/>
  <c r="B173"/>
  <c r="H172"/>
  <c r="D172"/>
  <c r="B172"/>
  <c r="H171"/>
  <c r="D171"/>
  <c r="B171"/>
  <c r="H170"/>
  <c r="D170"/>
  <c r="B170"/>
  <c r="H169"/>
  <c r="D169"/>
  <c r="B169"/>
  <c r="H168"/>
  <c r="D168"/>
  <c r="B168"/>
  <c r="H167"/>
  <c r="D167"/>
  <c r="B167"/>
  <c r="H166"/>
  <c r="D166"/>
  <c r="B166"/>
  <c r="H165"/>
  <c r="D165"/>
  <c r="B165"/>
  <c r="H164"/>
  <c r="D164"/>
  <c r="B164"/>
  <c r="H163"/>
  <c r="D163"/>
  <c r="B163"/>
  <c r="H162"/>
  <c r="D162"/>
  <c r="B162"/>
  <c r="H161"/>
  <c r="D161"/>
  <c r="B161"/>
  <c r="H160"/>
  <c r="D160"/>
  <c r="B160"/>
  <c r="H159"/>
  <c r="D159"/>
  <c r="B159"/>
  <c r="H158"/>
  <c r="D158"/>
  <c r="B158"/>
  <c r="H157"/>
  <c r="D157"/>
  <c r="B157"/>
  <c r="H156"/>
  <c r="D156"/>
  <c r="B156"/>
  <c r="H155"/>
  <c r="D155"/>
  <c r="B155"/>
  <c r="H154"/>
  <c r="D154"/>
  <c r="B154"/>
  <c r="H153"/>
  <c r="D153"/>
  <c r="B153"/>
  <c r="H152"/>
  <c r="D152"/>
  <c r="B152"/>
  <c r="H151"/>
  <c r="D151"/>
  <c r="B151"/>
  <c r="H150"/>
  <c r="D150"/>
  <c r="B150"/>
  <c r="H149"/>
  <c r="D149"/>
  <c r="B149"/>
  <c r="H148"/>
  <c r="D148"/>
  <c r="B148"/>
  <c r="H147"/>
  <c r="D147"/>
  <c r="B147"/>
  <c r="H146"/>
  <c r="D146"/>
  <c r="B146"/>
  <c r="H145"/>
  <c r="D145"/>
  <c r="B145"/>
  <c r="H144"/>
  <c r="D144"/>
  <c r="B144"/>
  <c r="H143"/>
  <c r="D143"/>
  <c r="B143"/>
  <c r="H142"/>
  <c r="D142"/>
  <c r="B142"/>
  <c r="H141"/>
  <c r="D141"/>
  <c r="B141"/>
  <c r="H140"/>
  <c r="D140"/>
  <c r="B140"/>
  <c r="H139"/>
  <c r="D139"/>
  <c r="B139"/>
  <c r="H138"/>
  <c r="D138"/>
  <c r="B138"/>
  <c r="H137"/>
  <c r="D137"/>
  <c r="B137"/>
  <c r="H136"/>
  <c r="D136"/>
  <c r="B136"/>
  <c r="H135"/>
  <c r="D135"/>
  <c r="B135"/>
  <c r="H134"/>
  <c r="D134"/>
  <c r="B134"/>
  <c r="H133"/>
  <c r="D133"/>
  <c r="B133"/>
  <c r="H132"/>
  <c r="D132"/>
  <c r="B132"/>
  <c r="H131"/>
  <c r="D131"/>
  <c r="B131"/>
  <c r="H130"/>
  <c r="D130"/>
  <c r="B130"/>
  <c r="H129"/>
  <c r="D129"/>
  <c r="B129"/>
  <c r="H128"/>
  <c r="D128"/>
  <c r="B128"/>
  <c r="H127"/>
  <c r="D127"/>
  <c r="B127"/>
  <c r="H126"/>
  <c r="D126"/>
  <c r="B126"/>
  <c r="H125"/>
  <c r="D125"/>
  <c r="B125"/>
  <c r="H124"/>
  <c r="D124"/>
  <c r="B124"/>
  <c r="H123"/>
  <c r="D123"/>
  <c r="B123"/>
  <c r="H122"/>
  <c r="D122"/>
  <c r="B122"/>
  <c r="H121"/>
  <c r="D121"/>
  <c r="B121"/>
  <c r="H120"/>
  <c r="D120"/>
  <c r="B120"/>
  <c r="H119"/>
  <c r="D119"/>
  <c r="B119"/>
  <c r="H118"/>
  <c r="D118"/>
  <c r="B118"/>
  <c r="H117"/>
  <c r="D117"/>
  <c r="B117"/>
  <c r="H116"/>
  <c r="D116"/>
  <c r="B116"/>
  <c r="H115"/>
  <c r="D115"/>
  <c r="B115"/>
  <c r="H114"/>
  <c r="D114"/>
  <c r="B114"/>
  <c r="H113"/>
  <c r="D113"/>
  <c r="B113"/>
  <c r="H112"/>
  <c r="D112"/>
  <c r="B112"/>
  <c r="H111"/>
  <c r="D111"/>
  <c r="B111"/>
  <c r="H110"/>
  <c r="D110"/>
  <c r="B110"/>
  <c r="H109"/>
  <c r="D109"/>
  <c r="B109"/>
  <c r="H108"/>
  <c r="D108"/>
  <c r="B108"/>
  <c r="H107"/>
  <c r="D107"/>
  <c r="B107"/>
  <c r="H106"/>
  <c r="D106"/>
  <c r="B106"/>
  <c r="H105"/>
  <c r="D105"/>
  <c r="B105"/>
  <c r="H104"/>
  <c r="D104"/>
  <c r="B104"/>
  <c r="H103"/>
  <c r="D103"/>
  <c r="B103"/>
  <c r="H102"/>
  <c r="D102"/>
  <c r="B102"/>
  <c r="H101"/>
  <c r="D101"/>
  <c r="B101"/>
  <c r="H100"/>
  <c r="D100"/>
  <c r="B100"/>
  <c r="H99"/>
  <c r="D99"/>
  <c r="B99"/>
  <c r="H98"/>
  <c r="D98"/>
  <c r="B98"/>
  <c r="H97"/>
  <c r="D97"/>
  <c r="B97"/>
  <c r="H96"/>
  <c r="D96"/>
  <c r="B96"/>
  <c r="H95"/>
  <c r="D95"/>
  <c r="B95"/>
  <c r="H94"/>
  <c r="D94"/>
  <c r="B94"/>
  <c r="H93"/>
  <c r="D93"/>
  <c r="B93"/>
  <c r="H92"/>
  <c r="D92"/>
  <c r="B92"/>
  <c r="H91"/>
  <c r="D91"/>
  <c r="B91"/>
  <c r="H90"/>
  <c r="D90"/>
  <c r="B90"/>
  <c r="H89"/>
  <c r="D89"/>
  <c r="B89"/>
  <c r="H88"/>
  <c r="D88"/>
  <c r="B88"/>
  <c r="H87"/>
  <c r="D87"/>
  <c r="B87"/>
  <c r="H86"/>
  <c r="D86"/>
  <c r="B86"/>
  <c r="H85"/>
  <c r="D85"/>
  <c r="B85"/>
  <c r="H84"/>
  <c r="D84"/>
  <c r="B84"/>
  <c r="H83"/>
  <c r="D83"/>
  <c r="B83"/>
  <c r="H82"/>
  <c r="D82"/>
  <c r="B82"/>
  <c r="H81"/>
  <c r="D81"/>
  <c r="B81"/>
  <c r="H80"/>
  <c r="D80"/>
  <c r="B80"/>
  <c r="H79"/>
  <c r="D79"/>
  <c r="B79"/>
  <c r="H78"/>
  <c r="D78"/>
  <c r="B78"/>
  <c r="H77"/>
  <c r="D77"/>
  <c r="B77"/>
  <c r="H76"/>
  <c r="D76"/>
  <c r="B76"/>
  <c r="H75"/>
  <c r="D75"/>
  <c r="B75"/>
  <c r="H74"/>
  <c r="D74"/>
  <c r="B74"/>
  <c r="H73"/>
  <c r="D73"/>
  <c r="B73"/>
  <c r="H72"/>
  <c r="D72"/>
  <c r="B72"/>
  <c r="H71"/>
  <c r="D71"/>
  <c r="B71"/>
  <c r="H70"/>
  <c r="D70"/>
  <c r="B70"/>
  <c r="H69"/>
  <c r="D69"/>
  <c r="B69"/>
  <c r="H68"/>
  <c r="D68"/>
  <c r="B68"/>
  <c r="H67"/>
  <c r="D67"/>
  <c r="B67"/>
  <c r="H66"/>
  <c r="D66"/>
  <c r="B66"/>
  <c r="H65"/>
  <c r="D65"/>
  <c r="B65"/>
  <c r="H64"/>
  <c r="D64"/>
  <c r="B64"/>
  <c r="H63"/>
  <c r="D63"/>
  <c r="B63"/>
  <c r="H62"/>
  <c r="D62"/>
  <c r="B62"/>
  <c r="H61"/>
  <c r="D61"/>
  <c r="B61"/>
  <c r="H60"/>
  <c r="D60"/>
  <c r="B60"/>
  <c r="H59"/>
  <c r="D59"/>
  <c r="B59"/>
  <c r="H58"/>
  <c r="D58"/>
  <c r="B58"/>
  <c r="H57"/>
  <c r="D57"/>
  <c r="B57"/>
  <c r="H56"/>
  <c r="D56"/>
  <c r="B56"/>
  <c r="H55"/>
  <c r="D55"/>
  <c r="B55"/>
  <c r="H54"/>
  <c r="D54"/>
  <c r="B54"/>
  <c r="H53"/>
  <c r="D53"/>
  <c r="B53"/>
  <c r="H52"/>
  <c r="D52"/>
  <c r="B52"/>
  <c r="H51"/>
  <c r="D51"/>
  <c r="B51"/>
  <c r="H50"/>
  <c r="D50"/>
  <c r="B50"/>
  <c r="H49"/>
  <c r="D49"/>
  <c r="B49"/>
  <c r="H48"/>
  <c r="D48"/>
  <c r="B48"/>
  <c r="H47"/>
  <c r="D47"/>
  <c r="B47"/>
  <c r="H46"/>
  <c r="D46"/>
  <c r="B46"/>
  <c r="H45"/>
  <c r="D45"/>
  <c r="B45"/>
  <c r="H44"/>
  <c r="D44"/>
  <c r="B44"/>
  <c r="H43"/>
  <c r="D43"/>
  <c r="B43"/>
  <c r="H42"/>
  <c r="D42"/>
  <c r="B42"/>
  <c r="H41"/>
  <c r="D41"/>
  <c r="B41"/>
  <c r="H40"/>
  <c r="D40"/>
  <c r="B40"/>
  <c r="H39"/>
  <c r="D39"/>
  <c r="B39"/>
  <c r="H38"/>
  <c r="D38"/>
  <c r="B38"/>
  <c r="H37"/>
  <c r="D37"/>
  <c r="B37"/>
  <c r="H36"/>
  <c r="D36"/>
  <c r="B36"/>
  <c r="H35"/>
  <c r="D35"/>
  <c r="B35"/>
  <c r="H34"/>
  <c r="D34"/>
  <c r="B34"/>
  <c r="H33"/>
  <c r="D33"/>
  <c r="B33"/>
  <c r="H32"/>
  <c r="D32"/>
  <c r="B32"/>
  <c r="H31"/>
  <c r="D31"/>
  <c r="B31"/>
  <c r="H30"/>
  <c r="D30"/>
  <c r="B30"/>
  <c r="H29"/>
  <c r="D29"/>
  <c r="B29"/>
  <c r="H28"/>
  <c r="D28"/>
  <c r="B28"/>
  <c r="H27"/>
  <c r="D27"/>
  <c r="B27"/>
  <c r="H26"/>
  <c r="D26"/>
  <c r="B26"/>
  <c r="H25"/>
  <c r="D25"/>
  <c r="B25"/>
  <c r="H24"/>
  <c r="D24"/>
  <c r="B24"/>
  <c r="H23"/>
  <c r="D23"/>
  <c r="B23"/>
  <c r="H22"/>
  <c r="D22"/>
  <c r="B22"/>
  <c r="H21"/>
  <c r="D21"/>
  <c r="B21"/>
  <c r="H20"/>
  <c r="D20"/>
  <c r="B20"/>
  <c r="H19"/>
  <c r="D19"/>
  <c r="B19"/>
  <c r="H18"/>
  <c r="D18"/>
  <c r="B18"/>
  <c r="H17"/>
  <c r="D17"/>
  <c r="B17"/>
  <c r="H16"/>
  <c r="D16"/>
  <c r="B16"/>
  <c r="H15"/>
  <c r="D15"/>
  <c r="B15"/>
  <c r="H14"/>
  <c r="D14"/>
  <c r="B14"/>
  <c r="H13"/>
  <c r="D13"/>
  <c r="B13"/>
  <c r="H12"/>
  <c r="D12"/>
  <c r="B12"/>
  <c r="H11"/>
  <c r="D11"/>
  <c r="B11"/>
  <c r="H10"/>
  <c r="D10"/>
  <c r="B10"/>
  <c r="H9"/>
  <c r="D9"/>
  <c r="B9"/>
  <c r="H8"/>
  <c r="D8"/>
  <c r="B8"/>
  <c r="H7"/>
  <c r="D7"/>
  <c r="B7"/>
  <c r="H6"/>
  <c r="D6"/>
  <c r="B6"/>
  <c r="H5"/>
  <c r="D5"/>
  <c r="B5"/>
  <c r="H4"/>
  <c r="D4"/>
  <c r="B4"/>
  <c r="H3"/>
  <c r="D3"/>
  <c r="B3"/>
  <c r="H2"/>
  <c r="D2"/>
  <c r="B2"/>
  <c r="N301" i="7"/>
  <c r="M301"/>
  <c r="N300"/>
  <c r="M300"/>
  <c r="N299"/>
  <c r="M299"/>
  <c r="N298"/>
  <c r="M298"/>
  <c r="N297"/>
  <c r="M297"/>
  <c r="N296"/>
  <c r="M296"/>
  <c r="N295"/>
  <c r="M295"/>
  <c r="N294"/>
  <c r="M294"/>
  <c r="N293"/>
  <c r="M293"/>
  <c r="N292"/>
  <c r="M292"/>
  <c r="N291"/>
  <c r="M291"/>
  <c r="N290"/>
  <c r="M290"/>
  <c r="N289"/>
  <c r="M289"/>
  <c r="N288"/>
  <c r="M288"/>
  <c r="N287"/>
  <c r="M287"/>
  <c r="N286"/>
  <c r="M286"/>
  <c r="N285"/>
  <c r="M285"/>
  <c r="N284"/>
  <c r="M284"/>
  <c r="N283"/>
  <c r="M283"/>
  <c r="N282"/>
  <c r="M282"/>
  <c r="N281"/>
  <c r="M281"/>
  <c r="N280"/>
  <c r="M280"/>
  <c r="N279"/>
  <c r="M279"/>
  <c r="N278"/>
  <c r="M278"/>
  <c r="N277"/>
  <c r="M277"/>
  <c r="N276"/>
  <c r="M276"/>
  <c r="N275"/>
  <c r="M275"/>
  <c r="N274"/>
  <c r="M274"/>
  <c r="N273"/>
  <c r="M273"/>
  <c r="N272"/>
  <c r="M272"/>
  <c r="N271"/>
  <c r="M271"/>
  <c r="N270"/>
  <c r="M270"/>
  <c r="N269"/>
  <c r="M269"/>
  <c r="N268"/>
  <c r="M268"/>
  <c r="N267"/>
  <c r="M267"/>
  <c r="N266"/>
  <c r="M266"/>
  <c r="N265"/>
  <c r="M265"/>
  <c r="N264"/>
  <c r="M264"/>
  <c r="N263"/>
  <c r="M263"/>
  <c r="N262"/>
  <c r="M262"/>
  <c r="N261"/>
  <c r="M261"/>
  <c r="N260"/>
  <c r="M260"/>
  <c r="N259"/>
  <c r="M259"/>
  <c r="N258"/>
  <c r="M258"/>
  <c r="N257"/>
  <c r="M257"/>
  <c r="N256"/>
  <c r="M256"/>
  <c r="N255"/>
  <c r="M255"/>
  <c r="N254"/>
  <c r="M254"/>
  <c r="N253"/>
  <c r="M253"/>
  <c r="N252"/>
  <c r="M252"/>
  <c r="N251"/>
  <c r="M251"/>
  <c r="N250"/>
  <c r="M250"/>
  <c r="N249"/>
  <c r="M249"/>
  <c r="N248"/>
  <c r="M248"/>
  <c r="N247"/>
  <c r="M247"/>
  <c r="N246"/>
  <c r="M246"/>
  <c r="N245"/>
  <c r="M245"/>
  <c r="N244"/>
  <c r="M244"/>
  <c r="N243"/>
  <c r="M243"/>
  <c r="N242"/>
  <c r="M242"/>
  <c r="N241"/>
  <c r="M241"/>
  <c r="N240"/>
  <c r="M240"/>
  <c r="N239"/>
  <c r="M239"/>
  <c r="N238"/>
  <c r="M238"/>
  <c r="N237"/>
  <c r="M237"/>
  <c r="N236"/>
  <c r="M236"/>
  <c r="N235"/>
  <c r="M235"/>
  <c r="N234"/>
  <c r="M234"/>
  <c r="N233"/>
  <c r="M233"/>
  <c r="N232"/>
  <c r="M232"/>
  <c r="N231"/>
  <c r="M231"/>
  <c r="N230"/>
  <c r="M230"/>
  <c r="N229"/>
  <c r="M229"/>
  <c r="N228"/>
  <c r="M228"/>
  <c r="N227"/>
  <c r="M227"/>
  <c r="N226"/>
  <c r="M226"/>
  <c r="N225"/>
  <c r="M225"/>
  <c r="N224"/>
  <c r="M224"/>
  <c r="N223"/>
  <c r="M223"/>
  <c r="N222"/>
  <c r="M222"/>
  <c r="N221"/>
  <c r="M221"/>
  <c r="N220"/>
  <c r="M220"/>
  <c r="N219"/>
  <c r="M219"/>
  <c r="N218"/>
  <c r="M218"/>
  <c r="N217"/>
  <c r="M217"/>
  <c r="N216"/>
  <c r="M216"/>
  <c r="N215"/>
  <c r="M215"/>
  <c r="N214"/>
  <c r="M214"/>
  <c r="N213"/>
  <c r="M213"/>
  <c r="N212"/>
  <c r="M212"/>
  <c r="N211"/>
  <c r="M211"/>
  <c r="N210"/>
  <c r="M210"/>
  <c r="N209"/>
  <c r="M209"/>
  <c r="N208"/>
  <c r="M208"/>
  <c r="N207"/>
  <c r="M207"/>
  <c r="N206"/>
  <c r="M206"/>
  <c r="N205"/>
  <c r="M205"/>
  <c r="N204"/>
  <c r="M204"/>
  <c r="N203"/>
  <c r="M203"/>
  <c r="N202"/>
  <c r="M202"/>
  <c r="N201"/>
  <c r="M201"/>
  <c r="N200"/>
  <c r="M200"/>
  <c r="N199"/>
  <c r="M199"/>
  <c r="N198"/>
  <c r="M198"/>
  <c r="N197"/>
  <c r="M197"/>
  <c r="N196"/>
  <c r="M196"/>
  <c r="N195"/>
  <c r="M195"/>
  <c r="N194"/>
  <c r="M194"/>
  <c r="N193"/>
  <c r="M193"/>
  <c r="N192"/>
  <c r="M192"/>
  <c r="N191"/>
  <c r="M191"/>
  <c r="N190"/>
  <c r="M190"/>
  <c r="N189"/>
  <c r="M189"/>
  <c r="N188"/>
  <c r="M188"/>
  <c r="N187"/>
  <c r="M187"/>
  <c r="N186"/>
  <c r="M186"/>
  <c r="N185"/>
  <c r="M185"/>
  <c r="N184"/>
  <c r="M184"/>
  <c r="N183"/>
  <c r="M183"/>
  <c r="N182"/>
  <c r="M182"/>
  <c r="N181"/>
  <c r="M181"/>
  <c r="N180"/>
  <c r="M180"/>
  <c r="N179"/>
  <c r="M179"/>
  <c r="N178"/>
  <c r="M178"/>
  <c r="N177"/>
  <c r="M177"/>
  <c r="N176"/>
  <c r="M176"/>
  <c r="N175"/>
  <c r="M175"/>
  <c r="N174"/>
  <c r="M174"/>
  <c r="N173"/>
  <c r="M173"/>
  <c r="N172"/>
  <c r="M172"/>
  <c r="N171"/>
  <c r="M171"/>
  <c r="N170"/>
  <c r="M170"/>
  <c r="N169"/>
  <c r="M169"/>
  <c r="N168"/>
  <c r="M168"/>
  <c r="N167"/>
  <c r="M167"/>
  <c r="N166"/>
  <c r="M166"/>
  <c r="N165"/>
  <c r="M165"/>
  <c r="N164"/>
  <c r="M164"/>
  <c r="N163"/>
  <c r="M163"/>
  <c r="N162"/>
  <c r="M162"/>
  <c r="N161"/>
  <c r="M161"/>
  <c r="N160"/>
  <c r="M160"/>
  <c r="N159"/>
  <c r="M159"/>
  <c r="N158"/>
  <c r="M158"/>
  <c r="N157"/>
  <c r="M157"/>
  <c r="N156"/>
  <c r="M156"/>
  <c r="N155"/>
  <c r="M155"/>
  <c r="N154"/>
  <c r="M154"/>
  <c r="N153"/>
  <c r="M153"/>
  <c r="N152"/>
  <c r="M152"/>
  <c r="N151"/>
  <c r="M151"/>
  <c r="N150"/>
  <c r="M150"/>
  <c r="N149"/>
  <c r="M149"/>
  <c r="N148"/>
  <c r="M148"/>
  <c r="N147"/>
  <c r="M147"/>
  <c r="N146"/>
  <c r="M146"/>
  <c r="N145"/>
  <c r="M145"/>
  <c r="N144"/>
  <c r="M144"/>
  <c r="N143"/>
  <c r="M143"/>
  <c r="N142"/>
  <c r="M142"/>
  <c r="N141"/>
  <c r="M141"/>
  <c r="N140"/>
  <c r="M140"/>
  <c r="N139"/>
  <c r="M139"/>
  <c r="N138"/>
  <c r="M138"/>
  <c r="N137"/>
  <c r="M137"/>
  <c r="N136"/>
  <c r="M136"/>
  <c r="N135"/>
  <c r="M135"/>
  <c r="N134"/>
  <c r="M134"/>
  <c r="N133"/>
  <c r="M133"/>
  <c r="N132"/>
  <c r="M132"/>
  <c r="N131"/>
  <c r="M131"/>
  <c r="N130"/>
  <c r="M130"/>
  <c r="N129"/>
  <c r="M129"/>
  <c r="N128"/>
  <c r="M128"/>
  <c r="N127"/>
  <c r="M127"/>
  <c r="N126"/>
  <c r="M126"/>
  <c r="N125"/>
  <c r="M125"/>
  <c r="N124"/>
  <c r="M124"/>
  <c r="N123"/>
  <c r="M123"/>
  <c r="N122"/>
  <c r="M122"/>
  <c r="N121"/>
  <c r="M121"/>
  <c r="N120"/>
  <c r="M120"/>
  <c r="N119"/>
  <c r="M119"/>
  <c r="N118"/>
  <c r="M118"/>
  <c r="N117"/>
  <c r="M117"/>
  <c r="N116"/>
  <c r="M116"/>
  <c r="N115"/>
  <c r="M115"/>
  <c r="N114"/>
  <c r="M114"/>
  <c r="N113"/>
  <c r="M113"/>
  <c r="N112"/>
  <c r="M112"/>
  <c r="N111"/>
  <c r="M111"/>
  <c r="N110"/>
  <c r="M110"/>
  <c r="N109"/>
  <c r="M109"/>
  <c r="N108"/>
  <c r="M108"/>
  <c r="N107"/>
  <c r="M107"/>
  <c r="N106"/>
  <c r="M106"/>
  <c r="N105"/>
  <c r="M105"/>
  <c r="N104"/>
  <c r="M104"/>
  <c r="N103"/>
  <c r="M103"/>
  <c r="N102"/>
  <c r="M102"/>
  <c r="N101"/>
  <c r="M101"/>
  <c r="N100"/>
  <c r="M100"/>
  <c r="N99"/>
  <c r="M99"/>
  <c r="N98"/>
  <c r="M98"/>
  <c r="N97"/>
  <c r="M97"/>
  <c r="N96"/>
  <c r="M96"/>
  <c r="N95"/>
  <c r="M95"/>
  <c r="N94"/>
  <c r="M94"/>
  <c r="N93"/>
  <c r="M93"/>
  <c r="N92"/>
  <c r="M92"/>
  <c r="N91"/>
  <c r="M91"/>
  <c r="N90"/>
  <c r="M90"/>
  <c r="N89"/>
  <c r="M89"/>
  <c r="N88"/>
  <c r="M88"/>
  <c r="N87"/>
  <c r="M87"/>
  <c r="N86"/>
  <c r="M86"/>
  <c r="N85"/>
  <c r="M85"/>
  <c r="N84"/>
  <c r="M84"/>
  <c r="N83"/>
  <c r="M83"/>
  <c r="N82"/>
  <c r="M82"/>
  <c r="N81"/>
  <c r="M81"/>
  <c r="N80"/>
  <c r="M80"/>
  <c r="N79"/>
  <c r="M79"/>
  <c r="N78"/>
  <c r="M78"/>
  <c r="N77"/>
  <c r="M77"/>
  <c r="N76"/>
  <c r="M76"/>
  <c r="N75"/>
  <c r="M75"/>
  <c r="N74"/>
  <c r="M74"/>
  <c r="N73"/>
  <c r="M73"/>
  <c r="N72"/>
  <c r="M72"/>
  <c r="N71"/>
  <c r="M71"/>
  <c r="N70"/>
  <c r="M70"/>
  <c r="N69"/>
  <c r="M69"/>
  <c r="N68"/>
  <c r="M68"/>
  <c r="N67"/>
  <c r="M67"/>
  <c r="N66"/>
  <c r="M66"/>
  <c r="N65"/>
  <c r="M65"/>
  <c r="N64"/>
  <c r="M64"/>
  <c r="N63"/>
  <c r="M63"/>
  <c r="N62"/>
  <c r="M62"/>
  <c r="N61"/>
  <c r="M61"/>
  <c r="N60"/>
  <c r="M60"/>
  <c r="N59"/>
  <c r="M59"/>
  <c r="N58"/>
  <c r="M58"/>
  <c r="N57"/>
  <c r="M57"/>
  <c r="N56"/>
  <c r="M56"/>
  <c r="N55"/>
  <c r="M55"/>
  <c r="N54"/>
  <c r="M54"/>
  <c r="N53"/>
  <c r="M53"/>
  <c r="N52"/>
  <c r="M52"/>
  <c r="N51"/>
  <c r="M51"/>
  <c r="N50"/>
  <c r="M50"/>
  <c r="N49"/>
  <c r="M49"/>
  <c r="N48"/>
  <c r="M48"/>
  <c r="N47"/>
  <c r="M47"/>
  <c r="N46"/>
  <c r="M46"/>
  <c r="N45"/>
  <c r="M45"/>
  <c r="N44"/>
  <c r="M44"/>
  <c r="N43"/>
  <c r="M43"/>
  <c r="N42"/>
  <c r="M42"/>
  <c r="N41"/>
  <c r="M41"/>
  <c r="N40"/>
  <c r="M40"/>
  <c r="N39"/>
  <c r="M39"/>
  <c r="N38"/>
  <c r="M38"/>
  <c r="N37"/>
  <c r="M37"/>
  <c r="N36"/>
  <c r="M36"/>
  <c r="N35"/>
  <c r="M35"/>
  <c r="N34"/>
  <c r="M34"/>
  <c r="N33"/>
  <c r="M33"/>
  <c r="N32"/>
  <c r="M32"/>
  <c r="N31"/>
  <c r="M31"/>
  <c r="N30"/>
  <c r="M30"/>
  <c r="N29"/>
  <c r="M29"/>
  <c r="N28"/>
  <c r="M28"/>
  <c r="N27"/>
  <c r="M27"/>
  <c r="N26"/>
  <c r="M26"/>
  <c r="N25"/>
  <c r="M25"/>
  <c r="N24"/>
  <c r="M24"/>
  <c r="N23"/>
  <c r="M23"/>
  <c r="N22"/>
  <c r="M22"/>
  <c r="N21"/>
  <c r="M21"/>
  <c r="N20"/>
  <c r="M20"/>
  <c r="N19"/>
  <c r="M19"/>
  <c r="N18"/>
  <c r="M18"/>
  <c r="N17"/>
  <c r="M17"/>
  <c r="N16"/>
  <c r="M16"/>
  <c r="N15"/>
  <c r="M15"/>
  <c r="N14"/>
  <c r="M14"/>
  <c r="N13"/>
  <c r="M13"/>
  <c r="N12"/>
  <c r="M12"/>
  <c r="N11"/>
  <c r="M11"/>
  <c r="N10"/>
  <c r="M10"/>
  <c r="N9"/>
  <c r="M9"/>
  <c r="N8"/>
  <c r="M8"/>
  <c r="N7"/>
  <c r="M7"/>
  <c r="N6"/>
  <c r="M6"/>
  <c r="N5"/>
  <c r="M5"/>
  <c r="N4"/>
  <c r="M4"/>
  <c r="N3"/>
  <c r="M3"/>
  <c r="N2"/>
  <c r="M2"/>
  <c r="C11" i="2" s="1"/>
  <c r="H11" i="5"/>
  <c r="H10"/>
  <c r="H9"/>
  <c r="H8"/>
  <c r="H7"/>
  <c r="H6"/>
  <c r="H5"/>
  <c r="H4"/>
  <c r="H3"/>
  <c r="H2"/>
  <c r="C8" i="2"/>
  <c r="A8"/>
  <c r="C5"/>
  <c r="A5"/>
  <c r="I500" i="18"/>
  <c r="I498"/>
  <c r="I496"/>
  <c r="I494"/>
  <c r="I492"/>
  <c r="I490"/>
  <c r="I488"/>
  <c r="I486"/>
  <c r="I484"/>
  <c r="I482"/>
  <c r="I480"/>
  <c r="I478"/>
  <c r="I476"/>
  <c r="I474"/>
  <c r="I472"/>
  <c r="I470"/>
  <c r="I468"/>
  <c r="I466"/>
  <c r="I464"/>
  <c r="I462"/>
  <c r="I460"/>
  <c r="I458"/>
  <c r="I456"/>
  <c r="I454"/>
  <c r="I452"/>
  <c r="I450"/>
  <c r="I448"/>
  <c r="I446"/>
  <c r="I444"/>
  <c r="I442"/>
  <c r="I440"/>
  <c r="I438"/>
  <c r="I436"/>
  <c r="I434"/>
  <c r="I432"/>
  <c r="I430"/>
  <c r="I428"/>
  <c r="I426"/>
  <c r="I424"/>
  <c r="I422"/>
  <c r="I420"/>
  <c r="I418"/>
  <c r="I416"/>
  <c r="I414"/>
  <c r="I412"/>
  <c r="I410"/>
  <c r="I408"/>
  <c r="I406"/>
  <c r="I404"/>
  <c r="I402"/>
  <c r="I400"/>
  <c r="I398"/>
  <c r="I396"/>
  <c r="I394"/>
  <c r="I392"/>
  <c r="I390"/>
  <c r="I388"/>
  <c r="I386"/>
  <c r="I384"/>
  <c r="I382"/>
  <c r="I380"/>
  <c r="I378"/>
  <c r="I376"/>
  <c r="I374"/>
  <c r="I372"/>
  <c r="I370"/>
  <c r="I368"/>
  <c r="I366"/>
  <c r="I364"/>
  <c r="I362"/>
  <c r="I360"/>
  <c r="I358"/>
  <c r="I356"/>
  <c r="I354"/>
  <c r="I352"/>
  <c r="I350"/>
  <c r="I348"/>
  <c r="I346"/>
  <c r="I344"/>
  <c r="I342"/>
  <c r="I340"/>
  <c r="I338"/>
  <c r="I336"/>
  <c r="I334"/>
  <c r="I332"/>
  <c r="I330"/>
  <c r="I328"/>
  <c r="I326"/>
  <c r="I324"/>
  <c r="I322"/>
  <c r="I320"/>
  <c r="I318"/>
  <c r="I316"/>
  <c r="I314"/>
  <c r="I312"/>
  <c r="I310"/>
  <c r="I308"/>
  <c r="I306"/>
  <c r="I304"/>
  <c r="I302"/>
  <c r="I300"/>
  <c r="I298"/>
  <c r="I296"/>
  <c r="I294"/>
  <c r="I292"/>
  <c r="I290"/>
  <c r="I288"/>
  <c r="I286"/>
  <c r="I284"/>
  <c r="I282"/>
  <c r="I280"/>
  <c r="I278"/>
  <c r="I276"/>
  <c r="I274"/>
  <c r="I272"/>
  <c r="I270"/>
  <c r="I268"/>
  <c r="I266"/>
  <c r="I264"/>
  <c r="I262"/>
  <c r="I260"/>
  <c r="I258"/>
  <c r="I256"/>
  <c r="I254"/>
  <c r="I252"/>
  <c r="I250"/>
  <c r="I248"/>
  <c r="I246"/>
  <c r="I244"/>
  <c r="I242"/>
  <c r="I240"/>
  <c r="I238"/>
  <c r="I236"/>
  <c r="I234"/>
  <c r="I232"/>
  <c r="I230"/>
  <c r="I228"/>
  <c r="I226"/>
  <c r="I224"/>
  <c r="I222"/>
  <c r="I220"/>
  <c r="I218"/>
  <c r="I216"/>
  <c r="I214"/>
  <c r="I212"/>
  <c r="I210"/>
  <c r="I208"/>
  <c r="I206"/>
  <c r="I204"/>
  <c r="I202"/>
  <c r="I200"/>
  <c r="I198"/>
  <c r="I196"/>
  <c r="I194"/>
  <c r="I192"/>
  <c r="I190"/>
  <c r="I188"/>
  <c r="I186"/>
  <c r="I184"/>
  <c r="I182"/>
  <c r="I180"/>
  <c r="I178"/>
  <c r="I176"/>
  <c r="I174"/>
  <c r="I172"/>
  <c r="I170"/>
  <c r="I168"/>
  <c r="I166"/>
  <c r="I164"/>
  <c r="I162"/>
  <c r="I160"/>
  <c r="I158"/>
  <c r="I156"/>
  <c r="I154"/>
  <c r="I152"/>
  <c r="I150"/>
  <c r="I148"/>
  <c r="I146"/>
  <c r="I144"/>
  <c r="I142"/>
  <c r="I140"/>
  <c r="I138"/>
  <c r="I136"/>
  <c r="I134"/>
  <c r="I132"/>
  <c r="I130"/>
  <c r="I128"/>
  <c r="I126"/>
  <c r="I124"/>
  <c r="I122"/>
  <c r="I120"/>
  <c r="I118"/>
  <c r="I116"/>
  <c r="I114"/>
  <c r="I112"/>
  <c r="I110"/>
  <c r="I108"/>
  <c r="I106"/>
  <c r="I104"/>
  <c r="I102"/>
  <c r="I100"/>
  <c r="I98"/>
  <c r="I96"/>
  <c r="I94"/>
  <c r="I92"/>
  <c r="I90"/>
  <c r="I88"/>
  <c r="I86"/>
  <c r="I83"/>
  <c r="I79"/>
  <c r="I75"/>
  <c r="I71"/>
  <c r="I67"/>
  <c r="I63"/>
  <c r="I59"/>
  <c r="I55"/>
  <c r="I51"/>
  <c r="I47"/>
  <c r="I43"/>
  <c r="I39"/>
  <c r="I35"/>
  <c r="I31"/>
  <c r="I27"/>
  <c r="I501"/>
  <c r="I499"/>
  <c r="I497"/>
  <c r="I495"/>
  <c r="I493"/>
  <c r="I491"/>
  <c r="I489"/>
  <c r="I487"/>
  <c r="I485"/>
  <c r="I483"/>
  <c r="I481"/>
  <c r="I479"/>
  <c r="I477"/>
  <c r="I475"/>
  <c r="I473"/>
  <c r="I471"/>
  <c r="I469"/>
  <c r="I467"/>
  <c r="I465"/>
  <c r="I463"/>
  <c r="I461"/>
  <c r="I459"/>
  <c r="I457"/>
  <c r="I455"/>
  <c r="I453"/>
  <c r="I451"/>
  <c r="I449"/>
  <c r="I447"/>
  <c r="I445"/>
  <c r="I443"/>
  <c r="I441"/>
  <c r="I439"/>
  <c r="I437"/>
  <c r="I435"/>
  <c r="I433"/>
  <c r="I431"/>
  <c r="I429"/>
  <c r="I427"/>
  <c r="I425"/>
  <c r="I423"/>
  <c r="I421"/>
  <c r="I419"/>
  <c r="I417"/>
  <c r="I415"/>
  <c r="I413"/>
  <c r="I411"/>
  <c r="I409"/>
  <c r="I407"/>
  <c r="I405"/>
  <c r="I403"/>
  <c r="I401"/>
  <c r="I399"/>
  <c r="I397"/>
  <c r="I395"/>
  <c r="I393"/>
  <c r="I391"/>
  <c r="I389"/>
  <c r="I387"/>
  <c r="I385"/>
  <c r="I383"/>
  <c r="I381"/>
  <c r="I379"/>
  <c r="I377"/>
  <c r="I375"/>
  <c r="I373"/>
  <c r="I371"/>
  <c r="I369"/>
  <c r="I367"/>
  <c r="I365"/>
  <c r="I363"/>
  <c r="I361"/>
  <c r="I359"/>
  <c r="I357"/>
  <c r="I355"/>
  <c r="I353"/>
  <c r="I351"/>
  <c r="I349"/>
  <c r="I347"/>
  <c r="I345"/>
  <c r="I343"/>
  <c r="I341"/>
  <c r="I339"/>
  <c r="I337"/>
  <c r="I335"/>
  <c r="I333"/>
  <c r="I331"/>
  <c r="I329"/>
  <c r="I327"/>
  <c r="I325"/>
  <c r="I323"/>
  <c r="I321"/>
  <c r="I319"/>
  <c r="I317"/>
  <c r="I315"/>
  <c r="I313"/>
  <c r="I311"/>
  <c r="I309"/>
  <c r="I307"/>
  <c r="I305"/>
  <c r="I303"/>
  <c r="I301"/>
  <c r="I299"/>
  <c r="I297"/>
  <c r="I295"/>
  <c r="I293"/>
  <c r="I291"/>
  <c r="I289"/>
  <c r="I287"/>
  <c r="I285"/>
  <c r="I283"/>
  <c r="I281"/>
  <c r="I279"/>
  <c r="I277"/>
  <c r="I275"/>
  <c r="I273"/>
  <c r="I271"/>
  <c r="I269"/>
  <c r="I267"/>
  <c r="I265"/>
  <c r="I263"/>
  <c r="I261"/>
  <c r="I259"/>
  <c r="I257"/>
  <c r="I255"/>
  <c r="I253"/>
  <c r="I251"/>
  <c r="I249"/>
  <c r="I247"/>
  <c r="I245"/>
  <c r="I243"/>
  <c r="I241"/>
  <c r="I239"/>
  <c r="I237"/>
  <c r="I235"/>
  <c r="I233"/>
  <c r="I231"/>
  <c r="I229"/>
  <c r="I227"/>
  <c r="I223"/>
  <c r="I219"/>
  <c r="I215"/>
  <c r="I211"/>
  <c r="I207"/>
  <c r="I203"/>
  <c r="I199"/>
  <c r="I195"/>
  <c r="I191"/>
  <c r="I187"/>
  <c r="I183"/>
  <c r="I179"/>
  <c r="I175"/>
  <c r="I171"/>
  <c r="I167"/>
  <c r="I163"/>
  <c r="I159"/>
  <c r="I155"/>
  <c r="I151"/>
  <c r="I147"/>
  <c r="I143"/>
  <c r="I139"/>
  <c r="I135"/>
  <c r="I131"/>
  <c r="I127"/>
  <c r="I123"/>
  <c r="I119"/>
  <c r="I115"/>
  <c r="I111"/>
  <c r="I107"/>
  <c r="I103"/>
  <c r="I99"/>
  <c r="I95"/>
  <c r="I91"/>
  <c r="I87"/>
  <c r="I84"/>
  <c r="I77"/>
  <c r="I70"/>
  <c r="I68"/>
  <c r="I61"/>
  <c r="I54"/>
  <c r="I52"/>
  <c r="I45"/>
  <c r="I38"/>
  <c r="I36"/>
  <c r="I29"/>
  <c r="I22"/>
  <c r="I18"/>
  <c r="I14"/>
  <c r="I10"/>
  <c r="I6"/>
  <c r="I2"/>
  <c r="I81"/>
  <c r="I74"/>
  <c r="I72"/>
  <c r="I65"/>
  <c r="I58"/>
  <c r="I56"/>
  <c r="I49"/>
  <c r="I42"/>
  <c r="I40"/>
  <c r="I33"/>
  <c r="I26"/>
  <c r="I24"/>
  <c r="I21"/>
  <c r="I17"/>
  <c r="I13"/>
  <c r="I9"/>
  <c r="I5"/>
  <c r="I225"/>
  <c r="I221"/>
  <c r="I217"/>
  <c r="I213"/>
  <c r="I209"/>
  <c r="I205"/>
  <c r="I201"/>
  <c r="I197"/>
  <c r="I193"/>
  <c r="I189"/>
  <c r="I185"/>
  <c r="I181"/>
  <c r="I177"/>
  <c r="I173"/>
  <c r="I169"/>
  <c r="I165"/>
  <c r="I161"/>
  <c r="I157"/>
  <c r="I153"/>
  <c r="I149"/>
  <c r="I145"/>
  <c r="I141"/>
  <c r="I137"/>
  <c r="I133"/>
  <c r="I129"/>
  <c r="I125"/>
  <c r="I121"/>
  <c r="I117"/>
  <c r="I113"/>
  <c r="I109"/>
  <c r="I105"/>
  <c r="I101"/>
  <c r="I97"/>
  <c r="I93"/>
  <c r="I89"/>
  <c r="I85"/>
  <c r="I78"/>
  <c r="I76"/>
  <c r="I69"/>
  <c r="I62"/>
  <c r="I60"/>
  <c r="I53"/>
  <c r="I46"/>
  <c r="I44"/>
  <c r="I37"/>
  <c r="I30"/>
  <c r="I28"/>
  <c r="I20"/>
  <c r="I16"/>
  <c r="I12"/>
  <c r="I8"/>
  <c r="I4"/>
  <c r="I82"/>
  <c r="I80"/>
  <c r="I73"/>
  <c r="I66"/>
  <c r="I64"/>
  <c r="I57"/>
  <c r="I50"/>
  <c r="I48"/>
  <c r="I41"/>
  <c r="I34"/>
  <c r="I32"/>
  <c r="I25"/>
  <c r="I23"/>
  <c r="I19"/>
  <c r="I15"/>
  <c r="I11"/>
  <c r="I7"/>
  <c r="I3"/>
  <c r="B59" i="12" l="1"/>
  <c r="B60" s="1"/>
  <c r="B64" s="1"/>
  <c r="B59" i="13"/>
  <c r="B60" s="1"/>
  <c r="B63" s="1"/>
  <c r="H24" i="20"/>
  <c r="H28"/>
  <c r="H32"/>
  <c r="H36"/>
  <c r="H40"/>
  <c r="H44"/>
  <c r="N8" i="19"/>
  <c r="N16"/>
  <c r="N24"/>
  <c r="N32"/>
  <c r="N40"/>
  <c r="N48"/>
  <c r="N56"/>
  <c r="N62"/>
  <c r="N70"/>
  <c r="N78"/>
  <c r="N86"/>
  <c r="N94"/>
  <c r="N102"/>
  <c r="N110"/>
  <c r="N118"/>
  <c r="N126"/>
  <c r="N134"/>
  <c r="N142"/>
  <c r="N150"/>
  <c r="N158"/>
  <c r="N166"/>
  <c r="N174"/>
  <c r="N608"/>
  <c r="N609"/>
  <c r="N624"/>
  <c r="N625"/>
  <c r="N640"/>
  <c r="N641"/>
  <c r="N646"/>
  <c r="N656"/>
  <c r="N657"/>
  <c r="N662"/>
  <c r="N672"/>
  <c r="N673"/>
  <c r="N678"/>
  <c r="N685"/>
  <c r="N686"/>
  <c r="N689"/>
  <c r="N690"/>
  <c r="N693"/>
  <c r="N694"/>
  <c r="N697"/>
  <c r="N698"/>
  <c r="N701"/>
  <c r="N702"/>
  <c r="N705"/>
  <c r="N706"/>
  <c r="N709"/>
  <c r="N710"/>
  <c r="N723"/>
  <c r="N724"/>
  <c r="N968"/>
  <c r="N970"/>
  <c r="N972"/>
  <c r="N974"/>
  <c r="N976"/>
  <c r="N978"/>
  <c r="N980"/>
  <c r="N982"/>
  <c r="N984"/>
  <c r="B59" i="16"/>
  <c r="B60" s="1"/>
  <c r="B63" s="1"/>
  <c r="N6" i="19"/>
  <c r="N14"/>
  <c r="N22"/>
  <c r="N30"/>
  <c r="N38"/>
  <c r="N46"/>
  <c r="N54"/>
  <c r="N64"/>
  <c r="N72"/>
  <c r="N80"/>
  <c r="N88"/>
  <c r="N96"/>
  <c r="N104"/>
  <c r="N112"/>
  <c r="N120"/>
  <c r="N128"/>
  <c r="N136"/>
  <c r="N144"/>
  <c r="N152"/>
  <c r="N160"/>
  <c r="N168"/>
  <c r="N176"/>
  <c r="N293"/>
  <c r="N294"/>
  <c r="N301"/>
  <c r="N302"/>
  <c r="N308"/>
  <c r="N309"/>
  <c r="N310"/>
  <c r="N316"/>
  <c r="N317"/>
  <c r="N318"/>
  <c r="N324"/>
  <c r="N325"/>
  <c r="N326"/>
  <c r="N332"/>
  <c r="N333"/>
  <c r="N334"/>
  <c r="N340"/>
  <c r="N341"/>
  <c r="N342"/>
  <c r="N348"/>
  <c r="N349"/>
  <c r="N350"/>
  <c r="N356"/>
  <c r="N357"/>
  <c r="N358"/>
  <c r="N364"/>
  <c r="N365"/>
  <c r="N366"/>
  <c r="N372"/>
  <c r="N373"/>
  <c r="N374"/>
  <c r="N380"/>
  <c r="N381"/>
  <c r="N382"/>
  <c r="N388"/>
  <c r="N389"/>
  <c r="N390"/>
  <c r="N396"/>
  <c r="N397"/>
  <c r="N398"/>
  <c r="N404"/>
  <c r="N405"/>
  <c r="N406"/>
  <c r="N412"/>
  <c r="N413"/>
  <c r="N414"/>
  <c r="N420"/>
  <c r="N421"/>
  <c r="N422"/>
  <c r="N428"/>
  <c r="N429"/>
  <c r="N430"/>
  <c r="N436"/>
  <c r="N437"/>
  <c r="N438"/>
  <c r="N444"/>
  <c r="N445"/>
  <c r="N446"/>
  <c r="N452"/>
  <c r="N453"/>
  <c r="N454"/>
  <c r="N460"/>
  <c r="N461"/>
  <c r="N462"/>
  <c r="N468"/>
  <c r="N469"/>
  <c r="N470"/>
  <c r="N476"/>
  <c r="N477"/>
  <c r="N478"/>
  <c r="N484"/>
  <c r="N485"/>
  <c r="N486"/>
  <c r="N492"/>
  <c r="N493"/>
  <c r="N494"/>
  <c r="N500"/>
  <c r="N501"/>
  <c r="N502"/>
  <c r="N508"/>
  <c r="N509"/>
  <c r="N510"/>
  <c r="N516"/>
  <c r="N517"/>
  <c r="N518"/>
  <c r="N524"/>
  <c r="N525"/>
  <c r="N526"/>
  <c r="N532"/>
  <c r="N533"/>
  <c r="N534"/>
  <c r="N540"/>
  <c r="N541"/>
  <c r="N542"/>
  <c r="N548"/>
  <c r="N549"/>
  <c r="N550"/>
  <c r="N556"/>
  <c r="N557"/>
  <c r="N558"/>
  <c r="H18" i="20"/>
  <c r="H22"/>
  <c r="H26"/>
  <c r="H30"/>
  <c r="H34"/>
  <c r="H38"/>
  <c r="H42"/>
  <c r="H46"/>
  <c r="H50"/>
  <c r="H54"/>
  <c r="H58"/>
  <c r="H62"/>
  <c r="H66"/>
  <c r="H70"/>
  <c r="H74"/>
  <c r="H78"/>
  <c r="H82"/>
  <c r="H86"/>
  <c r="H90"/>
  <c r="H94"/>
  <c r="H98"/>
  <c r="H102"/>
  <c r="H106"/>
  <c r="H110"/>
  <c r="H114"/>
  <c r="H118"/>
  <c r="H122"/>
  <c r="H126"/>
  <c r="H130"/>
  <c r="H134"/>
  <c r="H138"/>
  <c r="H142"/>
  <c r="H146"/>
  <c r="H150"/>
  <c r="H154"/>
  <c r="H158"/>
  <c r="H162"/>
  <c r="H166"/>
  <c r="H170"/>
  <c r="H174"/>
  <c r="H178"/>
  <c r="H182"/>
  <c r="H186"/>
  <c r="H190"/>
  <c r="H194"/>
  <c r="H198"/>
  <c r="H202"/>
  <c r="H206"/>
  <c r="H210"/>
  <c r="H214"/>
  <c r="H218"/>
  <c r="H222"/>
  <c r="H226"/>
  <c r="H230"/>
  <c r="H234"/>
  <c r="H238"/>
  <c r="H242"/>
  <c r="H239"/>
  <c r="K3" i="18"/>
  <c r="L3" s="1"/>
  <c r="K7"/>
  <c r="L7" s="1"/>
  <c r="K11"/>
  <c r="L11" s="1"/>
  <c r="K15"/>
  <c r="L15" s="1"/>
  <c r="K19"/>
  <c r="L19" s="1"/>
  <c r="K23"/>
  <c r="L23" s="1"/>
  <c r="K25"/>
  <c r="L25" s="1"/>
  <c r="K32"/>
  <c r="L32" s="1"/>
  <c r="K34"/>
  <c r="L34" s="1"/>
  <c r="K41"/>
  <c r="L41" s="1"/>
  <c r="K48"/>
  <c r="L48" s="1"/>
  <c r="K50"/>
  <c r="L50" s="1"/>
  <c r="K57"/>
  <c r="L57" s="1"/>
  <c r="K64"/>
  <c r="L64" s="1"/>
  <c r="K66"/>
  <c r="L66" s="1"/>
  <c r="K73"/>
  <c r="L73" s="1"/>
  <c r="K80"/>
  <c r="L80" s="1"/>
  <c r="K82"/>
  <c r="L82" s="1"/>
  <c r="K4"/>
  <c r="L4" s="1"/>
  <c r="K8"/>
  <c r="L8" s="1"/>
  <c r="K12"/>
  <c r="L12" s="1"/>
  <c r="K16"/>
  <c r="L16" s="1"/>
  <c r="K20"/>
  <c r="L20" s="1"/>
  <c r="K28"/>
  <c r="L28" s="1"/>
  <c r="K30"/>
  <c r="L30" s="1"/>
  <c r="K37"/>
  <c r="L37" s="1"/>
  <c r="K44"/>
  <c r="L44" s="1"/>
  <c r="K46"/>
  <c r="L46" s="1"/>
  <c r="K53"/>
  <c r="L53" s="1"/>
  <c r="K60"/>
  <c r="L60" s="1"/>
  <c r="K62"/>
  <c r="L62" s="1"/>
  <c r="K69"/>
  <c r="L69" s="1"/>
  <c r="K76"/>
  <c r="L76" s="1"/>
  <c r="K78"/>
  <c r="L78" s="1"/>
  <c r="K85"/>
  <c r="L85" s="1"/>
  <c r="K89"/>
  <c r="L89" s="1"/>
  <c r="K93"/>
  <c r="L93" s="1"/>
  <c r="K97"/>
  <c r="L97" s="1"/>
  <c r="K101"/>
  <c r="L101" s="1"/>
  <c r="K105"/>
  <c r="L105" s="1"/>
  <c r="K109"/>
  <c r="L109" s="1"/>
  <c r="K113"/>
  <c r="L113" s="1"/>
  <c r="K117"/>
  <c r="L117" s="1"/>
  <c r="K121"/>
  <c r="L121" s="1"/>
  <c r="K125"/>
  <c r="L125" s="1"/>
  <c r="K129"/>
  <c r="L129" s="1"/>
  <c r="K133"/>
  <c r="L133" s="1"/>
  <c r="K137"/>
  <c r="L137" s="1"/>
  <c r="K141"/>
  <c r="L141" s="1"/>
  <c r="K145"/>
  <c r="L145" s="1"/>
  <c r="K149"/>
  <c r="L149" s="1"/>
  <c r="K153"/>
  <c r="L153" s="1"/>
  <c r="K157"/>
  <c r="L157" s="1"/>
  <c r="K161"/>
  <c r="L161" s="1"/>
  <c r="K165"/>
  <c r="L165" s="1"/>
  <c r="K169"/>
  <c r="L169" s="1"/>
  <c r="K173"/>
  <c r="L173" s="1"/>
  <c r="K177"/>
  <c r="L177" s="1"/>
  <c r="K181"/>
  <c r="L181" s="1"/>
  <c r="K185"/>
  <c r="L185" s="1"/>
  <c r="K189"/>
  <c r="L189" s="1"/>
  <c r="K193"/>
  <c r="L193" s="1"/>
  <c r="K197"/>
  <c r="L197" s="1"/>
  <c r="K201"/>
  <c r="L201" s="1"/>
  <c r="K205"/>
  <c r="L205" s="1"/>
  <c r="K209"/>
  <c r="L209" s="1"/>
  <c r="K213"/>
  <c r="L213" s="1"/>
  <c r="K217"/>
  <c r="L217" s="1"/>
  <c r="K221"/>
  <c r="L221" s="1"/>
  <c r="K225"/>
  <c r="L225" s="1"/>
  <c r="K5"/>
  <c r="L5" s="1"/>
  <c r="K9"/>
  <c r="L9" s="1"/>
  <c r="K13"/>
  <c r="L13" s="1"/>
  <c r="K17"/>
  <c r="L17" s="1"/>
  <c r="K21"/>
  <c r="L21" s="1"/>
  <c r="K24"/>
  <c r="L24" s="1"/>
  <c r="K26"/>
  <c r="L26" s="1"/>
  <c r="K33"/>
  <c r="L33" s="1"/>
  <c r="K40"/>
  <c r="L40" s="1"/>
  <c r="K42"/>
  <c r="L42" s="1"/>
  <c r="K49"/>
  <c r="L49" s="1"/>
  <c r="K56"/>
  <c r="L56" s="1"/>
  <c r="K58"/>
  <c r="L58" s="1"/>
  <c r="K65"/>
  <c r="L65" s="1"/>
  <c r="K72"/>
  <c r="L72" s="1"/>
  <c r="K74"/>
  <c r="L74" s="1"/>
  <c r="K81"/>
  <c r="L81" s="1"/>
  <c r="K2"/>
  <c r="L2" s="1"/>
  <c r="K6"/>
  <c r="L6" s="1"/>
  <c r="K10"/>
  <c r="L10" s="1"/>
  <c r="K14"/>
  <c r="L14" s="1"/>
  <c r="K18"/>
  <c r="L18" s="1"/>
  <c r="K22"/>
  <c r="L22" s="1"/>
  <c r="K29"/>
  <c r="L29" s="1"/>
  <c r="K36"/>
  <c r="L36" s="1"/>
  <c r="K38"/>
  <c r="L38" s="1"/>
  <c r="K45"/>
  <c r="L45" s="1"/>
  <c r="K52"/>
  <c r="L52" s="1"/>
  <c r="K54"/>
  <c r="L54" s="1"/>
  <c r="K61"/>
  <c r="L61" s="1"/>
  <c r="K68"/>
  <c r="L68" s="1"/>
  <c r="K70"/>
  <c r="L70" s="1"/>
  <c r="K77"/>
  <c r="L77" s="1"/>
  <c r="K84"/>
  <c r="L84" s="1"/>
  <c r="K87"/>
  <c r="L87" s="1"/>
  <c r="K91"/>
  <c r="L91" s="1"/>
  <c r="K95"/>
  <c r="L95" s="1"/>
  <c r="K99"/>
  <c r="L99" s="1"/>
  <c r="K103"/>
  <c r="L103" s="1"/>
  <c r="K107"/>
  <c r="L107" s="1"/>
  <c r="K111"/>
  <c r="L111" s="1"/>
  <c r="K115"/>
  <c r="L115" s="1"/>
  <c r="K119"/>
  <c r="L119" s="1"/>
  <c r="K123"/>
  <c r="L123" s="1"/>
  <c r="K127"/>
  <c r="L127" s="1"/>
  <c r="K131"/>
  <c r="L131" s="1"/>
  <c r="K135"/>
  <c r="L135" s="1"/>
  <c r="K139"/>
  <c r="L139" s="1"/>
  <c r="K143"/>
  <c r="L143" s="1"/>
  <c r="K147"/>
  <c r="L147" s="1"/>
  <c r="K151"/>
  <c r="L151" s="1"/>
  <c r="K155"/>
  <c r="L155" s="1"/>
  <c r="K159"/>
  <c r="L159" s="1"/>
  <c r="K163"/>
  <c r="L163" s="1"/>
  <c r="K167"/>
  <c r="L167" s="1"/>
  <c r="K171"/>
  <c r="L171" s="1"/>
  <c r="K175"/>
  <c r="L175" s="1"/>
  <c r="K179"/>
  <c r="L179" s="1"/>
  <c r="K183"/>
  <c r="L183" s="1"/>
  <c r="K187"/>
  <c r="L187" s="1"/>
  <c r="K191"/>
  <c r="L191" s="1"/>
  <c r="K195"/>
  <c r="L195" s="1"/>
  <c r="K199"/>
  <c r="L199" s="1"/>
  <c r="K203"/>
  <c r="L203" s="1"/>
  <c r="K207"/>
  <c r="L207" s="1"/>
  <c r="K211"/>
  <c r="L211" s="1"/>
  <c r="K215"/>
  <c r="L215" s="1"/>
  <c r="K219"/>
  <c r="L219" s="1"/>
  <c r="K223"/>
  <c r="L223" s="1"/>
  <c r="K227"/>
  <c r="L227" s="1"/>
  <c r="K229"/>
  <c r="L229" s="1"/>
  <c r="K231"/>
  <c r="L231" s="1"/>
  <c r="K233"/>
  <c r="L233" s="1"/>
  <c r="K235"/>
  <c r="L235" s="1"/>
  <c r="K237"/>
  <c r="L237" s="1"/>
  <c r="K239"/>
  <c r="L239" s="1"/>
  <c r="K241"/>
  <c r="L241" s="1"/>
  <c r="K243"/>
  <c r="L243" s="1"/>
  <c r="K245"/>
  <c r="L245" s="1"/>
  <c r="K247"/>
  <c r="L247" s="1"/>
  <c r="K249"/>
  <c r="L249" s="1"/>
  <c r="K251"/>
  <c r="L251" s="1"/>
  <c r="K253"/>
  <c r="L253" s="1"/>
  <c r="K255"/>
  <c r="L255" s="1"/>
  <c r="K257"/>
  <c r="L257" s="1"/>
  <c r="K259"/>
  <c r="L259" s="1"/>
  <c r="K261"/>
  <c r="L261" s="1"/>
  <c r="K263"/>
  <c r="L263" s="1"/>
  <c r="K265"/>
  <c r="L265" s="1"/>
  <c r="K267"/>
  <c r="L267" s="1"/>
  <c r="K269"/>
  <c r="L269" s="1"/>
  <c r="K271"/>
  <c r="L271" s="1"/>
  <c r="K273"/>
  <c r="L273" s="1"/>
  <c r="K275"/>
  <c r="L275" s="1"/>
  <c r="K277"/>
  <c r="L277" s="1"/>
  <c r="K279"/>
  <c r="L279" s="1"/>
  <c r="K281"/>
  <c r="L281" s="1"/>
  <c r="K283"/>
  <c r="L283" s="1"/>
  <c r="K285"/>
  <c r="L285" s="1"/>
  <c r="K287"/>
  <c r="L287" s="1"/>
  <c r="K289"/>
  <c r="L289" s="1"/>
  <c r="K291"/>
  <c r="L291" s="1"/>
  <c r="K293"/>
  <c r="L293" s="1"/>
  <c r="K295"/>
  <c r="L295" s="1"/>
  <c r="K297"/>
  <c r="L297" s="1"/>
  <c r="K299"/>
  <c r="L299" s="1"/>
  <c r="K301"/>
  <c r="L301" s="1"/>
  <c r="K303"/>
  <c r="L303" s="1"/>
  <c r="K305"/>
  <c r="L305" s="1"/>
  <c r="K307"/>
  <c r="L307" s="1"/>
  <c r="K309"/>
  <c r="L309" s="1"/>
  <c r="K311"/>
  <c r="L311" s="1"/>
  <c r="K313"/>
  <c r="L313" s="1"/>
  <c r="K315"/>
  <c r="L315" s="1"/>
  <c r="K317"/>
  <c r="L317" s="1"/>
  <c r="K319"/>
  <c r="L319" s="1"/>
  <c r="K321"/>
  <c r="L321" s="1"/>
  <c r="K323"/>
  <c r="L323" s="1"/>
  <c r="K325"/>
  <c r="L325" s="1"/>
  <c r="K327"/>
  <c r="L327" s="1"/>
  <c r="K329"/>
  <c r="L329" s="1"/>
  <c r="K331"/>
  <c r="L331" s="1"/>
  <c r="K333"/>
  <c r="L333" s="1"/>
  <c r="K335"/>
  <c r="L335" s="1"/>
  <c r="K337"/>
  <c r="L337" s="1"/>
  <c r="K339"/>
  <c r="L339" s="1"/>
  <c r="K341"/>
  <c r="L341" s="1"/>
  <c r="K343"/>
  <c r="L343" s="1"/>
  <c r="K345"/>
  <c r="L345" s="1"/>
  <c r="K347"/>
  <c r="L347" s="1"/>
  <c r="K349"/>
  <c r="L349" s="1"/>
  <c r="K351"/>
  <c r="L351" s="1"/>
  <c r="K353"/>
  <c r="L353" s="1"/>
  <c r="K355"/>
  <c r="L355" s="1"/>
  <c r="K357"/>
  <c r="L357" s="1"/>
  <c r="K359"/>
  <c r="L359" s="1"/>
  <c r="K361"/>
  <c r="L361" s="1"/>
  <c r="K363"/>
  <c r="L363" s="1"/>
  <c r="K365"/>
  <c r="L365" s="1"/>
  <c r="K367"/>
  <c r="L367" s="1"/>
  <c r="K369"/>
  <c r="L369" s="1"/>
  <c r="K371"/>
  <c r="L371" s="1"/>
  <c r="K373"/>
  <c r="L373" s="1"/>
  <c r="K375"/>
  <c r="L375" s="1"/>
  <c r="K377"/>
  <c r="L377" s="1"/>
  <c r="K379"/>
  <c r="L379" s="1"/>
  <c r="K381"/>
  <c r="L381" s="1"/>
  <c r="K383"/>
  <c r="L383" s="1"/>
  <c r="K385"/>
  <c r="L385" s="1"/>
  <c r="K387"/>
  <c r="L387" s="1"/>
  <c r="K389"/>
  <c r="L389" s="1"/>
  <c r="K391"/>
  <c r="L391" s="1"/>
  <c r="K393"/>
  <c r="L393" s="1"/>
  <c r="K395"/>
  <c r="L395" s="1"/>
  <c r="K397"/>
  <c r="L397" s="1"/>
  <c r="K399"/>
  <c r="L399" s="1"/>
  <c r="K401"/>
  <c r="L401" s="1"/>
  <c r="K403"/>
  <c r="L403" s="1"/>
  <c r="K405"/>
  <c r="L405" s="1"/>
  <c r="K407"/>
  <c r="L407" s="1"/>
  <c r="K409"/>
  <c r="L409" s="1"/>
  <c r="K411"/>
  <c r="L411" s="1"/>
  <c r="K413"/>
  <c r="L413" s="1"/>
  <c r="K415"/>
  <c r="L415" s="1"/>
  <c r="K417"/>
  <c r="L417" s="1"/>
  <c r="K419"/>
  <c r="L419" s="1"/>
  <c r="K421"/>
  <c r="L421" s="1"/>
  <c r="K423"/>
  <c r="L423" s="1"/>
  <c r="K425"/>
  <c r="L425" s="1"/>
  <c r="K427"/>
  <c r="L427" s="1"/>
  <c r="K429"/>
  <c r="L429" s="1"/>
  <c r="K431"/>
  <c r="L431" s="1"/>
  <c r="K433"/>
  <c r="L433" s="1"/>
  <c r="K435"/>
  <c r="L435" s="1"/>
  <c r="K437"/>
  <c r="L437" s="1"/>
  <c r="K439"/>
  <c r="L439" s="1"/>
  <c r="K441"/>
  <c r="L441" s="1"/>
  <c r="K443"/>
  <c r="L443" s="1"/>
  <c r="K445"/>
  <c r="L445" s="1"/>
  <c r="K447"/>
  <c r="L447" s="1"/>
  <c r="K449"/>
  <c r="L449" s="1"/>
  <c r="K451"/>
  <c r="L451" s="1"/>
  <c r="K453"/>
  <c r="L453" s="1"/>
  <c r="K455"/>
  <c r="L455" s="1"/>
  <c r="K457"/>
  <c r="L457" s="1"/>
  <c r="K459"/>
  <c r="L459" s="1"/>
  <c r="K461"/>
  <c r="L461" s="1"/>
  <c r="K463"/>
  <c r="L463" s="1"/>
  <c r="K465"/>
  <c r="L465" s="1"/>
  <c r="K467"/>
  <c r="L467" s="1"/>
  <c r="K469"/>
  <c r="L469" s="1"/>
  <c r="K471"/>
  <c r="L471" s="1"/>
  <c r="K473"/>
  <c r="L473" s="1"/>
  <c r="K475"/>
  <c r="L475" s="1"/>
  <c r="K477"/>
  <c r="L477" s="1"/>
  <c r="K479"/>
  <c r="L479" s="1"/>
  <c r="K481"/>
  <c r="L481" s="1"/>
  <c r="K483"/>
  <c r="L483" s="1"/>
  <c r="K485"/>
  <c r="L485" s="1"/>
  <c r="K487"/>
  <c r="L487" s="1"/>
  <c r="K489"/>
  <c r="L489" s="1"/>
  <c r="K491"/>
  <c r="L491" s="1"/>
  <c r="K493"/>
  <c r="L493" s="1"/>
  <c r="K495"/>
  <c r="L495" s="1"/>
  <c r="K497"/>
  <c r="L497" s="1"/>
  <c r="K499"/>
  <c r="L499" s="1"/>
  <c r="K501"/>
  <c r="L501" s="1"/>
  <c r="K27"/>
  <c r="L27" s="1"/>
  <c r="K31"/>
  <c r="L31" s="1"/>
  <c r="K35"/>
  <c r="L35" s="1"/>
  <c r="K39"/>
  <c r="L39" s="1"/>
  <c r="K43"/>
  <c r="L43" s="1"/>
  <c r="K47"/>
  <c r="L47" s="1"/>
  <c r="K51"/>
  <c r="L51" s="1"/>
  <c r="K55"/>
  <c r="L55" s="1"/>
  <c r="K59"/>
  <c r="L59" s="1"/>
  <c r="K63"/>
  <c r="L63" s="1"/>
  <c r="K67"/>
  <c r="L67" s="1"/>
  <c r="K71"/>
  <c r="L71" s="1"/>
  <c r="K75"/>
  <c r="L75" s="1"/>
  <c r="K79"/>
  <c r="L79" s="1"/>
  <c r="K83"/>
  <c r="L83" s="1"/>
  <c r="K86"/>
  <c r="L86" s="1"/>
  <c r="K88"/>
  <c r="L88" s="1"/>
  <c r="K90"/>
  <c r="L90" s="1"/>
  <c r="K92"/>
  <c r="L92" s="1"/>
  <c r="K94"/>
  <c r="L94" s="1"/>
  <c r="K96"/>
  <c r="L96" s="1"/>
  <c r="K98"/>
  <c r="L98" s="1"/>
  <c r="K100"/>
  <c r="L100" s="1"/>
  <c r="K102"/>
  <c r="L102" s="1"/>
  <c r="K104"/>
  <c r="L104" s="1"/>
  <c r="K106"/>
  <c r="L106" s="1"/>
  <c r="K108"/>
  <c r="L108" s="1"/>
  <c r="K110"/>
  <c r="L110" s="1"/>
  <c r="K112"/>
  <c r="L112" s="1"/>
  <c r="K114"/>
  <c r="L114" s="1"/>
  <c r="K116"/>
  <c r="L116" s="1"/>
  <c r="K118"/>
  <c r="L118" s="1"/>
  <c r="K120"/>
  <c r="L120" s="1"/>
  <c r="K122"/>
  <c r="L122" s="1"/>
  <c r="K124"/>
  <c r="L124" s="1"/>
  <c r="K126"/>
  <c r="L126" s="1"/>
  <c r="K128"/>
  <c r="L128" s="1"/>
  <c r="K130"/>
  <c r="L130" s="1"/>
  <c r="K132"/>
  <c r="L132" s="1"/>
  <c r="K134"/>
  <c r="L134" s="1"/>
  <c r="K136"/>
  <c r="L136" s="1"/>
  <c r="K138"/>
  <c r="L138" s="1"/>
  <c r="K140"/>
  <c r="L140" s="1"/>
  <c r="K142"/>
  <c r="L142" s="1"/>
  <c r="K144"/>
  <c r="L144" s="1"/>
  <c r="K146"/>
  <c r="L146" s="1"/>
  <c r="K148"/>
  <c r="L148" s="1"/>
  <c r="K150"/>
  <c r="L150" s="1"/>
  <c r="K152"/>
  <c r="L152" s="1"/>
  <c r="K154"/>
  <c r="L154" s="1"/>
  <c r="K156"/>
  <c r="L156" s="1"/>
  <c r="K158"/>
  <c r="L158" s="1"/>
  <c r="K160"/>
  <c r="L160" s="1"/>
  <c r="K162"/>
  <c r="L162" s="1"/>
  <c r="K164"/>
  <c r="L164" s="1"/>
  <c r="K166"/>
  <c r="L166" s="1"/>
  <c r="K168"/>
  <c r="L168" s="1"/>
  <c r="K170"/>
  <c r="L170" s="1"/>
  <c r="K172"/>
  <c r="L172" s="1"/>
  <c r="K174"/>
  <c r="L174" s="1"/>
  <c r="K176"/>
  <c r="L176" s="1"/>
  <c r="K178"/>
  <c r="L178" s="1"/>
  <c r="K180"/>
  <c r="L180" s="1"/>
  <c r="K182"/>
  <c r="L182" s="1"/>
  <c r="K184"/>
  <c r="L184" s="1"/>
  <c r="K186"/>
  <c r="L186" s="1"/>
  <c r="K188"/>
  <c r="L188" s="1"/>
  <c r="K190"/>
  <c r="L190" s="1"/>
  <c r="K192"/>
  <c r="L192" s="1"/>
  <c r="K194"/>
  <c r="L194" s="1"/>
  <c r="K196"/>
  <c r="L196" s="1"/>
  <c r="K198"/>
  <c r="L198" s="1"/>
  <c r="K200"/>
  <c r="L200" s="1"/>
  <c r="K202"/>
  <c r="L202" s="1"/>
  <c r="K204"/>
  <c r="L204" s="1"/>
  <c r="K206"/>
  <c r="L206" s="1"/>
  <c r="K208"/>
  <c r="L208" s="1"/>
  <c r="K210"/>
  <c r="L210" s="1"/>
  <c r="K212"/>
  <c r="L212" s="1"/>
  <c r="K214"/>
  <c r="L214" s="1"/>
  <c r="K216"/>
  <c r="L216" s="1"/>
  <c r="K218"/>
  <c r="L218" s="1"/>
  <c r="K220"/>
  <c r="L220" s="1"/>
  <c r="K222"/>
  <c r="L222" s="1"/>
  <c r="K224"/>
  <c r="L224" s="1"/>
  <c r="K226"/>
  <c r="L226" s="1"/>
  <c r="K228"/>
  <c r="L228" s="1"/>
  <c r="K230"/>
  <c r="L230" s="1"/>
  <c r="K232"/>
  <c r="L232" s="1"/>
  <c r="K234"/>
  <c r="L234" s="1"/>
  <c r="K236"/>
  <c r="L236" s="1"/>
  <c r="K238"/>
  <c r="L238" s="1"/>
  <c r="K240"/>
  <c r="L240" s="1"/>
  <c r="K242"/>
  <c r="L242" s="1"/>
  <c r="K244"/>
  <c r="L244" s="1"/>
  <c r="K246"/>
  <c r="L246" s="1"/>
  <c r="K248"/>
  <c r="L248" s="1"/>
  <c r="K250"/>
  <c r="L250" s="1"/>
  <c r="K252"/>
  <c r="L252" s="1"/>
  <c r="K254"/>
  <c r="L254" s="1"/>
  <c r="K256"/>
  <c r="L256" s="1"/>
  <c r="K258"/>
  <c r="L258" s="1"/>
  <c r="K260"/>
  <c r="L260" s="1"/>
  <c r="K262"/>
  <c r="L262" s="1"/>
  <c r="K264"/>
  <c r="L264" s="1"/>
  <c r="K266"/>
  <c r="L266" s="1"/>
  <c r="K268"/>
  <c r="L268" s="1"/>
  <c r="K270"/>
  <c r="L270" s="1"/>
  <c r="K272"/>
  <c r="L272" s="1"/>
  <c r="K274"/>
  <c r="L274" s="1"/>
  <c r="K276"/>
  <c r="L276" s="1"/>
  <c r="K278"/>
  <c r="L278" s="1"/>
  <c r="K280"/>
  <c r="L280" s="1"/>
  <c r="K282"/>
  <c r="L282" s="1"/>
  <c r="K284"/>
  <c r="L284" s="1"/>
  <c r="K286"/>
  <c r="L286" s="1"/>
  <c r="K288"/>
  <c r="L288" s="1"/>
  <c r="K290"/>
  <c r="L290" s="1"/>
  <c r="K292"/>
  <c r="L292" s="1"/>
  <c r="K294"/>
  <c r="L294" s="1"/>
  <c r="K296"/>
  <c r="L296" s="1"/>
  <c r="K298"/>
  <c r="L298" s="1"/>
  <c r="K300"/>
  <c r="L300" s="1"/>
  <c r="K302"/>
  <c r="L302" s="1"/>
  <c r="K304"/>
  <c r="L304" s="1"/>
  <c r="K306"/>
  <c r="L306" s="1"/>
  <c r="K308"/>
  <c r="L308" s="1"/>
  <c r="K310"/>
  <c r="L310" s="1"/>
  <c r="K312"/>
  <c r="L312" s="1"/>
  <c r="K314"/>
  <c r="L314" s="1"/>
  <c r="K316"/>
  <c r="L316" s="1"/>
  <c r="K318"/>
  <c r="L318" s="1"/>
  <c r="K320"/>
  <c r="L320" s="1"/>
  <c r="K322"/>
  <c r="L322" s="1"/>
  <c r="K324"/>
  <c r="L324" s="1"/>
  <c r="K326"/>
  <c r="L326" s="1"/>
  <c r="K328"/>
  <c r="L328" s="1"/>
  <c r="K330"/>
  <c r="L330" s="1"/>
  <c r="K332"/>
  <c r="L332" s="1"/>
  <c r="K334"/>
  <c r="L334" s="1"/>
  <c r="K336"/>
  <c r="L336" s="1"/>
  <c r="K338"/>
  <c r="L338" s="1"/>
  <c r="K340"/>
  <c r="L340" s="1"/>
  <c r="K342"/>
  <c r="L342" s="1"/>
  <c r="K344"/>
  <c r="L344" s="1"/>
  <c r="K346"/>
  <c r="L346" s="1"/>
  <c r="K348"/>
  <c r="L348" s="1"/>
  <c r="K350"/>
  <c r="L350" s="1"/>
  <c r="K352"/>
  <c r="L352" s="1"/>
  <c r="K354"/>
  <c r="L354" s="1"/>
  <c r="K356"/>
  <c r="L356" s="1"/>
  <c r="K358"/>
  <c r="L358" s="1"/>
  <c r="K360"/>
  <c r="L360" s="1"/>
  <c r="K362"/>
  <c r="L362" s="1"/>
  <c r="K364"/>
  <c r="L364" s="1"/>
  <c r="K366"/>
  <c r="L366" s="1"/>
  <c r="K368"/>
  <c r="L368" s="1"/>
  <c r="K370"/>
  <c r="L370" s="1"/>
  <c r="K372"/>
  <c r="L372" s="1"/>
  <c r="K374"/>
  <c r="L374" s="1"/>
  <c r="K376"/>
  <c r="L376" s="1"/>
  <c r="K378"/>
  <c r="L378" s="1"/>
  <c r="K380"/>
  <c r="L380" s="1"/>
  <c r="K382"/>
  <c r="L382" s="1"/>
  <c r="K384"/>
  <c r="L384" s="1"/>
  <c r="K386"/>
  <c r="L386" s="1"/>
  <c r="K388"/>
  <c r="L388" s="1"/>
  <c r="K390"/>
  <c r="L390" s="1"/>
  <c r="K392"/>
  <c r="L392" s="1"/>
  <c r="K394"/>
  <c r="L394" s="1"/>
  <c r="K396"/>
  <c r="L396" s="1"/>
  <c r="K398"/>
  <c r="L398" s="1"/>
  <c r="K400"/>
  <c r="L400" s="1"/>
  <c r="K402"/>
  <c r="L402" s="1"/>
  <c r="K404"/>
  <c r="L404" s="1"/>
  <c r="K406"/>
  <c r="L406" s="1"/>
  <c r="K408"/>
  <c r="L408" s="1"/>
  <c r="K410"/>
  <c r="L410" s="1"/>
  <c r="K412"/>
  <c r="L412" s="1"/>
  <c r="K414"/>
  <c r="L414" s="1"/>
  <c r="K416"/>
  <c r="L416" s="1"/>
  <c r="K418"/>
  <c r="L418" s="1"/>
  <c r="K420"/>
  <c r="L420" s="1"/>
  <c r="K422"/>
  <c r="L422" s="1"/>
  <c r="K424"/>
  <c r="L424" s="1"/>
  <c r="K426"/>
  <c r="L426" s="1"/>
  <c r="K428"/>
  <c r="L428" s="1"/>
  <c r="K430"/>
  <c r="L430" s="1"/>
  <c r="K432"/>
  <c r="L432" s="1"/>
  <c r="K434"/>
  <c r="L434" s="1"/>
  <c r="K436"/>
  <c r="L436" s="1"/>
  <c r="K438"/>
  <c r="L438" s="1"/>
  <c r="K440"/>
  <c r="L440" s="1"/>
  <c r="K442"/>
  <c r="L442" s="1"/>
  <c r="K444"/>
  <c r="L444" s="1"/>
  <c r="K446"/>
  <c r="L446" s="1"/>
  <c r="K448"/>
  <c r="L448" s="1"/>
  <c r="K450"/>
  <c r="L450" s="1"/>
  <c r="K452"/>
  <c r="L452" s="1"/>
  <c r="K454"/>
  <c r="L454" s="1"/>
  <c r="K456"/>
  <c r="L456" s="1"/>
  <c r="K458"/>
  <c r="L458" s="1"/>
  <c r="K460"/>
  <c r="L460" s="1"/>
  <c r="K462"/>
  <c r="L462" s="1"/>
  <c r="K464"/>
  <c r="L464" s="1"/>
  <c r="K466"/>
  <c r="L466" s="1"/>
  <c r="K468"/>
  <c r="L468" s="1"/>
  <c r="K470"/>
  <c r="L470" s="1"/>
  <c r="K472"/>
  <c r="L472" s="1"/>
  <c r="K474"/>
  <c r="L474" s="1"/>
  <c r="K476"/>
  <c r="L476" s="1"/>
  <c r="K478"/>
  <c r="L478" s="1"/>
  <c r="K480"/>
  <c r="L480" s="1"/>
  <c r="K482"/>
  <c r="L482" s="1"/>
  <c r="K484"/>
  <c r="L484" s="1"/>
  <c r="K486"/>
  <c r="L486" s="1"/>
  <c r="K488"/>
  <c r="L488" s="1"/>
  <c r="K490"/>
  <c r="L490" s="1"/>
  <c r="K492"/>
  <c r="L492" s="1"/>
  <c r="K494"/>
  <c r="L494" s="1"/>
  <c r="K496"/>
  <c r="L496" s="1"/>
  <c r="K498"/>
  <c r="L498" s="1"/>
  <c r="K500"/>
  <c r="L500" s="1"/>
  <c r="B59" i="10"/>
  <c r="B60" s="1"/>
  <c r="B63" s="1"/>
  <c r="B59" i="11"/>
  <c r="B60" s="1"/>
  <c r="B64" s="1"/>
  <c r="B59" i="14"/>
  <c r="B60" s="1"/>
  <c r="B59" i="15"/>
  <c r="B60" s="1"/>
  <c r="B64" s="1"/>
  <c r="B59" i="17"/>
  <c r="B60" s="1"/>
  <c r="B63" i="11"/>
  <c r="B63" i="15"/>
  <c r="B63" i="12"/>
  <c r="B64" i="13"/>
  <c r="N292" i="19"/>
  <c r="N296"/>
  <c r="N300"/>
  <c r="N304"/>
  <c r="N687"/>
  <c r="N691"/>
  <c r="N695"/>
  <c r="N699"/>
  <c r="N703"/>
  <c r="N707"/>
  <c r="N598"/>
  <c r="N602"/>
  <c r="N606"/>
  <c r="N610"/>
  <c r="N614"/>
  <c r="N618"/>
  <c r="N622"/>
  <c r="N626"/>
  <c r="N630"/>
  <c r="N634"/>
  <c r="N711"/>
  <c r="N717"/>
  <c r="H4" i="20"/>
  <c r="H8"/>
  <c r="H12"/>
  <c r="H16"/>
  <c r="H20"/>
  <c r="N721" i="19"/>
  <c r="N725"/>
  <c r="N729"/>
  <c r="N733"/>
  <c r="N737"/>
  <c r="N741"/>
  <c r="N745"/>
  <c r="N746"/>
  <c r="N747"/>
  <c r="N748"/>
  <c r="N749"/>
  <c r="N750"/>
  <c r="N751"/>
  <c r="N752"/>
  <c r="N753"/>
  <c r="N754"/>
  <c r="N755"/>
  <c r="N756"/>
  <c r="N757"/>
  <c r="N758"/>
  <c r="N759"/>
  <c r="N760"/>
  <c r="N761"/>
  <c r="N762"/>
  <c r="N763"/>
  <c r="N764"/>
  <c r="N765"/>
  <c r="N766"/>
  <c r="N767"/>
  <c r="N768"/>
  <c r="N769"/>
  <c r="N770"/>
  <c r="N771"/>
  <c r="N772"/>
  <c r="N773"/>
  <c r="N774"/>
  <c r="N775"/>
  <c r="N776"/>
  <c r="N777"/>
  <c r="N778"/>
  <c r="N779"/>
  <c r="N780"/>
  <c r="N781"/>
  <c r="N782"/>
  <c r="N783"/>
  <c r="N784"/>
  <c r="N785"/>
  <c r="N786"/>
  <c r="N787"/>
  <c r="N788"/>
  <c r="N789"/>
  <c r="N790"/>
  <c r="N791"/>
  <c r="N792"/>
  <c r="N793"/>
  <c r="N794"/>
  <c r="N795"/>
  <c r="N796"/>
  <c r="N797"/>
  <c r="N798"/>
  <c r="N799"/>
  <c r="N800"/>
  <c r="N801"/>
  <c r="N802"/>
  <c r="N803"/>
  <c r="N804"/>
  <c r="N805"/>
  <c r="N806"/>
  <c r="N807"/>
  <c r="N808"/>
  <c r="N809"/>
  <c r="N810"/>
  <c r="N811"/>
  <c r="N812"/>
  <c r="N813"/>
  <c r="N814"/>
  <c r="N815"/>
  <c r="N816"/>
  <c r="N817"/>
  <c r="N818"/>
  <c r="N819"/>
  <c r="N820"/>
  <c r="N821"/>
  <c r="N822"/>
  <c r="N823"/>
  <c r="N824"/>
  <c r="N825"/>
  <c r="N826"/>
  <c r="N827"/>
  <c r="N828"/>
  <c r="N829"/>
  <c r="N830"/>
  <c r="N831"/>
  <c r="N832"/>
  <c r="N833"/>
  <c r="N834"/>
  <c r="N835"/>
  <c r="N836"/>
  <c r="N837"/>
  <c r="N838"/>
  <c r="N839"/>
  <c r="N840"/>
  <c r="N841"/>
  <c r="N842"/>
  <c r="N843"/>
  <c r="N844"/>
  <c r="N845"/>
  <c r="N846"/>
  <c r="N847"/>
  <c r="N848"/>
  <c r="N849"/>
  <c r="N850"/>
  <c r="N851"/>
  <c r="N852"/>
  <c r="N853"/>
  <c r="N854"/>
  <c r="N855"/>
  <c r="N856"/>
  <c r="N857"/>
  <c r="N858"/>
  <c r="N859"/>
  <c r="N860"/>
  <c r="N861"/>
  <c r="N862"/>
  <c r="N863"/>
  <c r="N864"/>
  <c r="N865"/>
  <c r="N866"/>
  <c r="N867"/>
  <c r="N868"/>
  <c r="N869"/>
  <c r="N870"/>
  <c r="N871"/>
  <c r="N872"/>
  <c r="N873"/>
  <c r="N874"/>
  <c r="N875"/>
  <c r="N876"/>
  <c r="N877"/>
  <c r="N878"/>
  <c r="N879"/>
  <c r="N880"/>
  <c r="N881"/>
  <c r="N882"/>
  <c r="N883"/>
  <c r="N884"/>
  <c r="N885"/>
  <c r="N886"/>
  <c r="N887"/>
  <c r="N888"/>
  <c r="N889"/>
  <c r="N890"/>
  <c r="N891"/>
  <c r="N892"/>
  <c r="N893"/>
  <c r="N894"/>
  <c r="N895"/>
  <c r="N896"/>
  <c r="N897"/>
  <c r="N898"/>
  <c r="N899"/>
  <c r="N900"/>
  <c r="N901"/>
  <c r="N902"/>
  <c r="N903"/>
  <c r="N904"/>
  <c r="N905"/>
  <c r="N906"/>
  <c r="N907"/>
  <c r="N908"/>
  <c r="N909"/>
  <c r="N910"/>
  <c r="N911"/>
  <c r="N912"/>
  <c r="N913"/>
  <c r="N914"/>
  <c r="N915"/>
  <c r="N916"/>
  <c r="N917"/>
  <c r="N918"/>
  <c r="N919"/>
  <c r="N920"/>
  <c r="N921"/>
  <c r="N922"/>
  <c r="N923"/>
  <c r="N924"/>
  <c r="N925"/>
  <c r="N926"/>
  <c r="N927"/>
  <c r="N928"/>
  <c r="N929"/>
  <c r="N930"/>
  <c r="N931"/>
  <c r="N932"/>
  <c r="N933"/>
  <c r="N934"/>
  <c r="N935"/>
  <c r="N936"/>
  <c r="N937"/>
  <c r="N938"/>
  <c r="N939"/>
  <c r="N940"/>
  <c r="N941"/>
  <c r="N942"/>
  <c r="N943"/>
  <c r="N944"/>
  <c r="N945"/>
  <c r="N946"/>
  <c r="N947"/>
  <c r="N948"/>
  <c r="N949"/>
  <c r="N950"/>
  <c r="N951"/>
  <c r="N952"/>
  <c r="N953"/>
  <c r="N954"/>
  <c r="N955"/>
  <c r="N956"/>
  <c r="N957"/>
  <c r="N958"/>
  <c r="N959"/>
  <c r="N960"/>
  <c r="N961"/>
  <c r="N962"/>
  <c r="N963"/>
  <c r="N964"/>
  <c r="N965"/>
  <c r="N966"/>
  <c r="N967"/>
  <c r="N969"/>
  <c r="N971"/>
  <c r="N973"/>
  <c r="N975"/>
  <c r="N977"/>
  <c r="N979"/>
  <c r="N981"/>
  <c r="N983"/>
  <c r="N985"/>
  <c r="N987"/>
  <c r="N989"/>
  <c r="N991"/>
  <c r="N993"/>
  <c r="N995"/>
  <c r="N997"/>
  <c r="N999"/>
  <c r="H17" i="20"/>
  <c r="H2"/>
  <c r="H6"/>
  <c r="H10"/>
  <c r="H14"/>
  <c r="H7"/>
  <c r="H11"/>
  <c r="H15"/>
  <c r="H19"/>
  <c r="H48"/>
  <c r="H52"/>
  <c r="H56"/>
  <c r="H60"/>
  <c r="H64"/>
  <c r="H68"/>
  <c r="H72"/>
  <c r="H76"/>
  <c r="H80"/>
  <c r="H84"/>
  <c r="H88"/>
  <c r="H92"/>
  <c r="H96"/>
  <c r="H100"/>
  <c r="H104"/>
  <c r="H108"/>
  <c r="H112"/>
  <c r="H116"/>
  <c r="H120"/>
  <c r="H124"/>
  <c r="H128"/>
  <c r="H132"/>
  <c r="H136"/>
  <c r="H140"/>
  <c r="H144"/>
  <c r="H148"/>
  <c r="H152"/>
  <c r="H156"/>
  <c r="H160"/>
  <c r="H164"/>
  <c r="H168"/>
  <c r="H172"/>
  <c r="H176"/>
  <c r="H180"/>
  <c r="H184"/>
  <c r="H188"/>
  <c r="H192"/>
  <c r="H196"/>
  <c r="H200"/>
  <c r="H204"/>
  <c r="H208"/>
  <c r="H212"/>
  <c r="H216"/>
  <c r="H220"/>
  <c r="H224"/>
  <c r="H228"/>
  <c r="H232"/>
  <c r="H236"/>
  <c r="H240"/>
  <c r="H47"/>
  <c r="H51"/>
  <c r="H55"/>
  <c r="H59"/>
  <c r="H63"/>
  <c r="H67"/>
  <c r="H71"/>
  <c r="H75"/>
  <c r="H79"/>
  <c r="H83"/>
  <c r="H87"/>
  <c r="H91"/>
  <c r="H95"/>
  <c r="H99"/>
  <c r="H103"/>
  <c r="H107"/>
  <c r="H111"/>
  <c r="H115"/>
  <c r="H119"/>
  <c r="H123"/>
  <c r="H127"/>
  <c r="H131"/>
  <c r="H135"/>
  <c r="H139"/>
  <c r="H143"/>
  <c r="H147"/>
  <c r="H151"/>
  <c r="H155"/>
  <c r="H159"/>
  <c r="H163"/>
  <c r="H167"/>
  <c r="H171"/>
  <c r="H175"/>
  <c r="H179"/>
  <c r="H183"/>
  <c r="H187"/>
  <c r="H191"/>
  <c r="H195"/>
  <c r="H199"/>
  <c r="H203"/>
  <c r="H207"/>
  <c r="H211"/>
  <c r="H215"/>
  <c r="H219"/>
  <c r="H223"/>
  <c r="H227"/>
  <c r="H231"/>
  <c r="H235"/>
  <c r="H243"/>
  <c r="B64" i="16" l="1"/>
  <c r="B63" i="17"/>
  <c r="B64"/>
  <c r="A11" i="2"/>
  <c r="B63" i="14"/>
  <c r="B64"/>
  <c r="B64" i="10"/>
</calcChain>
</file>

<file path=xl/sharedStrings.xml><?xml version="1.0" encoding="utf-8"?>
<sst xmlns="http://schemas.openxmlformats.org/spreadsheetml/2006/main" count="1338" uniqueCount="388">
  <si>
    <t>The Lanark Pantry — Operations &amp; Costing Workbook</t>
  </si>
  <si>
    <t>Blue text = inputs. Black text = formulas. Use the tabs from left to right.</t>
  </si>
  <si>
    <t>Suggested workflow</t>
  </si>
  <si>
    <t>1) Fill Ingredients &amp; Packaging with pack sizes + costs (this powers all cost lookups).</t>
  </si>
  <si>
    <t>2) Fill Suppliers + Customers/Wholesalers.</t>
  </si>
  <si>
    <t>3) For each product tab, complete the BOM (bill of materials) and pricing section.</t>
  </si>
  <si>
    <t>4) Log each production run in Production Batches (COGS/unit auto).</t>
  </si>
  <si>
    <t>5) Log wholesale/direct sales in Sales Orders. Use Dashboard for quick totals.</t>
  </si>
  <si>
    <t>Dashboard</t>
  </si>
  <si>
    <t>This pulls totals from Production Batches, Sales Orders, and Inventory.</t>
  </si>
  <si>
    <t>COGS (this month)</t>
  </si>
  <si>
    <t>Revenue (this month)</t>
  </si>
  <si>
    <t>Gross profit (this month)</t>
  </si>
  <si>
    <t>Gross margin % (this month)</t>
  </si>
  <si>
    <t>Inventory value (est.)</t>
  </si>
  <si>
    <t>Top customer (YTD)</t>
  </si>
  <si>
    <t>Tip: Keep Production Batches + Sales Orders up to date for the dashboard to stay accurate.</t>
  </si>
  <si>
    <t>Item type</t>
  </si>
  <si>
    <t>Item name</t>
  </si>
  <si>
    <t>Supplier ID</t>
  </si>
  <si>
    <t>Supplier</t>
  </si>
  <si>
    <t>Pack size</t>
  </si>
  <si>
    <t>Unit</t>
  </si>
  <si>
    <t>Pack cost (£)</t>
  </si>
  <si>
    <t>Cost per unit (£)</t>
  </si>
  <si>
    <t>Allergen?</t>
  </si>
  <si>
    <t>Lead time (days)</t>
  </si>
  <si>
    <t>Active?</t>
  </si>
  <si>
    <t>Notes</t>
  </si>
  <si>
    <t>Ingredient</t>
  </si>
  <si>
    <t>Dried chillies</t>
  </si>
  <si>
    <t>1000</t>
  </si>
  <si>
    <t>g</t>
  </si>
  <si>
    <t>No</t>
  </si>
  <si>
    <t>Yes</t>
  </si>
  <si>
    <t>Olive oil</t>
  </si>
  <si>
    <t>5000</t>
  </si>
  <si>
    <t>ml</t>
  </si>
  <si>
    <t>Rapeseed oil</t>
  </si>
  <si>
    <t>Sugar</t>
  </si>
  <si>
    <t>Packaging</t>
  </si>
  <si>
    <t>Square jar 190g</t>
  </si>
  <si>
    <t>1</t>
  </si>
  <si>
    <t>each</t>
  </si>
  <si>
    <t>Square jar 200g</t>
  </si>
  <si>
    <t>Square jar 290g</t>
  </si>
  <si>
    <t>Square jar 400g</t>
  </si>
  <si>
    <t>Lid</t>
  </si>
  <si>
    <t>Label</t>
  </si>
  <si>
    <t>Wrap label (3-panel)</t>
  </si>
  <si>
    <t>Supplier name</t>
  </si>
  <si>
    <t>Type</t>
  </si>
  <si>
    <t>Contact</t>
  </si>
  <si>
    <t>Email</t>
  </si>
  <si>
    <t>Phone</t>
  </si>
  <si>
    <t>Address</t>
  </si>
  <si>
    <t>MOQ</t>
  </si>
  <si>
    <t>Payment terms</t>
  </si>
  <si>
    <t>Customer ID</t>
  </si>
  <si>
    <t>Customer name</t>
  </si>
  <si>
    <t>Delivery terms</t>
  </si>
  <si>
    <t>Default discount %</t>
  </si>
  <si>
    <t>YTD revenue (£)</t>
  </si>
  <si>
    <t>YTD units</t>
  </si>
  <si>
    <t>SKU</t>
  </si>
  <si>
    <t>Product</t>
  </si>
  <si>
    <t>Wholesale price (£)</t>
  </si>
  <si>
    <t>RRP (£)</t>
  </si>
  <si>
    <t>Discount %</t>
  </si>
  <si>
    <t>Net price (£)</t>
  </si>
  <si>
    <t>MOQ (units)</t>
  </si>
  <si>
    <t>Overheads (monthly)</t>
  </si>
  <si>
    <t>Enter monthly overheads. Used for optional allocation in Production Batches.</t>
  </si>
  <si>
    <t>Month</t>
  </si>
  <si>
    <t>Rent (£)</t>
  </si>
  <si>
    <t>Utilities (£)</t>
  </si>
  <si>
    <t>Insurance (£)</t>
  </si>
  <si>
    <t>Labour (£)</t>
  </si>
  <si>
    <t>Transport (£)</t>
  </si>
  <si>
    <t>Other (£)</t>
  </si>
  <si>
    <t>Total (£)</t>
  </si>
  <si>
    <t>Rose Harissa Paste</t>
  </si>
  <si>
    <t>SKU: RH  |  Category: Savoury</t>
  </si>
  <si>
    <t>Product details</t>
  </si>
  <si>
    <t>Label &amp; marketing fields</t>
  </si>
  <si>
    <t>Jar size (g)</t>
  </si>
  <si>
    <t>Ingredients statement</t>
  </si>
  <si>
    <t>Dried red chillies, olive oil, garlic, tomato purée, lemon juice, spices (caraway, cumin, coriander), sea salt, rose water.</t>
  </si>
  <si>
    <t>Target batch size (g)</t>
  </si>
  <si>
    <t>Allergen advice</t>
  </si>
  <si>
    <t>For allergens, see ingredients in bold.</t>
  </si>
  <si>
    <t>Batch yield actual (g)</t>
  </si>
  <si>
    <t>3 uses (short)</t>
  </si>
  <si>
    <t>• Stir 1–2 tsp into soups, stews or beans.
• Mix with olive oil + lemon for a salad dressing.
• Rub over chicken, lamb, cauliflower or halloumi before roasting.</t>
  </si>
  <si>
    <t>Units per batch</t>
  </si>
  <si>
    <t>Recipe idea (short)</t>
  </si>
  <si>
    <t>Harissa Roast Cauliflower &amp; Chickpeas
Toss cauliflower florets + 2 tins chickpeas with 3 tbsp harissa + 3 tbsp olive oil + pinch salt. Roast 25–30 min at 220°C until charred. Finish with lemon juice.</t>
  </si>
  <si>
    <t>Shelf life unopened</t>
  </si>
  <si>
    <t>Web product blurb</t>
  </si>
  <si>
    <t>A punchy chilli paste with fragrant rose and warm spices.</t>
  </si>
  <si>
    <t>Storage instructions</t>
  </si>
  <si>
    <t>Allergens (bold on label)</t>
  </si>
  <si>
    <t>Net weight on label</t>
  </si>
  <si>
    <t>Bill of Materials (BOM) — per target batch</t>
  </si>
  <si>
    <t>Component name</t>
  </si>
  <si>
    <t>Qty</t>
  </si>
  <si>
    <t>Cost/unit (£)</t>
  </si>
  <si>
    <t>Line cost (£)</t>
  </si>
  <si>
    <t>Waste %</t>
  </si>
  <si>
    <t>Cost w/ waste (£)</t>
  </si>
  <si>
    <t>Supplier/notes</t>
  </si>
  <si>
    <t>chillies</t>
  </si>
  <si>
    <t>rapeseed oil</t>
  </si>
  <si>
    <t>tomato puree</t>
  </si>
  <si>
    <t>lemon juice</t>
  </si>
  <si>
    <t>rose petals</t>
  </si>
  <si>
    <t>garlic</t>
  </si>
  <si>
    <t>spices</t>
  </si>
  <si>
    <t>honey</t>
  </si>
  <si>
    <t>Cost summary</t>
  </si>
  <si>
    <t>Total BOM cost (target batch)</t>
  </si>
  <si>
    <t>COGS per jar (£)</t>
  </si>
  <si>
    <t>Target wholesale (£)</t>
  </si>
  <si>
    <t>Gross margin @ wholesale</t>
  </si>
  <si>
    <t>Gross margin @ RRP</t>
  </si>
  <si>
    <t>Wild Greens &amp; Sea Herb Pesto</t>
  </si>
  <si>
    <t>SKU: WG  |  Category: Savoury</t>
  </si>
  <si>
    <t>Wild greens (nettle, wild garlic, kale), Scottish cold-pressed rapeseed oil, CASHEW NUTS, pumpkin seeds, lemon juice, sea herbs (dulse), garlic, nutritional yeast, sea salt.</t>
  </si>
  <si>
    <t>• Toss through hot pasta with a splash of cooking water.
• Spread in sandwiches or wraps.
• Stir into mash or butter beans.</t>
  </si>
  <si>
    <t>Sea‑Herb Pesto Pasta
Cook 400g pasta. Toss with 4 tbsp pesto + 2–4 tbsp pasta water until glossy. Finish with lemon zest/juice and black pepper.</t>
  </si>
  <si>
    <t>A vivid green pesto with coastal dulse and toasted seeds.</t>
  </si>
  <si>
    <t>nettles</t>
  </si>
  <si>
    <t>kale</t>
  </si>
  <si>
    <t>walnuts</t>
  </si>
  <si>
    <t>nutritional yeast</t>
  </si>
  <si>
    <t>salt</t>
  </si>
  <si>
    <t>dulse</t>
  </si>
  <si>
    <t>Mango, Chilli &amp; Whisky Chutney</t>
  </si>
  <si>
    <t>SKU: MC  |  Category: Savoury</t>
  </si>
  <si>
    <t>Mango (45%), onion, sugar, cider vinegar, Scottish whisky, chilli, ginger, MUSTARD seeds, spices, sea salt.</t>
  </si>
  <si>
    <t>• Serve with cheese, pork pies or ham.
• Spoon into curries, dhal or lentil soups.
• Glaze sausages, chicken or roasted squash.</t>
  </si>
  <si>
    <t>Sticky Chutney Sausages
Roast 12 sausages 25 min at 200°C. Warm 6 tbsp chutney + 1 tbsp vinegar; brush over. Return 8–10 min until sticky.</t>
  </si>
  <si>
    <t>A sweet, sticky chutney with chilli warmth and whisky depth.</t>
  </si>
  <si>
    <t>mango</t>
  </si>
  <si>
    <t>whisky</t>
  </si>
  <si>
    <t>onion</t>
  </si>
  <si>
    <t>sugar</t>
  </si>
  <si>
    <t>apple cider vinegar</t>
  </si>
  <si>
    <t>ginger</t>
  </si>
  <si>
    <t>Scottish Kimchi (Apple &amp; Kelp)</t>
  </si>
  <si>
    <t>SKU: KIM  |  Category: Fermented</t>
  </si>
  <si>
    <t>Chinese leaf cabbage, radish, carrot, spring onion, apple, garlic, ginger, chilli flakes, sea salt, kelp (kombu).</t>
  </si>
  <si>
    <t>• Top noodles, rice bowls or fried eggs.
• Fold into toasties, burgers or wraps.
• Stir into mayo for a quick sandwich sauce.</t>
  </si>
  <si>
    <t>Kimchi Fried Rice
Fry 1 cup chopped kimchi 2 min. Add 2 cups cold cooked rice; stir-fry hot. Add 2 tbsp kimchi brine (optional). Push aside; scramble 2 eggs (or tofu). Toss and finish with spring onion.</t>
  </si>
  <si>
    <t>Crunchy, tangy kimchi with apple sweetness and coastal umami.</t>
  </si>
  <si>
    <t>chinese cabbage</t>
  </si>
  <si>
    <t>radish</t>
  </si>
  <si>
    <t>carrot</t>
  </si>
  <si>
    <t>spring onion</t>
  </si>
  <si>
    <t>apple</t>
  </si>
  <si>
    <t>gochujaru</t>
  </si>
  <si>
    <t>Beetroot, Juniper &amp; Black Pepper Sauerkraut</t>
  </si>
  <si>
    <t>SKU: SK  |  Category: Fermented</t>
  </si>
  <si>
    <t>White cabbage, beetroot (20%), juniper berries, black pepper, sea salt.</t>
  </si>
  <si>
    <t>• Add to sandwiches, hot dogs or burgers.
• Serve with smoked fish, roast pork or sausages.
• Toss into salads with apple + dill.</t>
  </si>
  <si>
    <t>Reuben‑Style Toastie
Layer rye/sourdough with cheese, pastrami (or mushrooms) + mustard. Pan‑toast until melty. Add kraut after to keep it crisp, or warm it briefly first.</t>
  </si>
  <si>
    <t>A bright, earthy kraut with juniper lift and peppery bite.</t>
  </si>
  <si>
    <t>beetroot</t>
  </si>
  <si>
    <t>white cabbage</t>
  </si>
  <si>
    <t>juniper berries</t>
  </si>
  <si>
    <t>black pepper</t>
  </si>
  <si>
    <t>sea salt</t>
  </si>
  <si>
    <t>Salted Heather Honey Caramel Sauce (Oat)</t>
  </si>
  <si>
    <t>SKU: HC  |  Category: Sweet</t>
  </si>
  <si>
    <t>Sugar, oat milk (OATS), heather honey, vanilla, Scottish sea salt.</t>
  </si>
  <si>
    <t>• Drizzle over ice cream, pancakes or porridge.
• Stir into coffee/hot chocolate.
• Spoon over baked apples or pears.</t>
  </si>
  <si>
    <t>Honey‑Salt Sundae
Scoop vanilla ice cream. Warm sauce 10–15 sec, drizzle generously. Finish with toasted nuts (optional) and a tiny pinch of flaky salt.</t>
  </si>
  <si>
    <t>Silky caramel with heather honey sweetness and a salty finish.</t>
  </si>
  <si>
    <t>oat milk (OATS)</t>
  </si>
  <si>
    <t>heather honey</t>
  </si>
  <si>
    <t>vanilla</t>
  </si>
  <si>
    <t>Dark Chocolate, Chilli &amp; Smoked Sea Salt Hazelnut Spread</t>
  </si>
  <si>
    <t>SKU: CHS  |  Category: Sweet</t>
  </si>
  <si>
    <t>Dark chocolate (cocoa mass, sugar, cocoa butter), HAZELNUTS, rapeseed oil, chilli, smoked sea salt.</t>
  </si>
  <si>
    <t>• Spread on toast, crumpets or croissants.
• Swirl into yoghurt or porridge.
• Melt gently and dip fruit or shortbread.</t>
  </si>
  <si>
    <t>5‑Minute Chilli Hot Chocolate
Warm 500ml oat milk. Whisk in 3 tbsp spread until smooth. Heat gently (don’t boil). Finish with a tiny pinch of smoked salt.</t>
  </si>
  <si>
    <t>A smoky, spicy chocolate-hazelnut spread with a savoury finish.</t>
  </si>
  <si>
    <t>chocolate</t>
  </si>
  <si>
    <t>cocoa butter</t>
  </si>
  <si>
    <t>hazelnuts</t>
  </si>
  <si>
    <t>chilli</t>
  </si>
  <si>
    <t>Gin &amp; Juniper Berry Marmalade</t>
  </si>
  <si>
    <t>SKU: GM  |  Category: Sweet</t>
  </si>
  <si>
    <t>Oranges, lemons, sugar, water, Scottish gin, juniper berries.</t>
  </si>
  <si>
    <t>• Spread on toast, scones or croissants.
• Glaze roast ham or carrots.
• Stir into yoghurt with granola.</t>
  </si>
  <si>
    <t>Gin Marmalade Baked Camembert
Score top of camembert. Spoon over 2–3 tbsp marmalade. Bake 12–15 min at 200°C until molten. Serve with crusty bread.</t>
  </si>
  <si>
    <t>A bright, bitter-sweet marmalade with crisp gin aroma.</t>
  </si>
  <si>
    <t>Batch ID</t>
  </si>
  <si>
    <t>Date made</t>
  </si>
  <si>
    <t>Batch size (g)</t>
  </si>
  <si>
    <t>Units produced</t>
  </si>
  <si>
    <t>Units wasted</t>
  </si>
  <si>
    <t>Good units</t>
  </si>
  <si>
    <t>Total BOM cost (£)</t>
  </si>
  <si>
    <t>Overhead alloc (£)</t>
  </si>
  <si>
    <t>Total COGS (£)</t>
  </si>
  <si>
    <t>COGS/unit (£)</t>
  </si>
  <si>
    <t>Use by / BB</t>
  </si>
  <si>
    <t>Order ID</t>
  </si>
  <si>
    <t>Order date</t>
  </si>
  <si>
    <t>Channel</t>
  </si>
  <si>
    <t>Units</t>
  </si>
  <si>
    <t>Unit price (£)</t>
  </si>
  <si>
    <t>Net unit (£)</t>
  </si>
  <si>
    <t>Revenue (£)</t>
  </si>
  <si>
    <t>Gross profit (£)</t>
  </si>
  <si>
    <t>Invoice #</t>
  </si>
  <si>
    <t>Paid?</t>
  </si>
  <si>
    <t>Payment date</t>
  </si>
  <si>
    <t>Location</t>
  </si>
  <si>
    <t>Units on hand</t>
  </si>
  <si>
    <t>Units reserved</t>
  </si>
  <si>
    <t>Units available</t>
  </si>
  <si>
    <t>Avg COGS/unit (£)</t>
  </si>
  <si>
    <t>Inventory value (£)</t>
  </si>
  <si>
    <t>Last updated</t>
  </si>
  <si>
    <t>Website-aligned update</t>
  </si>
  <si>
    <t>Product range now reflects the live shop: fruit/veg boxes, bought-in staples, selected jars and kitchen extras.</t>
  </si>
  <si>
    <t>Older jar/ferment/salt products have been retained as Post-launch / Second stage in Product Index and Website Product Range.</t>
  </si>
  <si>
    <t>Updated 2026-05-30</t>
  </si>
  <si>
    <t>Display name</t>
  </si>
  <si>
    <t>Website category</t>
  </si>
  <si>
    <t>Website price (£)</t>
  </si>
  <si>
    <t>Listing tag</t>
  </si>
  <si>
    <t>Front/shop short description</t>
  </si>
  <si>
    <t>Secondary copy / pairing</t>
  </si>
  <si>
    <t>Allergen callouts</t>
  </si>
  <si>
    <t>Storage</t>
  </si>
  <si>
    <t>Date mark</t>
  </si>
  <si>
    <t>Producer/source</t>
  </si>
  <si>
    <t>Stage</t>
  </si>
  <si>
    <t>WPB</t>
  </si>
  <si>
    <t>Weekly Produce Box</t>
  </si>
  <si>
    <t>Weekly fruit and veg boxes</t>
  </si>
  <si>
    <t>box</t>
  </si>
  <si>
    <t>Smaller box</t>
  </si>
  <si>
    <t>Smaller flexible weekly produce base; contents shift seasonally.</t>
  </si>
  <si>
    <t>Launch</t>
  </si>
  <si>
    <t>FPB</t>
  </si>
  <si>
    <t>Family Produce Box</t>
  </si>
  <si>
    <t>Larger box</t>
  </si>
  <si>
    <t>Larger weekly produce box for households cooking most nights; contents shift seasonally.</t>
  </si>
  <si>
    <t>BBC-BB</t>
  </si>
  <si>
    <t>Bold Bean Co Queen Butter Beans</t>
  </si>
  <si>
    <t>Cupboard staples</t>
  </si>
  <si>
    <t>540</t>
  </si>
  <si>
    <t>Regular staple</t>
  </si>
  <si>
    <t>Large soft butter beans for fast dinners, traybakes and simple weeknight cooking.</t>
  </si>
  <si>
    <t>Works well with tomatoes, harissa, greens and roast vegetables.</t>
  </si>
  <si>
    <t>BBC-CP</t>
  </si>
  <si>
    <t>Bold Bean Co Queen Chickpeas</t>
  </si>
  <si>
    <t>Tender jarred chickpeas for quick bowls, traybakes and easy dinners.</t>
  </si>
  <si>
    <t>Works well with harissa, tomatoes, herbs, couscous and tahini.</t>
  </si>
  <si>
    <t>BBC-WB</t>
  </si>
  <si>
    <t>Bold Bean Co Queen White Beans</t>
  </si>
  <si>
    <t>Creamy white beans for soups, greens, tomato dishes and simple bowls.</t>
  </si>
  <si>
    <t>Works well with garlic, lemon, miso, herbs and soft vegetables.</t>
  </si>
  <si>
    <t>MUT-POLPA</t>
  </si>
  <si>
    <t>Mutti Polpa Tomatoes</t>
  </si>
  <si>
    <t>400</t>
  </si>
  <si>
    <t>Finely chopped tomatoes for sauces, beans and quick one-pan meals.</t>
  </si>
  <si>
    <t>One of the most useful bases to keep in the cupboard.</t>
  </si>
  <si>
    <t>BUC</t>
  </si>
  <si>
    <t>Bucatini</t>
  </si>
  <si>
    <t>500</t>
  </si>
  <si>
    <t>Hollow pasta with extra bite for tomato sauces, pesto and creamy dishes.</t>
  </si>
  <si>
    <t>A satisfying pasta shape that still feels easy to cook.</t>
  </si>
  <si>
    <t>CAS</t>
  </si>
  <si>
    <t>Casarecce Pasta</t>
  </si>
  <si>
    <t>Useful pasta shape for pesto, roasted vegetables, greens and jarred sauces.</t>
  </si>
  <si>
    <t>Good when you want something simple but a little more interesting.</t>
  </si>
  <si>
    <t>ORZ</t>
  </si>
  <si>
    <t>Orzo Pasta</t>
  </si>
  <si>
    <t>Small pasta for quick bowls, soups, traybakes and easy midweek cooking.</t>
  </si>
  <si>
    <t>Useful when you want something fast, flexible and not too heavy.</t>
  </si>
  <si>
    <t>GC</t>
  </si>
  <si>
    <t>Giant Couscous</t>
  </si>
  <si>
    <t>Flexible cupboard staple that works warm or cold.</t>
  </si>
  <si>
    <t>Good with roast vegetables, herbs, dressings and punchy jars.</t>
  </si>
  <si>
    <t>POL</t>
  </si>
  <si>
    <t>Polenta</t>
  </si>
  <si>
    <t>Soft comforting base for roasted vegetables, beans and simple suppers.</t>
  </si>
  <si>
    <t>Naturally gluten-free and useful for quick savoury bowls.</t>
  </si>
  <si>
    <t>PUY</t>
  </si>
  <si>
    <t>Puy Lentils</t>
  </si>
  <si>
    <t>Structured lentils for warm salads, batch cooking, bowls and sides.</t>
  </si>
  <si>
    <t>Useful to cook ahead and keep in the fridge for quick meals.</t>
  </si>
  <si>
    <t>RICE-SG</t>
  </si>
  <si>
    <t>Short Grain Rice</t>
  </si>
  <si>
    <t>Versatile rice for risotto-style cooking, simple sides and puddings.</t>
  </si>
  <si>
    <t>A flexible cupboard basic that works sweet or savoury.</t>
  </si>
  <si>
    <t>FAR</t>
  </si>
  <si>
    <t>Farro</t>
  </si>
  <si>
    <t>Nutty chewy grain for bowls, salads and simple vegetable-led dinners.</t>
  </si>
  <si>
    <t>Works well with roast vegetables, herbs, soft cheeses and harissa.</t>
  </si>
  <si>
    <t>SWP</t>
  </si>
  <si>
    <t>Sorrel &amp; Walnut Pesto</t>
  </si>
  <si>
    <t>Sauces and jars</t>
  </si>
  <si>
    <t>Flavour jar</t>
  </si>
  <si>
    <t>Fresh savoury jar for pasta, potatoes or roasted vegetables.</t>
  </si>
  <si>
    <t>Add when you want something quick and green in the fridge.</t>
  </si>
  <si>
    <t>Contains WALNUTS.</t>
  </si>
  <si>
    <t>RH</t>
  </si>
  <si>
    <t>Rose Harissa</t>
  </si>
  <si>
    <t>Gently spiced jar for beans, grains and roast vegetables.</t>
  </si>
  <si>
    <t>A small spoonful brings warmth without making dinner complicated.</t>
  </si>
  <si>
    <t>SCAR</t>
  </si>
  <si>
    <t>Salted Caramel Sauce</t>
  </si>
  <si>
    <t>Rich sweet jar for desserts, yoghurt, toast or baking.</t>
  </si>
  <si>
    <t>A simple cupboard treat to add when you want one.</t>
  </si>
  <si>
    <t>DCH</t>
  </si>
  <si>
    <t>Dark Chocolate &amp; Hazelnut Spread</t>
  </si>
  <si>
    <t>Darker chocolate spread for toast, baking or simple puddings.</t>
  </si>
  <si>
    <t>An easy sweet extra to keep in the cupboard.</t>
  </si>
  <si>
    <t>Contains HAZELNUTS. May contain other allergens depending on ingredient spec.</t>
  </si>
  <si>
    <t>ALM</t>
  </si>
  <si>
    <t>Almonds</t>
  </si>
  <si>
    <t>Kitchen extras</t>
  </si>
  <si>
    <t>Extra</t>
  </si>
  <si>
    <t>Everyday nut for baking, breakfast, salads and simple cooking.</t>
  </si>
  <si>
    <t>Contains ALMONDS.</t>
  </si>
  <si>
    <t>WAL</t>
  </si>
  <si>
    <t>Walnuts</t>
  </si>
  <si>
    <t>Savoury-leaning extra for grains, leaves, roast veg and cheese.</t>
  </si>
  <si>
    <t>HAZ</t>
  </si>
  <si>
    <t>Hazelnuts</t>
  </si>
  <si>
    <t>Slightly special nut for sweet things, baking and darker flavours.</t>
  </si>
  <si>
    <t>Contains HAZELNUTS.</t>
  </si>
  <si>
    <t>CASH</t>
  </si>
  <si>
    <t>Cashews</t>
  </si>
  <si>
    <t>Soft useful nut for snacking, cooking and adding richness.</t>
  </si>
  <si>
    <t>Contains CASHEWS.</t>
  </si>
  <si>
    <t>WG</t>
  </si>
  <si>
    <t>Post-launch jars</t>
  </si>
  <si>
    <t>190</t>
  </si>
  <si>
    <t>Post-launch</t>
  </si>
  <si>
    <t>Not currently listed on website. Retained for second stage.</t>
  </si>
  <si>
    <t>MC</t>
  </si>
  <si>
    <t>KIM</t>
  </si>
  <si>
    <t>Post-launch ferments</t>
  </si>
  <si>
    <t>SK</t>
  </si>
  <si>
    <t>HHCS</t>
  </si>
  <si>
    <t>Website lists simplified Salted Caramel Sauce; old heather honey/oat variant retained for second stage.</t>
  </si>
  <si>
    <t>GM</t>
  </si>
  <si>
    <t>VP</t>
  </si>
  <si>
    <t>Vegetable Stock Paste</t>
  </si>
  <si>
    <t>Listed in earlier spreadsheet but not currently on website.</t>
  </si>
  <si>
    <t>GS</t>
  </si>
  <si>
    <t>Gochujang Sauce</t>
  </si>
  <si>
    <t>RS</t>
  </si>
  <si>
    <t>Rosemary &amp; Scottish Sea Salt</t>
  </si>
  <si>
    <t>Post-launch salts</t>
  </si>
  <si>
    <t>Listed in earlier product bible but not currently on website.</t>
  </si>
  <si>
    <t>CSS</t>
  </si>
  <si>
    <t>Seaweed, Sesame &amp; Garlic Coastal Salt</t>
  </si>
  <si>
    <t>SCHS</t>
  </si>
  <si>
    <t>Smoked Chilli &amp; Heather Salt</t>
  </si>
  <si>
    <t>RC</t>
  </si>
  <si>
    <t>Raspberry &amp; Cardamom Compote</t>
  </si>
  <si>
    <t>Product name</t>
  </si>
  <si>
    <t>Category</t>
  </si>
  <si>
    <t>Jar/pack size</t>
  </si>
  <si>
    <t>Target batch size / bought-in qty</t>
  </si>
  <si>
    <t>Default wholesale (£)</t>
  </si>
  <si>
    <t>540 g</t>
  </si>
  <si>
    <t>400 g</t>
  </si>
  <si>
    <t>500 g</t>
  </si>
  <si>
    <t>190 g</t>
  </si>
  <si>
    <t>Sales type</t>
  </si>
  <si>
    <t>Website section</t>
  </si>
  <si>
    <t>Weekly or fortnightly</t>
  </si>
  <si>
    <t>Weekly base</t>
  </si>
  <si>
    <t>One-off add-on</t>
  </si>
  <si>
    <t>Useful regulars</t>
  </si>
  <si>
    <t>Small flavour boosts</t>
  </si>
  <si>
    <t>POST-LAUNCH / SECOND STAGE PRODUCTS</t>
  </si>
  <si>
    <t>Previous product bible</t>
  </si>
  <si>
    <t>Previous spreadsheet</t>
  </si>
</sst>
</file>

<file path=xl/styles.xml><?xml version="1.0" encoding="utf-8"?>
<styleSheet xmlns="http://schemas.openxmlformats.org/spreadsheetml/2006/main">
  <numFmts count="5">
    <numFmt numFmtId="164" formatCode="\£#,##0.00"/>
    <numFmt numFmtId="165" formatCode="0.0%"/>
    <numFmt numFmtId="166" formatCode="\£#,##0.0000"/>
    <numFmt numFmtId="167" formatCode="yyyy\-mm"/>
    <numFmt numFmtId="168" formatCode="0.0"/>
  </numFmts>
  <fonts count="11">
    <font>
      <sz val="11"/>
      <color theme="1"/>
      <name val="Calibri"/>
    </font>
    <font>
      <b/>
      <sz val="16"/>
      <name val="Aptos Display"/>
    </font>
    <font>
      <i/>
      <sz val="11"/>
      <color rgb="FF666666"/>
      <name val="Calibri"/>
    </font>
    <font>
      <b/>
      <sz val="12"/>
      <name val="Calibri"/>
    </font>
    <font>
      <b/>
      <sz val="11"/>
      <name val="Calibri"/>
    </font>
    <font>
      <b/>
      <sz val="14"/>
      <name val="Calibri"/>
    </font>
    <font>
      <b/>
      <sz val="11"/>
      <color rgb="FFFFFFFF"/>
      <name val="Calibri"/>
    </font>
    <font>
      <sz val="11"/>
      <color rgb="FF0563C1"/>
      <name val="Calibri"/>
    </font>
    <font>
      <sz val="11"/>
      <color rgb="FF0000FF"/>
      <name val="Calibri"/>
    </font>
    <font>
      <b/>
      <sz val="11"/>
      <color rgb="FF243328"/>
      <name val="Calibri"/>
    </font>
    <font>
      <b/>
      <sz val="18"/>
      <color rgb="FFFFFFFF"/>
      <name val="Aptos Display"/>
    </font>
  </fonts>
  <fills count="6">
    <fill>
      <patternFill patternType="none"/>
    </fill>
    <fill>
      <patternFill patternType="gray125"/>
    </fill>
    <fill>
      <patternFill patternType="solid">
        <fgColor rgb="FFD9E1F2"/>
      </patternFill>
    </fill>
    <fill>
      <patternFill patternType="solid">
        <fgColor rgb="FF1F4E79"/>
      </patternFill>
    </fill>
    <fill>
      <patternFill patternType="solid">
        <fgColor rgb="FF243328"/>
      </patternFill>
    </fill>
    <fill>
      <patternFill patternType="solid">
        <fgColor rgb="FFDDD4C8"/>
      </patternFill>
    </fill>
  </fills>
  <borders count="4">
    <border>
      <left/>
      <right/>
      <top/>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6" fillId="3" borderId="1" xfId="0" applyFont="1" applyFill="1" applyBorder="1" applyAlignment="1">
      <alignment vertical="top" wrapText="1"/>
    </xf>
    <xf numFmtId="0" fontId="0" fillId="0" borderId="1" xfId="0" applyBorder="1" applyAlignment="1">
      <alignment vertical="top" wrapText="1"/>
    </xf>
    <xf numFmtId="1" fontId="7" fillId="0" borderId="1" xfId="0" applyNumberFormat="1" applyFont="1" applyBorder="1" applyAlignment="1">
      <alignment vertical="top" wrapText="1"/>
    </xf>
    <xf numFmtId="164" fontId="7" fillId="0" borderId="1" xfId="0" applyNumberFormat="1" applyFont="1" applyBorder="1" applyAlignment="1">
      <alignment vertical="top" wrapText="1"/>
    </xf>
    <xf numFmtId="0" fontId="7" fillId="0" borderId="1" xfId="0" applyFont="1" applyBorder="1" applyAlignment="1">
      <alignment vertical="top" wrapText="1"/>
    </xf>
    <xf numFmtId="166" fontId="0" fillId="0" borderId="1" xfId="0" applyNumberFormat="1" applyBorder="1" applyAlignment="1">
      <alignment vertical="top" wrapText="1"/>
    </xf>
    <xf numFmtId="0" fontId="7" fillId="0" borderId="0" xfId="0" applyFont="1"/>
    <xf numFmtId="164" fontId="7" fillId="0" borderId="0" xfId="0" applyNumberFormat="1" applyFont="1"/>
    <xf numFmtId="166" fontId="0" fillId="0" borderId="0" xfId="0" applyNumberFormat="1"/>
    <xf numFmtId="0" fontId="6" fillId="3" borderId="1" xfId="0" applyFont="1" applyFill="1" applyBorder="1" applyAlignment="1">
      <alignment horizontal="center" vertical="center" wrapText="1"/>
    </xf>
    <xf numFmtId="165" fontId="7" fillId="0" borderId="0" xfId="0" applyNumberFormat="1" applyFont="1"/>
    <xf numFmtId="164" fontId="0" fillId="0" borderId="0" xfId="0" applyNumberFormat="1"/>
    <xf numFmtId="1" fontId="0" fillId="0" borderId="0" xfId="0" applyNumberFormat="1"/>
    <xf numFmtId="167" fontId="7" fillId="0" borderId="1" xfId="0" applyNumberFormat="1" applyFont="1" applyBorder="1" applyAlignment="1">
      <alignment vertical="top" wrapText="1"/>
    </xf>
    <xf numFmtId="164" fontId="0" fillId="0" borderId="1" xfId="0" applyNumberFormat="1" applyBorder="1" applyAlignment="1">
      <alignment vertical="top" wrapText="1"/>
    </xf>
    <xf numFmtId="167" fontId="7" fillId="0" borderId="0" xfId="0" applyNumberFormat="1" applyFont="1"/>
    <xf numFmtId="0" fontId="4" fillId="0" borderId="1" xfId="0" applyFont="1" applyBorder="1"/>
    <xf numFmtId="165" fontId="7" fillId="0" borderId="1" xfId="0" applyNumberFormat="1" applyFont="1" applyBorder="1" applyAlignment="1">
      <alignment vertical="top" wrapText="1"/>
    </xf>
    <xf numFmtId="164" fontId="0" fillId="0" borderId="1" xfId="0" applyNumberFormat="1" applyBorder="1"/>
    <xf numFmtId="165" fontId="0" fillId="0" borderId="1" xfId="0" applyNumberFormat="1" applyBorder="1"/>
    <xf numFmtId="1" fontId="7" fillId="0" borderId="0" xfId="0" applyNumberFormat="1" applyFont="1"/>
    <xf numFmtId="0" fontId="0" fillId="0" borderId="1" xfId="0" applyBorder="1" applyAlignment="1">
      <alignment horizontal="center" vertical="center" wrapText="1"/>
    </xf>
    <xf numFmtId="1" fontId="0" fillId="0" borderId="1" xfId="0" applyNumberFormat="1" applyBorder="1" applyAlignment="1">
      <alignment horizontal="center" vertical="center" wrapText="1"/>
    </xf>
    <xf numFmtId="0" fontId="8" fillId="0" borderId="1" xfId="0" applyFont="1" applyBorder="1" applyAlignment="1">
      <alignment vertical="top" wrapText="1"/>
    </xf>
    <xf numFmtId="168" fontId="7" fillId="0" borderId="1" xfId="0" applyNumberFormat="1" applyFont="1" applyBorder="1" applyAlignment="1">
      <alignment vertical="top" wrapText="1"/>
    </xf>
    <xf numFmtId="14" fontId="7" fillId="0" borderId="0" xfId="0" applyNumberFormat="1" applyFont="1"/>
    <xf numFmtId="0" fontId="0" fillId="0" borderId="0" xfId="0"/>
    <xf numFmtId="0" fontId="8" fillId="0" borderId="1" xfId="0" applyFont="1" applyBorder="1" applyAlignment="1">
      <alignment vertical="top" wrapText="1"/>
    </xf>
    <xf numFmtId="0" fontId="6" fillId="4" borderId="0" xfId="0" applyNumberFormat="1" applyFont="1" applyFill="1" applyBorder="1"/>
    <xf numFmtId="0" fontId="6" fillId="4" borderId="0" xfId="0" applyNumberFormat="1" applyFont="1" applyFill="1" applyBorder="1" applyAlignment="1">
      <alignment wrapText="1"/>
    </xf>
    <xf numFmtId="0" fontId="9" fillId="5" borderId="0" xfId="0" applyNumberFormat="1" applyFont="1" applyFill="1" applyBorder="1"/>
    <xf numFmtId="0" fontId="6" fillId="4" borderId="1" xfId="0" applyNumberFormat="1" applyFont="1" applyFill="1" applyBorder="1" applyAlignment="1">
      <alignment vertical="top" wrapText="1"/>
    </xf>
    <xf numFmtId="0" fontId="10" fillId="4" borderId="0" xfId="0" applyNumberFormat="1" applyFont="1" applyFill="1" applyBorder="1" applyAlignment="1">
      <alignment wrapText="1"/>
    </xf>
    <xf numFmtId="0" fontId="4" fillId="2" borderId="1" xfId="0" applyFont="1" applyFill="1" applyBorder="1" applyAlignment="1">
      <alignment horizontal="left" vertical="center" wrapText="1"/>
    </xf>
    <xf numFmtId="0" fontId="0" fillId="0" borderId="3" xfId="0" applyBorder="1"/>
    <xf numFmtId="0" fontId="5" fillId="0" borderId="1" xfId="0" applyFont="1" applyBorder="1" applyAlignment="1">
      <alignment horizontal="left" vertical="center" wrapText="1"/>
    </xf>
    <xf numFmtId="164" fontId="5" fillId="0" borderId="1" xfId="0" applyNumberFormat="1" applyFont="1" applyBorder="1" applyAlignment="1">
      <alignment horizontal="left" vertical="center" wrapText="1"/>
    </xf>
    <xf numFmtId="165" fontId="5" fillId="0" borderId="1" xfId="0" applyNumberFormat="1" applyFont="1" applyBorder="1" applyAlignment="1">
      <alignment horizontal="left" vertical="center" wrapText="1"/>
    </xf>
    <xf numFmtId="0" fontId="5" fillId="2" borderId="0" xfId="0" applyFont="1" applyFill="1"/>
    <xf numFmtId="0" fontId="0" fillId="0" borderId="0" xfId="0"/>
    <xf numFmtId="0" fontId="0" fillId="0" borderId="2" xfId="0" applyBorder="1"/>
    <xf numFmtId="0" fontId="8"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
  <sheetViews>
    <sheetView showGridLines="0" workbookViewId="0"/>
  </sheetViews>
  <sheetFormatPr defaultRowHeight="14.5"/>
  <cols>
    <col min="1" max="1" width="110" customWidth="1"/>
  </cols>
  <sheetData>
    <row r="1" spans="1:1" ht="20">
      <c r="A1" s="1" t="s">
        <v>0</v>
      </c>
    </row>
    <row r="2" spans="1:1">
      <c r="A2" s="2" t="s">
        <v>1</v>
      </c>
    </row>
    <row r="4" spans="1:1" ht="15.5">
      <c r="A4" s="3" t="s">
        <v>2</v>
      </c>
    </row>
    <row r="5" spans="1:1">
      <c r="A5" s="4" t="s">
        <v>3</v>
      </c>
    </row>
    <row r="6" spans="1:1">
      <c r="A6" s="4" t="s">
        <v>4</v>
      </c>
    </row>
    <row r="7" spans="1:1">
      <c r="A7" s="4" t="s">
        <v>5</v>
      </c>
    </row>
    <row r="8" spans="1:1">
      <c r="A8" s="4" t="s">
        <v>6</v>
      </c>
    </row>
    <row r="9" spans="1:1">
      <c r="A9" s="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8"/>
  <sheetViews>
    <sheetView showGridLines="0" workbookViewId="0"/>
  </sheetViews>
  <sheetFormatPr defaultRowHeight="14.5"/>
  <cols>
    <col min="1" max="1" width="32" customWidth="1"/>
    <col min="2" max="2" width="18" customWidth="1"/>
    <col min="3" max="3" width="32" customWidth="1"/>
    <col min="4" max="4" width="18" customWidth="1"/>
    <col min="5" max="5" width="2" customWidth="1"/>
  </cols>
  <sheetData>
    <row r="1" spans="1:4" ht="20">
      <c r="A1" s="1" t="s">
        <v>8</v>
      </c>
    </row>
    <row r="2" spans="1:4">
      <c r="A2" s="2" t="s">
        <v>9</v>
      </c>
    </row>
    <row r="4" spans="1:4">
      <c r="A4" s="38" t="s">
        <v>10</v>
      </c>
      <c r="B4" s="39"/>
      <c r="C4" s="38" t="s">
        <v>11</v>
      </c>
      <c r="D4" s="39"/>
    </row>
    <row r="5" spans="1:4">
      <c r="A5" s="41">
        <f ca="1">IFERROR(SUMIFS('Production Batches'!K:K,'Production Batches'!B:B,"&gt;="&amp;EOMONTH(TODAY(),-1)+1,'Production Batches'!B:B,"&lt;="&amp;EOMONTH(TODAY(),0)),0)</f>
        <v>0</v>
      </c>
      <c r="B5" s="39"/>
      <c r="C5" s="41">
        <f ca="1">IFERROR(SUMIFS('Sales Orders'!L:L,'Sales Orders'!B:B,"&gt;="&amp;EOMONTH(TODAY(),-1)+1,'Sales Orders'!B:B,"&lt;="&amp;EOMONTH(TODAY(),0)),0)</f>
        <v>0</v>
      </c>
      <c r="D5" s="39"/>
    </row>
    <row r="7" spans="1:4">
      <c r="A7" s="38" t="s">
        <v>12</v>
      </c>
      <c r="B7" s="39"/>
      <c r="C7" s="38" t="s">
        <v>13</v>
      </c>
      <c r="D7" s="39"/>
    </row>
    <row r="8" spans="1:4">
      <c r="A8" s="41">
        <f>D5-B5</f>
        <v>0</v>
      </c>
      <c r="B8" s="39"/>
      <c r="C8" s="42">
        <f>IFERROR((D5-B5)/D5,0)</f>
        <v>0</v>
      </c>
      <c r="D8" s="39"/>
    </row>
    <row r="10" spans="1:4">
      <c r="A10" s="38" t="s">
        <v>14</v>
      </c>
      <c r="B10" s="39"/>
      <c r="C10" s="38" t="s">
        <v>15</v>
      </c>
      <c r="D10" s="39"/>
    </row>
    <row r="11" spans="1:4">
      <c r="A11" s="41">
        <f>IFERROR(SUM(Inventory!H:H),0)</f>
        <v>0</v>
      </c>
      <c r="B11" s="39"/>
      <c r="C11" s="40">
        <f ca="1">IFERROR(INDEX(Customers!B:B, MATCH(MAX(Customers!M:M),Customers!M:M,0)),"")</f>
        <v>0</v>
      </c>
      <c r="D11" s="39"/>
    </row>
    <row r="13" spans="1:4">
      <c r="A13" s="2" t="s">
        <v>16</v>
      </c>
    </row>
    <row r="15" spans="1:4">
      <c r="A15" s="33" t="s">
        <v>226</v>
      </c>
      <c r="B15" s="33"/>
      <c r="C15" s="33"/>
    </row>
    <row r="16" spans="1:4">
      <c r="A16" t="s">
        <v>227</v>
      </c>
    </row>
    <row r="17" spans="1:1">
      <c r="A17" t="s">
        <v>228</v>
      </c>
    </row>
    <row r="18" spans="1:1">
      <c r="A18" t="s">
        <v>229</v>
      </c>
    </row>
  </sheetData>
  <mergeCells count="12">
    <mergeCell ref="A4:B4"/>
    <mergeCell ref="C7:D7"/>
    <mergeCell ref="C10:D10"/>
    <mergeCell ref="A7:B7"/>
    <mergeCell ref="C11:D11"/>
    <mergeCell ref="A11:B11"/>
    <mergeCell ref="C5:D5"/>
    <mergeCell ref="A5:B5"/>
    <mergeCell ref="A10:B10"/>
    <mergeCell ref="A8:B8"/>
    <mergeCell ref="C8:D8"/>
    <mergeCell ref="C4:D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35"/>
  <sheetViews>
    <sheetView showGridLines="0" topLeftCell="A16" workbookViewId="0"/>
  </sheetViews>
  <sheetFormatPr defaultRowHeight="14.5"/>
  <cols>
    <col min="1" max="1" width="9.453125" customWidth="1"/>
    <col min="2" max="2" width="36" customWidth="1"/>
    <col min="3" max="3" width="21.36328125" customWidth="1"/>
    <col min="4" max="4" width="7.08984375" customWidth="1"/>
    <col min="5" max="5" width="3.453125" customWidth="1"/>
    <col min="6" max="6" width="13.81640625" customWidth="1"/>
    <col min="7" max="7" width="11.54296875" customWidth="1"/>
    <col min="8" max="9" width="38" customWidth="1"/>
    <col min="10" max="10" width="30" customWidth="1"/>
    <col min="11" max="11" width="6.1796875" customWidth="1"/>
    <col min="12" max="12" width="8.453125" customWidth="1"/>
    <col min="13" max="13" width="13.54296875" customWidth="1"/>
    <col min="14" max="14" width="9.26953125" customWidth="1"/>
  </cols>
  <sheetData>
    <row r="1" spans="1:14" ht="30.5">
      <c r="A1" s="37" t="s">
        <v>64</v>
      </c>
      <c r="B1" s="34" t="s">
        <v>230</v>
      </c>
      <c r="C1" s="34" t="s">
        <v>231</v>
      </c>
      <c r="D1" s="34" t="s">
        <v>21</v>
      </c>
      <c r="E1" s="34" t="s">
        <v>22</v>
      </c>
      <c r="F1" s="34" t="s">
        <v>232</v>
      </c>
      <c r="G1" s="34" t="s">
        <v>233</v>
      </c>
      <c r="H1" s="34" t="s">
        <v>234</v>
      </c>
      <c r="I1" s="34" t="s">
        <v>235</v>
      </c>
      <c r="J1" s="34" t="s">
        <v>236</v>
      </c>
      <c r="K1" s="34" t="s">
        <v>237</v>
      </c>
      <c r="L1" s="34" t="s">
        <v>238</v>
      </c>
      <c r="M1" s="34" t="s">
        <v>239</v>
      </c>
      <c r="N1" s="34" t="s">
        <v>240</v>
      </c>
    </row>
    <row r="2" spans="1:14">
      <c r="A2" s="2" t="s">
        <v>241</v>
      </c>
      <c r="B2" t="s">
        <v>242</v>
      </c>
      <c r="C2" t="s">
        <v>243</v>
      </c>
      <c r="E2" t="s">
        <v>244</v>
      </c>
      <c r="F2">
        <v>20</v>
      </c>
      <c r="G2" t="s">
        <v>245</v>
      </c>
      <c r="H2" t="s">
        <v>246</v>
      </c>
      <c r="N2" t="s">
        <v>247</v>
      </c>
    </row>
    <row r="3" spans="1:14">
      <c r="A3" t="s">
        <v>248</v>
      </c>
      <c r="B3" t="s">
        <v>249</v>
      </c>
      <c r="C3" t="s">
        <v>243</v>
      </c>
      <c r="E3" t="s">
        <v>244</v>
      </c>
      <c r="F3">
        <v>30</v>
      </c>
      <c r="G3" t="s">
        <v>250</v>
      </c>
      <c r="H3" t="s">
        <v>251</v>
      </c>
      <c r="N3" t="s">
        <v>247</v>
      </c>
    </row>
    <row r="4" spans="1:14" ht="22" customHeight="1">
      <c r="A4" s="43" t="s">
        <v>252</v>
      </c>
      <c r="B4" s="44" t="s">
        <v>253</v>
      </c>
      <c r="C4" s="44" t="s">
        <v>254</v>
      </c>
      <c r="D4" s="44" t="s">
        <v>255</v>
      </c>
      <c r="E4" s="44" t="s">
        <v>32</v>
      </c>
      <c r="F4" s="44">
        <v>3.5</v>
      </c>
      <c r="G4" s="44" t="s">
        <v>256</v>
      </c>
      <c r="H4" s="44" t="s">
        <v>257</v>
      </c>
      <c r="I4" s="44" t="s">
        <v>258</v>
      </c>
      <c r="J4" s="44"/>
      <c r="K4" s="44"/>
      <c r="L4" s="44"/>
      <c r="M4" s="44"/>
      <c r="N4" s="44" t="s">
        <v>247</v>
      </c>
    </row>
    <row r="5" spans="1:14" ht="26" customHeight="1">
      <c r="A5" s="5" t="s">
        <v>259</v>
      </c>
      <c r="B5" s="5" t="s">
        <v>260</v>
      </c>
      <c r="C5" s="5" t="s">
        <v>254</v>
      </c>
      <c r="D5" s="5" t="s">
        <v>255</v>
      </c>
      <c r="E5" s="5" t="s">
        <v>32</v>
      </c>
      <c r="F5" s="5">
        <v>3.5</v>
      </c>
      <c r="G5" s="5" t="s">
        <v>256</v>
      </c>
      <c r="H5" s="5" t="s">
        <v>261</v>
      </c>
      <c r="I5" s="5" t="s">
        <v>262</v>
      </c>
      <c r="J5" s="5"/>
      <c r="K5" s="5"/>
      <c r="L5" s="5"/>
      <c r="M5" s="5"/>
      <c r="N5" s="5" t="s">
        <v>247</v>
      </c>
    </row>
    <row r="6" spans="1:14" ht="42" customHeight="1">
      <c r="A6" s="26" t="s">
        <v>263</v>
      </c>
      <c r="B6" s="6" t="s">
        <v>264</v>
      </c>
      <c r="C6" s="6" t="s">
        <v>254</v>
      </c>
      <c r="D6" s="27" t="s">
        <v>255</v>
      </c>
      <c r="E6" s="6" t="s">
        <v>32</v>
      </c>
      <c r="F6" s="6">
        <v>3.5</v>
      </c>
      <c r="G6" s="6" t="s">
        <v>256</v>
      </c>
      <c r="H6" s="6" t="s">
        <v>265</v>
      </c>
      <c r="I6" s="6" t="s">
        <v>266</v>
      </c>
      <c r="J6" s="6"/>
      <c r="K6" s="28"/>
      <c r="L6" s="6"/>
      <c r="M6" s="28"/>
      <c r="N6" s="6" t="s">
        <v>247</v>
      </c>
    </row>
    <row r="7" spans="1:14" ht="42" customHeight="1">
      <c r="A7" s="26" t="s">
        <v>267</v>
      </c>
      <c r="B7" s="6" t="s">
        <v>268</v>
      </c>
      <c r="C7" s="6" t="s">
        <v>254</v>
      </c>
      <c r="D7" s="27" t="s">
        <v>269</v>
      </c>
      <c r="E7" s="6" t="s">
        <v>32</v>
      </c>
      <c r="F7" s="6">
        <v>1.5</v>
      </c>
      <c r="G7" s="6" t="s">
        <v>256</v>
      </c>
      <c r="H7" s="6" t="s">
        <v>270</v>
      </c>
      <c r="I7" s="6" t="s">
        <v>271</v>
      </c>
      <c r="J7" s="6"/>
      <c r="K7" s="28"/>
      <c r="L7" s="6"/>
      <c r="M7" s="28"/>
      <c r="N7" s="6" t="s">
        <v>247</v>
      </c>
    </row>
    <row r="8" spans="1:14" s="31" customFormat="1" ht="42" customHeight="1">
      <c r="A8" s="26" t="s">
        <v>272</v>
      </c>
      <c r="B8" s="6" t="s">
        <v>273</v>
      </c>
      <c r="C8" s="6" t="s">
        <v>254</v>
      </c>
      <c r="D8" s="27" t="s">
        <v>274</v>
      </c>
      <c r="E8" s="6" t="s">
        <v>32</v>
      </c>
      <c r="F8" s="6">
        <v>3.5</v>
      </c>
      <c r="G8" s="6" t="s">
        <v>256</v>
      </c>
      <c r="H8" s="6" t="s">
        <v>275</v>
      </c>
      <c r="I8" s="6" t="s">
        <v>276</v>
      </c>
      <c r="J8" s="6"/>
      <c r="K8" s="32"/>
      <c r="L8" s="6"/>
      <c r="M8" s="32"/>
      <c r="N8" s="6" t="s">
        <v>247</v>
      </c>
    </row>
    <row r="9" spans="1:14" s="31" customFormat="1" ht="42" customHeight="1">
      <c r="A9" s="26" t="s">
        <v>277</v>
      </c>
      <c r="B9" s="6" t="s">
        <v>278</v>
      </c>
      <c r="C9" s="6" t="s">
        <v>254</v>
      </c>
      <c r="D9" s="27" t="s">
        <v>274</v>
      </c>
      <c r="E9" s="6" t="s">
        <v>32</v>
      </c>
      <c r="F9" s="6">
        <v>2.95</v>
      </c>
      <c r="G9" s="6" t="s">
        <v>256</v>
      </c>
      <c r="H9" s="6" t="s">
        <v>279</v>
      </c>
      <c r="I9" s="6" t="s">
        <v>280</v>
      </c>
      <c r="J9" s="6"/>
      <c r="K9" s="32"/>
      <c r="L9" s="6"/>
      <c r="M9" s="32"/>
      <c r="N9" s="6" t="s">
        <v>247</v>
      </c>
    </row>
    <row r="10" spans="1:14" ht="42" customHeight="1">
      <c r="A10" s="26" t="s">
        <v>281</v>
      </c>
      <c r="B10" s="6" t="s">
        <v>282</v>
      </c>
      <c r="C10" s="6" t="s">
        <v>254</v>
      </c>
      <c r="D10" s="27" t="s">
        <v>274</v>
      </c>
      <c r="E10" s="6" t="s">
        <v>32</v>
      </c>
      <c r="F10" s="6">
        <v>2.75</v>
      </c>
      <c r="G10" s="6" t="s">
        <v>256</v>
      </c>
      <c r="H10" s="6" t="s">
        <v>283</v>
      </c>
      <c r="I10" s="6" t="s">
        <v>284</v>
      </c>
      <c r="J10" s="6"/>
      <c r="K10" s="28"/>
      <c r="L10" s="6"/>
      <c r="M10" s="28"/>
      <c r="N10" s="6" t="s">
        <v>247</v>
      </c>
    </row>
    <row r="11" spans="1:14" ht="42" customHeight="1">
      <c r="A11" s="26" t="s">
        <v>285</v>
      </c>
      <c r="B11" s="6" t="s">
        <v>286</v>
      </c>
      <c r="C11" s="6" t="s">
        <v>254</v>
      </c>
      <c r="D11" s="27" t="s">
        <v>274</v>
      </c>
      <c r="E11" s="6" t="s">
        <v>32</v>
      </c>
      <c r="F11" s="6">
        <v>3.75</v>
      </c>
      <c r="G11" s="6" t="s">
        <v>256</v>
      </c>
      <c r="H11" s="6" t="s">
        <v>287</v>
      </c>
      <c r="I11" s="6" t="s">
        <v>288</v>
      </c>
      <c r="J11" s="6"/>
      <c r="K11" s="28"/>
      <c r="L11" s="6"/>
      <c r="M11" s="28"/>
      <c r="N11" s="28" t="s">
        <v>247</v>
      </c>
    </row>
    <row r="12" spans="1:14" ht="42" customHeight="1">
      <c r="A12" s="26" t="s">
        <v>289</v>
      </c>
      <c r="B12" s="6" t="s">
        <v>290</v>
      </c>
      <c r="C12" s="6" t="s">
        <v>254</v>
      </c>
      <c r="D12" s="27" t="s">
        <v>274</v>
      </c>
      <c r="E12" s="6" t="s">
        <v>32</v>
      </c>
      <c r="F12" s="6">
        <v>4</v>
      </c>
      <c r="G12" s="6" t="s">
        <v>256</v>
      </c>
      <c r="H12" s="6" t="s">
        <v>291</v>
      </c>
      <c r="I12" s="6" t="s">
        <v>292</v>
      </c>
      <c r="J12" s="6"/>
      <c r="K12" s="28"/>
      <c r="L12" s="6"/>
      <c r="M12" s="28"/>
      <c r="N12" s="28" t="s">
        <v>247</v>
      </c>
    </row>
    <row r="13" spans="1:14" ht="42" customHeight="1">
      <c r="A13" s="26" t="s">
        <v>293</v>
      </c>
      <c r="B13" s="6" t="s">
        <v>294</v>
      </c>
      <c r="C13" s="6" t="s">
        <v>254</v>
      </c>
      <c r="D13" s="27" t="s">
        <v>274</v>
      </c>
      <c r="E13" s="6" t="s">
        <v>32</v>
      </c>
      <c r="F13" s="6">
        <v>4.5</v>
      </c>
      <c r="G13" s="6" t="s">
        <v>256</v>
      </c>
      <c r="H13" s="6" t="s">
        <v>295</v>
      </c>
      <c r="I13" s="6" t="s">
        <v>296</v>
      </c>
      <c r="J13" s="6"/>
      <c r="K13" s="28"/>
      <c r="L13" s="6"/>
      <c r="M13" s="28"/>
      <c r="N13" s="6" t="s">
        <v>247</v>
      </c>
    </row>
    <row r="14" spans="1:14" ht="42" customHeight="1">
      <c r="A14" s="26" t="s">
        <v>297</v>
      </c>
      <c r="B14" s="6" t="s">
        <v>298</v>
      </c>
      <c r="C14" s="6" t="s">
        <v>254</v>
      </c>
      <c r="D14" s="27" t="s">
        <v>274</v>
      </c>
      <c r="E14" s="6" t="s">
        <v>32</v>
      </c>
      <c r="F14" s="6">
        <v>4.75</v>
      </c>
      <c r="G14" s="6" t="s">
        <v>256</v>
      </c>
      <c r="H14" s="6" t="s">
        <v>299</v>
      </c>
      <c r="I14" s="6" t="s">
        <v>300</v>
      </c>
      <c r="J14" s="6"/>
      <c r="K14" s="28"/>
      <c r="L14" s="6"/>
      <c r="M14" s="28"/>
      <c r="N14" s="6" t="s">
        <v>247</v>
      </c>
    </row>
    <row r="15" spans="1:14" ht="42" customHeight="1">
      <c r="A15" s="26" t="s">
        <v>301</v>
      </c>
      <c r="B15" s="6" t="s">
        <v>302</v>
      </c>
      <c r="C15" s="6" t="s">
        <v>254</v>
      </c>
      <c r="D15" s="27" t="s">
        <v>274</v>
      </c>
      <c r="E15" s="6" t="s">
        <v>32</v>
      </c>
      <c r="F15" s="6">
        <v>5.5</v>
      </c>
      <c r="G15" s="6" t="s">
        <v>256</v>
      </c>
      <c r="H15" s="6" t="s">
        <v>303</v>
      </c>
      <c r="I15" s="6" t="s">
        <v>304</v>
      </c>
      <c r="J15" s="6"/>
      <c r="K15" s="28"/>
      <c r="L15" s="6"/>
      <c r="M15" s="28"/>
      <c r="N15" s="28" t="s">
        <v>247</v>
      </c>
    </row>
    <row r="16" spans="1:14">
      <c r="A16" t="s">
        <v>305</v>
      </c>
      <c r="B16" t="s">
        <v>306</v>
      </c>
      <c r="C16" t="s">
        <v>307</v>
      </c>
      <c r="F16">
        <v>4.5</v>
      </c>
      <c r="G16" t="s">
        <v>308</v>
      </c>
      <c r="H16" t="s">
        <v>309</v>
      </c>
      <c r="I16" t="s">
        <v>310</v>
      </c>
      <c r="J16" t="s">
        <v>311</v>
      </c>
      <c r="N16" t="s">
        <v>247</v>
      </c>
    </row>
    <row r="17" spans="1:14">
      <c r="A17" t="s">
        <v>312</v>
      </c>
      <c r="B17" t="s">
        <v>313</v>
      </c>
      <c r="C17" t="s">
        <v>307</v>
      </c>
      <c r="F17">
        <v>5.25</v>
      </c>
      <c r="G17" t="s">
        <v>308</v>
      </c>
      <c r="H17" t="s">
        <v>314</v>
      </c>
      <c r="I17" t="s">
        <v>315</v>
      </c>
      <c r="N17" t="s">
        <v>247</v>
      </c>
    </row>
    <row r="18" spans="1:14" ht="22" customHeight="1">
      <c r="A18" s="43" t="s">
        <v>316</v>
      </c>
      <c r="B18" s="44" t="s">
        <v>317</v>
      </c>
      <c r="C18" s="44" t="s">
        <v>307</v>
      </c>
      <c r="D18" s="44"/>
      <c r="E18" s="44"/>
      <c r="F18" s="44">
        <v>5</v>
      </c>
      <c r="G18" s="44" t="s">
        <v>308</v>
      </c>
      <c r="H18" s="44" t="s">
        <v>318</v>
      </c>
      <c r="I18" t="s">
        <v>319</v>
      </c>
      <c r="N18" t="s">
        <v>247</v>
      </c>
    </row>
    <row r="19" spans="1:14" ht="26" customHeight="1">
      <c r="A19" s="5" t="s">
        <v>320</v>
      </c>
      <c r="B19" s="5" t="s">
        <v>321</v>
      </c>
      <c r="C19" s="5" t="s">
        <v>307</v>
      </c>
      <c r="D19" s="5"/>
      <c r="E19" s="5"/>
      <c r="F19" s="5">
        <v>5</v>
      </c>
      <c r="G19" s="5" t="s">
        <v>308</v>
      </c>
      <c r="H19" s="5" t="s">
        <v>322</v>
      </c>
      <c r="I19" t="s">
        <v>323</v>
      </c>
      <c r="J19" t="s">
        <v>324</v>
      </c>
      <c r="N19" t="s">
        <v>247</v>
      </c>
    </row>
    <row r="20" spans="1:14" ht="85" customHeight="1">
      <c r="A20" s="26" t="s">
        <v>325</v>
      </c>
      <c r="B20" s="6" t="s">
        <v>326</v>
      </c>
      <c r="C20" s="32" t="s">
        <v>327</v>
      </c>
      <c r="D20" s="28" t="s">
        <v>274</v>
      </c>
      <c r="E20" s="28" t="s">
        <v>32</v>
      </c>
      <c r="F20" s="27">
        <v>4.95</v>
      </c>
      <c r="G20" s="26" t="s">
        <v>328</v>
      </c>
      <c r="H20" s="28" t="s">
        <v>329</v>
      </c>
      <c r="J20" t="s">
        <v>330</v>
      </c>
      <c r="N20" t="s">
        <v>247</v>
      </c>
    </row>
    <row r="21" spans="1:14" ht="85" customHeight="1">
      <c r="A21" s="26" t="s">
        <v>331</v>
      </c>
      <c r="B21" s="6" t="s">
        <v>332</v>
      </c>
      <c r="C21" s="32" t="s">
        <v>327</v>
      </c>
      <c r="D21" s="28" t="s">
        <v>274</v>
      </c>
      <c r="E21" s="28" t="s">
        <v>32</v>
      </c>
      <c r="F21" s="27">
        <v>5.5</v>
      </c>
      <c r="G21" s="26" t="s">
        <v>328</v>
      </c>
      <c r="H21" s="28" t="s">
        <v>333</v>
      </c>
      <c r="J21" t="s">
        <v>311</v>
      </c>
      <c r="N21" t="s">
        <v>247</v>
      </c>
    </row>
    <row r="22" spans="1:14" ht="85" customHeight="1">
      <c r="A22" s="26" t="s">
        <v>334</v>
      </c>
      <c r="B22" s="6" t="s">
        <v>335</v>
      </c>
      <c r="C22" s="28" t="s">
        <v>327</v>
      </c>
      <c r="D22" s="28" t="s">
        <v>274</v>
      </c>
      <c r="E22" s="28" t="s">
        <v>32</v>
      </c>
      <c r="F22" s="27">
        <v>5.95</v>
      </c>
      <c r="G22" s="26" t="s">
        <v>328</v>
      </c>
      <c r="H22" s="28" t="s">
        <v>336</v>
      </c>
      <c r="J22" t="s">
        <v>337</v>
      </c>
      <c r="N22" t="s">
        <v>247</v>
      </c>
    </row>
    <row r="23" spans="1:14" ht="85" customHeight="1">
      <c r="A23" s="26" t="s">
        <v>338</v>
      </c>
      <c r="B23" s="6" t="s">
        <v>339</v>
      </c>
      <c r="C23" s="28" t="s">
        <v>327</v>
      </c>
      <c r="D23" s="28" t="s">
        <v>274</v>
      </c>
      <c r="E23" s="28" t="s">
        <v>32</v>
      </c>
      <c r="F23" s="27">
        <v>4.25</v>
      </c>
      <c r="G23" s="26" t="s">
        <v>328</v>
      </c>
      <c r="H23" s="28" t="s">
        <v>340</v>
      </c>
      <c r="J23" t="s">
        <v>341</v>
      </c>
      <c r="N23" t="s">
        <v>247</v>
      </c>
    </row>
    <row r="24" spans="1:14" ht="85" customHeight="1">
      <c r="A24" s="26" t="s">
        <v>342</v>
      </c>
      <c r="B24" s="6" t="s">
        <v>125</v>
      </c>
      <c r="C24" s="28" t="s">
        <v>343</v>
      </c>
      <c r="D24" s="28" t="s">
        <v>344</v>
      </c>
      <c r="E24" s="28" t="s">
        <v>32</v>
      </c>
      <c r="F24" s="27"/>
      <c r="G24" s="26" t="s">
        <v>345</v>
      </c>
      <c r="H24" s="28" t="s">
        <v>346</v>
      </c>
      <c r="N24" t="s">
        <v>345</v>
      </c>
    </row>
    <row r="25" spans="1:14" ht="85" customHeight="1">
      <c r="A25" s="26" t="s">
        <v>347</v>
      </c>
      <c r="B25" s="6" t="s">
        <v>137</v>
      </c>
      <c r="C25" s="28" t="s">
        <v>343</v>
      </c>
      <c r="D25" s="28" t="s">
        <v>344</v>
      </c>
      <c r="E25" s="28" t="s">
        <v>32</v>
      </c>
      <c r="F25" s="27"/>
      <c r="G25" s="26" t="s">
        <v>345</v>
      </c>
      <c r="H25" s="28" t="s">
        <v>346</v>
      </c>
      <c r="N25" t="s">
        <v>345</v>
      </c>
    </row>
    <row r="26" spans="1:14" ht="85" customHeight="1">
      <c r="A26" s="26" t="s">
        <v>348</v>
      </c>
      <c r="B26" s="6" t="s">
        <v>149</v>
      </c>
      <c r="C26" s="28" t="s">
        <v>349</v>
      </c>
      <c r="D26" s="28" t="s">
        <v>344</v>
      </c>
      <c r="E26" s="28" t="s">
        <v>32</v>
      </c>
      <c r="F26" s="27"/>
      <c r="G26" s="26" t="s">
        <v>345</v>
      </c>
      <c r="H26" s="28" t="s">
        <v>346</v>
      </c>
      <c r="N26" t="s">
        <v>345</v>
      </c>
    </row>
    <row r="27" spans="1:14" ht="85" customHeight="1">
      <c r="A27" s="26" t="s">
        <v>350</v>
      </c>
      <c r="B27" s="6" t="s">
        <v>161</v>
      </c>
      <c r="C27" s="28" t="s">
        <v>349</v>
      </c>
      <c r="D27" s="28" t="s">
        <v>344</v>
      </c>
      <c r="E27" s="28" t="s">
        <v>32</v>
      </c>
      <c r="F27" s="27"/>
      <c r="G27" s="26" t="s">
        <v>345</v>
      </c>
      <c r="H27" s="28" t="s">
        <v>346</v>
      </c>
      <c r="N27" t="s">
        <v>345</v>
      </c>
    </row>
    <row r="28" spans="1:14">
      <c r="A28" t="s">
        <v>351</v>
      </c>
      <c r="B28" t="s">
        <v>172</v>
      </c>
      <c r="C28" t="s">
        <v>343</v>
      </c>
      <c r="D28" t="s">
        <v>344</v>
      </c>
      <c r="E28" t="s">
        <v>32</v>
      </c>
      <c r="G28" t="s">
        <v>345</v>
      </c>
      <c r="H28" t="s">
        <v>352</v>
      </c>
      <c r="N28" t="s">
        <v>345</v>
      </c>
    </row>
    <row r="29" spans="1:14">
      <c r="A29" s="2" t="s">
        <v>353</v>
      </c>
      <c r="B29" t="s">
        <v>191</v>
      </c>
      <c r="C29" t="s">
        <v>343</v>
      </c>
      <c r="D29" t="s">
        <v>344</v>
      </c>
      <c r="E29" t="s">
        <v>32</v>
      </c>
      <c r="G29" t="s">
        <v>345</v>
      </c>
      <c r="H29" t="s">
        <v>346</v>
      </c>
      <c r="N29" t="s">
        <v>345</v>
      </c>
    </row>
    <row r="30" spans="1:14">
      <c r="A30" s="2" t="s">
        <v>354</v>
      </c>
      <c r="B30" t="s">
        <v>355</v>
      </c>
      <c r="C30" t="s">
        <v>343</v>
      </c>
      <c r="D30" t="s">
        <v>344</v>
      </c>
      <c r="E30" t="s">
        <v>32</v>
      </c>
      <c r="G30" t="s">
        <v>345</v>
      </c>
      <c r="H30" t="s">
        <v>356</v>
      </c>
      <c r="N30" t="s">
        <v>345</v>
      </c>
    </row>
    <row r="31" spans="1:14">
      <c r="A31" t="s">
        <v>357</v>
      </c>
      <c r="B31" t="s">
        <v>358</v>
      </c>
      <c r="C31" t="s">
        <v>343</v>
      </c>
      <c r="D31" t="s">
        <v>344</v>
      </c>
      <c r="E31" t="s">
        <v>32</v>
      </c>
      <c r="G31" t="s">
        <v>345</v>
      </c>
      <c r="H31" t="s">
        <v>356</v>
      </c>
      <c r="N31" t="s">
        <v>345</v>
      </c>
    </row>
    <row r="32" spans="1:14">
      <c r="A32" t="s">
        <v>359</v>
      </c>
      <c r="B32" t="s">
        <v>360</v>
      </c>
      <c r="C32" t="s">
        <v>361</v>
      </c>
      <c r="G32" t="s">
        <v>345</v>
      </c>
      <c r="H32" t="s">
        <v>362</v>
      </c>
      <c r="N32" t="s">
        <v>345</v>
      </c>
    </row>
    <row r="33" spans="1:14">
      <c r="A33" t="s">
        <v>363</v>
      </c>
      <c r="B33" t="s">
        <v>364</v>
      </c>
      <c r="C33" t="s">
        <v>361</v>
      </c>
      <c r="G33" t="s">
        <v>345</v>
      </c>
      <c r="H33" t="s">
        <v>362</v>
      </c>
      <c r="N33" t="s">
        <v>345</v>
      </c>
    </row>
    <row r="34" spans="1:14">
      <c r="A34" t="s">
        <v>365</v>
      </c>
      <c r="B34" t="s">
        <v>366</v>
      </c>
      <c r="C34" t="s">
        <v>361</v>
      </c>
      <c r="G34" t="s">
        <v>345</v>
      </c>
      <c r="H34" t="s">
        <v>362</v>
      </c>
      <c r="N34" t="s">
        <v>345</v>
      </c>
    </row>
    <row r="35" spans="1:14">
      <c r="A35" t="s">
        <v>367</v>
      </c>
      <c r="B35" t="s">
        <v>368</v>
      </c>
      <c r="C35" t="s">
        <v>343</v>
      </c>
      <c r="D35" t="s">
        <v>344</v>
      </c>
      <c r="E35" t="s">
        <v>32</v>
      </c>
      <c r="G35" t="s">
        <v>345</v>
      </c>
      <c r="H35" t="s">
        <v>362</v>
      </c>
      <c r="N35" t="s">
        <v>345</v>
      </c>
    </row>
  </sheetData>
  <mergeCells count="2">
    <mergeCell ref="A4:N4"/>
    <mergeCell ref="A18:H18"/>
  </mergeCells>
  <dataValidations count="1">
    <dataValidation type="list" sqref="G20:G27 I6:I15">
      <formula1>"Best before,Use by"</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35"/>
  <sheetViews>
    <sheetView showGridLines="0" topLeftCell="A13" workbookViewId="0"/>
  </sheetViews>
  <sheetFormatPr defaultRowHeight="14.5"/>
  <cols>
    <col min="1" max="1" width="9.453125" customWidth="1"/>
    <col min="2" max="2" width="36" customWidth="1"/>
    <col min="3" max="3" width="21.36328125" customWidth="1"/>
    <col min="4" max="4" width="10.36328125" customWidth="1"/>
    <col min="5" max="5" width="26.26953125" customWidth="1"/>
    <col min="6" max="6" width="17.36328125" customWidth="1"/>
    <col min="7" max="7" width="5.90625" customWidth="1"/>
    <col min="8" max="8" width="9.26953125" customWidth="1"/>
    <col min="9" max="9" width="45" customWidth="1"/>
  </cols>
  <sheetData>
    <row r="1" spans="1:9" ht="29">
      <c r="A1" s="36" t="s">
        <v>64</v>
      </c>
      <c r="B1" s="36" t="s">
        <v>369</v>
      </c>
      <c r="C1" s="36" t="s">
        <v>370</v>
      </c>
      <c r="D1" s="36" t="s">
        <v>371</v>
      </c>
      <c r="E1" s="36" t="s">
        <v>372</v>
      </c>
      <c r="F1" s="36" t="s">
        <v>373</v>
      </c>
      <c r="G1" s="36" t="s">
        <v>67</v>
      </c>
      <c r="H1" s="36" t="s">
        <v>240</v>
      </c>
      <c r="I1" s="36" t="s">
        <v>28</v>
      </c>
    </row>
    <row r="2" spans="1:9" ht="29">
      <c r="A2" s="6" t="s">
        <v>241</v>
      </c>
      <c r="B2" s="6" t="s">
        <v>242</v>
      </c>
      <c r="C2" s="6" t="s">
        <v>243</v>
      </c>
      <c r="D2" s="7" t="s">
        <v>244</v>
      </c>
      <c r="E2" s="7"/>
      <c r="F2" s="8"/>
      <c r="G2" s="8">
        <v>20</v>
      </c>
      <c r="H2" s="9" t="s">
        <v>247</v>
      </c>
      <c r="I2" s="6" t="s">
        <v>246</v>
      </c>
    </row>
    <row r="3" spans="1:9" ht="29">
      <c r="A3" s="6" t="s">
        <v>248</v>
      </c>
      <c r="B3" s="6" t="s">
        <v>249</v>
      </c>
      <c r="C3" s="6" t="s">
        <v>243</v>
      </c>
      <c r="D3" s="7" t="s">
        <v>244</v>
      </c>
      <c r="E3" s="7"/>
      <c r="F3" s="8"/>
      <c r="G3" s="8">
        <v>30</v>
      </c>
      <c r="H3" s="9" t="s">
        <v>247</v>
      </c>
      <c r="I3" s="6" t="s">
        <v>251</v>
      </c>
    </row>
    <row r="4" spans="1:9" ht="29">
      <c r="A4" s="6" t="s">
        <v>252</v>
      </c>
      <c r="B4" s="6" t="s">
        <v>253</v>
      </c>
      <c r="C4" s="6" t="s">
        <v>254</v>
      </c>
      <c r="D4" s="7" t="s">
        <v>374</v>
      </c>
      <c r="E4" s="7"/>
      <c r="F4" s="8"/>
      <c r="G4" s="8">
        <v>3.5</v>
      </c>
      <c r="H4" s="9" t="s">
        <v>247</v>
      </c>
      <c r="I4" s="6" t="s">
        <v>257</v>
      </c>
    </row>
    <row r="5" spans="1:9" ht="29">
      <c r="A5" s="6" t="s">
        <v>259</v>
      </c>
      <c r="B5" s="6" t="s">
        <v>260</v>
      </c>
      <c r="C5" s="6" t="s">
        <v>254</v>
      </c>
      <c r="D5" s="7" t="s">
        <v>374</v>
      </c>
      <c r="E5" s="7"/>
      <c r="F5" s="8"/>
      <c r="G5" s="8">
        <v>3.5</v>
      </c>
      <c r="H5" s="9" t="s">
        <v>247</v>
      </c>
      <c r="I5" s="6" t="s">
        <v>261</v>
      </c>
    </row>
    <row r="6" spans="1:9" ht="29">
      <c r="A6" s="6" t="s">
        <v>263</v>
      </c>
      <c r="B6" s="6" t="s">
        <v>264</v>
      </c>
      <c r="C6" s="6" t="s">
        <v>254</v>
      </c>
      <c r="D6" s="7" t="s">
        <v>374</v>
      </c>
      <c r="E6" s="7"/>
      <c r="F6" s="8"/>
      <c r="G6" s="8">
        <v>3.5</v>
      </c>
      <c r="H6" s="9" t="s">
        <v>247</v>
      </c>
      <c r="I6" s="6" t="s">
        <v>265</v>
      </c>
    </row>
    <row r="7" spans="1:9" ht="29">
      <c r="A7" s="6" t="s">
        <v>267</v>
      </c>
      <c r="B7" s="6" t="s">
        <v>268</v>
      </c>
      <c r="C7" s="6" t="s">
        <v>254</v>
      </c>
      <c r="D7" s="7" t="s">
        <v>375</v>
      </c>
      <c r="E7" s="7"/>
      <c r="F7" s="8"/>
      <c r="G7" s="8">
        <v>1.5</v>
      </c>
      <c r="H7" s="9" t="s">
        <v>247</v>
      </c>
      <c r="I7" s="6" t="s">
        <v>270</v>
      </c>
    </row>
    <row r="8" spans="1:9" ht="29">
      <c r="A8" s="6" t="s">
        <v>272</v>
      </c>
      <c r="B8" s="6" t="s">
        <v>273</v>
      </c>
      <c r="C8" s="6" t="s">
        <v>254</v>
      </c>
      <c r="D8" s="7" t="s">
        <v>376</v>
      </c>
      <c r="E8" s="7"/>
      <c r="F8" s="8"/>
      <c r="G8" s="8">
        <v>3.5</v>
      </c>
      <c r="H8" s="9" t="s">
        <v>247</v>
      </c>
      <c r="I8" s="6" t="s">
        <v>275</v>
      </c>
    </row>
    <row r="9" spans="1:9" ht="29">
      <c r="A9" s="6" t="s">
        <v>277</v>
      </c>
      <c r="B9" s="6" t="s">
        <v>278</v>
      </c>
      <c r="C9" s="6" t="s">
        <v>254</v>
      </c>
      <c r="D9" s="7" t="s">
        <v>376</v>
      </c>
      <c r="E9" s="7"/>
      <c r="F9" s="8"/>
      <c r="G9" s="8">
        <v>2.95</v>
      </c>
      <c r="H9" s="9" t="s">
        <v>247</v>
      </c>
      <c r="I9" s="6" t="s">
        <v>279</v>
      </c>
    </row>
    <row r="10" spans="1:9">
      <c r="A10" t="s">
        <v>281</v>
      </c>
      <c r="B10" t="s">
        <v>282</v>
      </c>
      <c r="C10" t="s">
        <v>254</v>
      </c>
      <c r="D10" t="s">
        <v>376</v>
      </c>
      <c r="G10">
        <v>2.75</v>
      </c>
      <c r="H10" t="s">
        <v>247</v>
      </c>
      <c r="I10" t="s">
        <v>283</v>
      </c>
    </row>
    <row r="11" spans="1:9">
      <c r="A11" t="s">
        <v>285</v>
      </c>
      <c r="B11" t="s">
        <v>286</v>
      </c>
      <c r="C11" t="s">
        <v>254</v>
      </c>
      <c r="D11" t="s">
        <v>376</v>
      </c>
      <c r="G11">
        <v>3.75</v>
      </c>
      <c r="H11" t="s">
        <v>247</v>
      </c>
      <c r="I11" t="s">
        <v>287</v>
      </c>
    </row>
    <row r="12" spans="1:9">
      <c r="A12" t="s">
        <v>289</v>
      </c>
      <c r="B12" t="s">
        <v>290</v>
      </c>
      <c r="C12" t="s">
        <v>254</v>
      </c>
      <c r="D12" t="s">
        <v>376</v>
      </c>
      <c r="G12">
        <v>4</v>
      </c>
      <c r="H12" t="s">
        <v>247</v>
      </c>
      <c r="I12" t="s">
        <v>291</v>
      </c>
    </row>
    <row r="13" spans="1:9">
      <c r="A13" t="s">
        <v>293</v>
      </c>
      <c r="B13" t="s">
        <v>294</v>
      </c>
      <c r="C13" t="s">
        <v>254</v>
      </c>
      <c r="D13" t="s">
        <v>376</v>
      </c>
      <c r="G13">
        <v>4.5</v>
      </c>
      <c r="H13" t="s">
        <v>247</v>
      </c>
      <c r="I13" t="s">
        <v>295</v>
      </c>
    </row>
    <row r="14" spans="1:9">
      <c r="A14" t="s">
        <v>297</v>
      </c>
      <c r="B14" t="s">
        <v>298</v>
      </c>
      <c r="C14" t="s">
        <v>254</v>
      </c>
      <c r="D14" t="s">
        <v>376</v>
      </c>
      <c r="G14">
        <v>4.75</v>
      </c>
      <c r="H14" t="s">
        <v>247</v>
      </c>
      <c r="I14" t="s">
        <v>299</v>
      </c>
    </row>
    <row r="15" spans="1:9">
      <c r="A15" t="s">
        <v>301</v>
      </c>
      <c r="B15" t="s">
        <v>302</v>
      </c>
      <c r="C15" t="s">
        <v>254</v>
      </c>
      <c r="D15" t="s">
        <v>376</v>
      </c>
      <c r="G15">
        <v>5.5</v>
      </c>
      <c r="H15" t="s">
        <v>247</v>
      </c>
      <c r="I15" t="s">
        <v>303</v>
      </c>
    </row>
    <row r="16" spans="1:9">
      <c r="A16" t="s">
        <v>305</v>
      </c>
      <c r="B16" t="s">
        <v>306</v>
      </c>
      <c r="C16" t="s">
        <v>307</v>
      </c>
      <c r="G16">
        <v>4.5</v>
      </c>
      <c r="H16" t="s">
        <v>247</v>
      </c>
      <c r="I16" t="s">
        <v>309</v>
      </c>
    </row>
    <row r="17" spans="1:9">
      <c r="A17" t="s">
        <v>312</v>
      </c>
      <c r="B17" t="s">
        <v>313</v>
      </c>
      <c r="C17" t="s">
        <v>307</v>
      </c>
      <c r="G17">
        <v>5.25</v>
      </c>
      <c r="H17" t="s">
        <v>247</v>
      </c>
      <c r="I17" t="s">
        <v>314</v>
      </c>
    </row>
    <row r="18" spans="1:9">
      <c r="A18" t="s">
        <v>316</v>
      </c>
      <c r="B18" t="s">
        <v>317</v>
      </c>
      <c r="C18" t="s">
        <v>307</v>
      </c>
      <c r="G18">
        <v>5</v>
      </c>
      <c r="H18" t="s">
        <v>247</v>
      </c>
      <c r="I18" t="s">
        <v>318</v>
      </c>
    </row>
    <row r="19" spans="1:9">
      <c r="A19" t="s">
        <v>320</v>
      </c>
      <c r="B19" t="s">
        <v>321</v>
      </c>
      <c r="C19" t="s">
        <v>307</v>
      </c>
      <c r="G19">
        <v>5</v>
      </c>
      <c r="H19" t="s">
        <v>247</v>
      </c>
      <c r="I19" t="s">
        <v>322</v>
      </c>
    </row>
    <row r="20" spans="1:9">
      <c r="A20" t="s">
        <v>325</v>
      </c>
      <c r="B20" t="s">
        <v>326</v>
      </c>
      <c r="C20" t="s">
        <v>327</v>
      </c>
      <c r="D20" t="s">
        <v>376</v>
      </c>
      <c r="G20">
        <v>4.95</v>
      </c>
      <c r="H20" t="s">
        <v>247</v>
      </c>
      <c r="I20" t="s">
        <v>329</v>
      </c>
    </row>
    <row r="21" spans="1:9">
      <c r="A21" t="s">
        <v>331</v>
      </c>
      <c r="B21" t="s">
        <v>332</v>
      </c>
      <c r="C21" t="s">
        <v>327</v>
      </c>
      <c r="D21" t="s">
        <v>376</v>
      </c>
      <c r="G21">
        <v>5.5</v>
      </c>
      <c r="H21" t="s">
        <v>247</v>
      </c>
      <c r="I21" t="s">
        <v>333</v>
      </c>
    </row>
    <row r="22" spans="1:9">
      <c r="A22" t="s">
        <v>334</v>
      </c>
      <c r="B22" t="s">
        <v>335</v>
      </c>
      <c r="C22" t="s">
        <v>327</v>
      </c>
      <c r="D22" t="s">
        <v>376</v>
      </c>
      <c r="G22">
        <v>5.95</v>
      </c>
      <c r="H22" t="s">
        <v>247</v>
      </c>
      <c r="I22" t="s">
        <v>336</v>
      </c>
    </row>
    <row r="23" spans="1:9">
      <c r="A23" t="s">
        <v>338</v>
      </c>
      <c r="B23" t="s">
        <v>339</v>
      </c>
      <c r="C23" t="s">
        <v>327</v>
      </c>
      <c r="D23" t="s">
        <v>376</v>
      </c>
      <c r="G23">
        <v>4.25</v>
      </c>
      <c r="H23" t="s">
        <v>247</v>
      </c>
      <c r="I23" t="s">
        <v>340</v>
      </c>
    </row>
    <row r="24" spans="1:9">
      <c r="A24" t="s">
        <v>342</v>
      </c>
      <c r="B24" t="s">
        <v>125</v>
      </c>
      <c r="C24" t="s">
        <v>343</v>
      </c>
      <c r="D24" t="s">
        <v>377</v>
      </c>
      <c r="H24" t="s">
        <v>345</v>
      </c>
      <c r="I24" t="s">
        <v>346</v>
      </c>
    </row>
    <row r="25" spans="1:9">
      <c r="A25" t="s">
        <v>347</v>
      </c>
      <c r="B25" t="s">
        <v>137</v>
      </c>
      <c r="C25" t="s">
        <v>343</v>
      </c>
      <c r="D25" t="s">
        <v>377</v>
      </c>
      <c r="H25" t="s">
        <v>345</v>
      </c>
      <c r="I25" t="s">
        <v>346</v>
      </c>
    </row>
    <row r="26" spans="1:9">
      <c r="A26" t="s">
        <v>348</v>
      </c>
      <c r="B26" t="s">
        <v>149</v>
      </c>
      <c r="C26" t="s">
        <v>349</v>
      </c>
      <c r="D26" t="s">
        <v>377</v>
      </c>
      <c r="H26" t="s">
        <v>345</v>
      </c>
      <c r="I26" t="s">
        <v>346</v>
      </c>
    </row>
    <row r="27" spans="1:9">
      <c r="A27" t="s">
        <v>350</v>
      </c>
      <c r="B27" t="s">
        <v>161</v>
      </c>
      <c r="C27" t="s">
        <v>349</v>
      </c>
      <c r="D27" t="s">
        <v>377</v>
      </c>
      <c r="H27" t="s">
        <v>345</v>
      </c>
      <c r="I27" t="s">
        <v>346</v>
      </c>
    </row>
    <row r="28" spans="1:9">
      <c r="A28" t="s">
        <v>351</v>
      </c>
      <c r="B28" t="s">
        <v>172</v>
      </c>
      <c r="C28" t="s">
        <v>343</v>
      </c>
      <c r="D28" t="s">
        <v>377</v>
      </c>
      <c r="H28" t="s">
        <v>345</v>
      </c>
      <c r="I28" t="s">
        <v>352</v>
      </c>
    </row>
    <row r="29" spans="1:9">
      <c r="A29" t="s">
        <v>353</v>
      </c>
      <c r="B29" t="s">
        <v>191</v>
      </c>
      <c r="C29" t="s">
        <v>343</v>
      </c>
      <c r="D29" t="s">
        <v>377</v>
      </c>
      <c r="H29" t="s">
        <v>345</v>
      </c>
      <c r="I29" t="s">
        <v>346</v>
      </c>
    </row>
    <row r="30" spans="1:9">
      <c r="A30" t="s">
        <v>354</v>
      </c>
      <c r="B30" t="s">
        <v>355</v>
      </c>
      <c r="C30" t="s">
        <v>343</v>
      </c>
      <c r="D30" t="s">
        <v>377</v>
      </c>
      <c r="H30" t="s">
        <v>345</v>
      </c>
      <c r="I30" t="s">
        <v>356</v>
      </c>
    </row>
    <row r="31" spans="1:9">
      <c r="A31" t="s">
        <v>357</v>
      </c>
      <c r="B31" t="s">
        <v>358</v>
      </c>
      <c r="C31" t="s">
        <v>343</v>
      </c>
      <c r="D31" t="s">
        <v>377</v>
      </c>
      <c r="H31" t="s">
        <v>345</v>
      </c>
      <c r="I31" t="s">
        <v>356</v>
      </c>
    </row>
    <row r="32" spans="1:9">
      <c r="A32" t="s">
        <v>359</v>
      </c>
      <c r="B32" t="s">
        <v>360</v>
      </c>
      <c r="C32" t="s">
        <v>361</v>
      </c>
      <c r="H32" t="s">
        <v>345</v>
      </c>
      <c r="I32" t="s">
        <v>362</v>
      </c>
    </row>
    <row r="33" spans="1:9">
      <c r="A33" t="s">
        <v>363</v>
      </c>
      <c r="B33" t="s">
        <v>364</v>
      </c>
      <c r="C33" t="s">
        <v>361</v>
      </c>
      <c r="H33" t="s">
        <v>345</v>
      </c>
      <c r="I33" t="s">
        <v>362</v>
      </c>
    </row>
    <row r="34" spans="1:9">
      <c r="A34" t="s">
        <v>365</v>
      </c>
      <c r="B34" t="s">
        <v>366</v>
      </c>
      <c r="C34" t="s">
        <v>361</v>
      </c>
      <c r="H34" t="s">
        <v>345</v>
      </c>
      <c r="I34" t="s">
        <v>362</v>
      </c>
    </row>
    <row r="35" spans="1:9">
      <c r="A35" t="s">
        <v>367</v>
      </c>
      <c r="B35" t="s">
        <v>368</v>
      </c>
      <c r="C35" t="s">
        <v>343</v>
      </c>
      <c r="D35" t="s">
        <v>377</v>
      </c>
      <c r="H35" t="s">
        <v>345</v>
      </c>
      <c r="I35" t="s">
        <v>362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501"/>
  <sheetViews>
    <sheetView showGridLines="0" workbookViewId="0"/>
  </sheetViews>
  <sheetFormatPr defaultRowHeight="14.5"/>
  <cols>
    <col min="1" max="1" width="12" customWidth="1"/>
    <col min="2" max="2" width="28" customWidth="1"/>
    <col min="3" max="3" width="12" customWidth="1"/>
    <col min="4" max="4" width="22" customWidth="1"/>
    <col min="5" max="5" width="12" customWidth="1"/>
    <col min="6" max="6" width="8" customWidth="1"/>
    <col min="7" max="7" width="14" customWidth="1"/>
    <col min="8" max="8" width="16" customWidth="1"/>
    <col min="9" max="9" width="10" customWidth="1"/>
    <col min="10" max="10" width="14" customWidth="1"/>
    <col min="11" max="11" width="10" customWidth="1"/>
    <col min="12" max="12" width="22" customWidth="1"/>
  </cols>
  <sheetData>
    <row r="1" spans="1:12" ht="29">
      <c r="A1" s="5" t="s">
        <v>17</v>
      </c>
      <c r="B1" s="5" t="s">
        <v>18</v>
      </c>
      <c r="C1" s="5" t="s">
        <v>19</v>
      </c>
      <c r="D1" s="5" t="s">
        <v>20</v>
      </c>
      <c r="E1" s="5" t="s">
        <v>21</v>
      </c>
      <c r="F1" s="5" t="s">
        <v>22</v>
      </c>
      <c r="G1" s="5" t="s">
        <v>23</v>
      </c>
      <c r="H1" s="5" t="s">
        <v>24</v>
      </c>
      <c r="I1" s="5" t="s">
        <v>25</v>
      </c>
      <c r="J1" s="5" t="s">
        <v>26</v>
      </c>
      <c r="K1" s="5" t="s">
        <v>27</v>
      </c>
      <c r="L1" s="5" t="s">
        <v>28</v>
      </c>
    </row>
    <row r="2" spans="1:12">
      <c r="A2" s="6" t="s">
        <v>29</v>
      </c>
      <c r="B2" s="6" t="s">
        <v>30</v>
      </c>
      <c r="C2" s="6"/>
      <c r="D2" s="6"/>
      <c r="E2" s="9" t="s">
        <v>31</v>
      </c>
      <c r="F2" s="6" t="s">
        <v>32</v>
      </c>
      <c r="G2" s="8">
        <v>0</v>
      </c>
      <c r="H2" s="10">
        <f t="shared" ref="H2:H11" si="0">IFERROR(G2/E2,0)</f>
        <v>0</v>
      </c>
      <c r="I2" s="6" t="s">
        <v>33</v>
      </c>
      <c r="J2" s="9"/>
      <c r="K2" s="9" t="s">
        <v>34</v>
      </c>
      <c r="L2" s="6"/>
    </row>
    <row r="3" spans="1:12">
      <c r="A3" s="6" t="s">
        <v>29</v>
      </c>
      <c r="B3" s="6" t="s">
        <v>35</v>
      </c>
      <c r="C3" s="6"/>
      <c r="D3" s="6"/>
      <c r="E3" s="9" t="s">
        <v>36</v>
      </c>
      <c r="F3" s="6" t="s">
        <v>37</v>
      </c>
      <c r="G3" s="8">
        <v>0</v>
      </c>
      <c r="H3" s="10">
        <f t="shared" si="0"/>
        <v>0</v>
      </c>
      <c r="I3" s="6" t="s">
        <v>33</v>
      </c>
      <c r="J3" s="9"/>
      <c r="K3" s="9" t="s">
        <v>34</v>
      </c>
      <c r="L3" s="6"/>
    </row>
    <row r="4" spans="1:12">
      <c r="A4" s="6" t="s">
        <v>29</v>
      </c>
      <c r="B4" s="6" t="s">
        <v>38</v>
      </c>
      <c r="C4" s="6"/>
      <c r="D4" s="6"/>
      <c r="E4" s="9" t="s">
        <v>36</v>
      </c>
      <c r="F4" s="6" t="s">
        <v>37</v>
      </c>
      <c r="G4" s="8">
        <v>0</v>
      </c>
      <c r="H4" s="10">
        <f t="shared" si="0"/>
        <v>0</v>
      </c>
      <c r="I4" s="6" t="s">
        <v>33</v>
      </c>
      <c r="J4" s="9"/>
      <c r="K4" s="9" t="s">
        <v>34</v>
      </c>
      <c r="L4" s="6"/>
    </row>
    <row r="5" spans="1:12">
      <c r="A5" s="6" t="s">
        <v>29</v>
      </c>
      <c r="B5" s="6" t="s">
        <v>39</v>
      </c>
      <c r="C5" s="6"/>
      <c r="D5" s="6"/>
      <c r="E5" s="9" t="s">
        <v>31</v>
      </c>
      <c r="F5" s="6" t="s">
        <v>32</v>
      </c>
      <c r="G5" s="8">
        <v>0</v>
      </c>
      <c r="H5" s="10">
        <f t="shared" si="0"/>
        <v>0</v>
      </c>
      <c r="I5" s="6" t="s">
        <v>33</v>
      </c>
      <c r="J5" s="9"/>
      <c r="K5" s="9" t="s">
        <v>34</v>
      </c>
      <c r="L5" s="6"/>
    </row>
    <row r="6" spans="1:12">
      <c r="A6" s="6" t="s">
        <v>40</v>
      </c>
      <c r="B6" s="6" t="s">
        <v>41</v>
      </c>
      <c r="C6" s="6"/>
      <c r="D6" s="6"/>
      <c r="E6" s="9" t="s">
        <v>42</v>
      </c>
      <c r="F6" s="6" t="s">
        <v>43</v>
      </c>
      <c r="G6" s="8">
        <v>0.9</v>
      </c>
      <c r="H6" s="10">
        <f t="shared" si="0"/>
        <v>0.9</v>
      </c>
      <c r="I6" s="6" t="s">
        <v>33</v>
      </c>
      <c r="J6" s="9"/>
      <c r="K6" s="9" t="s">
        <v>34</v>
      </c>
      <c r="L6" s="6"/>
    </row>
    <row r="7" spans="1:12">
      <c r="A7" s="6" t="s">
        <v>40</v>
      </c>
      <c r="B7" s="6" t="s">
        <v>44</v>
      </c>
      <c r="C7" s="6"/>
      <c r="D7" s="6"/>
      <c r="E7" s="9" t="s">
        <v>42</v>
      </c>
      <c r="F7" s="6" t="s">
        <v>43</v>
      </c>
      <c r="G7" s="8">
        <v>0</v>
      </c>
      <c r="H7" s="10">
        <f t="shared" si="0"/>
        <v>0</v>
      </c>
      <c r="I7" s="6" t="s">
        <v>33</v>
      </c>
      <c r="J7" s="9"/>
      <c r="K7" s="9" t="s">
        <v>34</v>
      </c>
      <c r="L7" s="6"/>
    </row>
    <row r="8" spans="1:12">
      <c r="A8" s="6" t="s">
        <v>40</v>
      </c>
      <c r="B8" s="6" t="s">
        <v>45</v>
      </c>
      <c r="C8" s="6"/>
      <c r="D8" s="6"/>
      <c r="E8" s="9" t="s">
        <v>42</v>
      </c>
      <c r="F8" s="6" t="s">
        <v>43</v>
      </c>
      <c r="G8" s="8">
        <v>0</v>
      </c>
      <c r="H8" s="10">
        <f t="shared" si="0"/>
        <v>0</v>
      </c>
      <c r="I8" s="6" t="s">
        <v>33</v>
      </c>
      <c r="J8" s="9"/>
      <c r="K8" s="9" t="s">
        <v>34</v>
      </c>
      <c r="L8" s="6"/>
    </row>
    <row r="9" spans="1:12">
      <c r="A9" s="6" t="s">
        <v>40</v>
      </c>
      <c r="B9" s="6" t="s">
        <v>46</v>
      </c>
      <c r="C9" s="6"/>
      <c r="D9" s="6"/>
      <c r="E9" s="9" t="s">
        <v>42</v>
      </c>
      <c r="F9" s="6" t="s">
        <v>43</v>
      </c>
      <c r="G9" s="8">
        <v>0</v>
      </c>
      <c r="H9" s="10">
        <f t="shared" si="0"/>
        <v>0</v>
      </c>
      <c r="I9" s="6" t="s">
        <v>33</v>
      </c>
      <c r="J9" s="9"/>
      <c r="K9" s="9" t="s">
        <v>34</v>
      </c>
      <c r="L9" s="6"/>
    </row>
    <row r="10" spans="1:12">
      <c r="A10" s="6" t="s">
        <v>40</v>
      </c>
      <c r="B10" s="6" t="s">
        <v>47</v>
      </c>
      <c r="C10" s="6"/>
      <c r="D10" s="6"/>
      <c r="E10" s="9" t="s">
        <v>42</v>
      </c>
      <c r="F10" s="6" t="s">
        <v>43</v>
      </c>
      <c r="G10" s="8">
        <v>0</v>
      </c>
      <c r="H10" s="10">
        <f t="shared" si="0"/>
        <v>0</v>
      </c>
      <c r="I10" s="6" t="s">
        <v>33</v>
      </c>
      <c r="J10" s="9"/>
      <c r="K10" s="9" t="s">
        <v>34</v>
      </c>
      <c r="L10" s="6"/>
    </row>
    <row r="11" spans="1:12">
      <c r="A11" s="6" t="s">
        <v>48</v>
      </c>
      <c r="B11" s="6" t="s">
        <v>49</v>
      </c>
      <c r="C11" s="6"/>
      <c r="D11" s="6"/>
      <c r="E11" s="9" t="s">
        <v>42</v>
      </c>
      <c r="F11" s="6" t="s">
        <v>43</v>
      </c>
      <c r="G11" s="8">
        <v>0</v>
      </c>
      <c r="H11" s="10">
        <f t="shared" si="0"/>
        <v>0</v>
      </c>
      <c r="I11" s="6" t="s">
        <v>33</v>
      </c>
      <c r="J11" s="9"/>
      <c r="K11" s="9" t="s">
        <v>34</v>
      </c>
      <c r="L11" s="6"/>
    </row>
    <row r="12" spans="1:12">
      <c r="E12" s="11"/>
      <c r="G12" s="12"/>
      <c r="H12" s="13"/>
      <c r="J12" s="11"/>
      <c r="K12" s="11"/>
    </row>
    <row r="13" spans="1:12">
      <c r="E13" s="11"/>
      <c r="G13" s="12"/>
      <c r="H13" s="13"/>
      <c r="J13" s="11"/>
      <c r="K13" s="11"/>
    </row>
    <row r="14" spans="1:12">
      <c r="E14" s="11"/>
      <c r="G14" s="12"/>
      <c r="H14" s="13"/>
      <c r="J14" s="11"/>
      <c r="K14" s="11"/>
    </row>
    <row r="15" spans="1:12">
      <c r="E15" s="11"/>
      <c r="G15" s="12"/>
      <c r="H15" s="13"/>
      <c r="J15" s="11"/>
      <c r="K15" s="11"/>
    </row>
    <row r="16" spans="1:12">
      <c r="E16" s="11"/>
      <c r="G16" s="12"/>
      <c r="H16" s="13"/>
      <c r="J16" s="11"/>
      <c r="K16" s="11"/>
    </row>
    <row r="17" spans="5:11">
      <c r="E17" s="11"/>
      <c r="G17" s="12"/>
      <c r="H17" s="13"/>
      <c r="J17" s="11"/>
      <c r="K17" s="11"/>
    </row>
    <row r="18" spans="5:11">
      <c r="E18" s="11"/>
      <c r="G18" s="12"/>
      <c r="H18" s="13"/>
      <c r="J18" s="11"/>
      <c r="K18" s="11"/>
    </row>
    <row r="19" spans="5:11">
      <c r="E19" s="11"/>
      <c r="G19" s="12"/>
      <c r="H19" s="13"/>
      <c r="J19" s="11"/>
      <c r="K19" s="11"/>
    </row>
    <row r="20" spans="5:11">
      <c r="E20" s="11"/>
      <c r="G20" s="12"/>
      <c r="H20" s="13"/>
      <c r="J20" s="11"/>
      <c r="K20" s="11"/>
    </row>
    <row r="21" spans="5:11">
      <c r="E21" s="11"/>
      <c r="G21" s="12"/>
      <c r="H21" s="13"/>
      <c r="J21" s="11"/>
      <c r="K21" s="11"/>
    </row>
    <row r="22" spans="5:11">
      <c r="E22" s="11"/>
      <c r="G22" s="12"/>
      <c r="H22" s="13"/>
      <c r="J22" s="11"/>
      <c r="K22" s="11"/>
    </row>
    <row r="23" spans="5:11">
      <c r="E23" s="11"/>
      <c r="G23" s="12"/>
      <c r="H23" s="13"/>
      <c r="J23" s="11"/>
      <c r="K23" s="11"/>
    </row>
    <row r="24" spans="5:11">
      <c r="E24" s="11"/>
      <c r="G24" s="12"/>
      <c r="H24" s="13"/>
      <c r="J24" s="11"/>
      <c r="K24" s="11"/>
    </row>
    <row r="25" spans="5:11">
      <c r="E25" s="11"/>
      <c r="G25" s="12"/>
      <c r="H25" s="13"/>
      <c r="J25" s="11"/>
      <c r="K25" s="11"/>
    </row>
    <row r="26" spans="5:11">
      <c r="E26" s="11"/>
      <c r="G26" s="12"/>
      <c r="H26" s="13"/>
      <c r="J26" s="11"/>
      <c r="K26" s="11"/>
    </row>
    <row r="27" spans="5:11">
      <c r="E27" s="11"/>
      <c r="G27" s="12"/>
      <c r="H27" s="13"/>
      <c r="J27" s="11"/>
      <c r="K27" s="11"/>
    </row>
    <row r="28" spans="5:11">
      <c r="E28" s="11"/>
      <c r="G28" s="12"/>
      <c r="H28" s="13"/>
      <c r="J28" s="11"/>
      <c r="K28" s="11"/>
    </row>
    <row r="29" spans="5:11">
      <c r="E29" s="11"/>
      <c r="G29" s="12"/>
      <c r="H29" s="13"/>
      <c r="J29" s="11"/>
      <c r="K29" s="11"/>
    </row>
    <row r="30" spans="5:11">
      <c r="E30" s="11"/>
      <c r="G30" s="12"/>
      <c r="H30" s="13"/>
      <c r="J30" s="11"/>
      <c r="K30" s="11"/>
    </row>
    <row r="31" spans="5:11">
      <c r="E31" s="11"/>
      <c r="G31" s="12"/>
      <c r="H31" s="13"/>
      <c r="J31" s="11"/>
      <c r="K31" s="11"/>
    </row>
    <row r="32" spans="5:11">
      <c r="E32" s="11"/>
      <c r="G32" s="12"/>
      <c r="H32" s="13"/>
      <c r="J32" s="11"/>
      <c r="K32" s="11"/>
    </row>
    <row r="33" spans="5:11">
      <c r="E33" s="11"/>
      <c r="G33" s="12"/>
      <c r="H33" s="13"/>
      <c r="J33" s="11"/>
      <c r="K33" s="11"/>
    </row>
    <row r="34" spans="5:11">
      <c r="E34" s="11"/>
      <c r="G34" s="12"/>
      <c r="H34" s="13"/>
      <c r="J34" s="11"/>
      <c r="K34" s="11"/>
    </row>
    <row r="35" spans="5:11">
      <c r="E35" s="11"/>
      <c r="G35" s="12"/>
      <c r="H35" s="13"/>
      <c r="J35" s="11"/>
      <c r="K35" s="11"/>
    </row>
    <row r="36" spans="5:11">
      <c r="E36" s="11"/>
      <c r="G36" s="12"/>
      <c r="H36" s="13"/>
      <c r="J36" s="11"/>
      <c r="K36" s="11"/>
    </row>
    <row r="37" spans="5:11">
      <c r="E37" s="11"/>
      <c r="G37" s="12"/>
      <c r="H37" s="13"/>
      <c r="J37" s="11"/>
      <c r="K37" s="11"/>
    </row>
    <row r="38" spans="5:11">
      <c r="E38" s="11"/>
      <c r="G38" s="12"/>
      <c r="H38" s="13"/>
      <c r="J38" s="11"/>
      <c r="K38" s="11"/>
    </row>
    <row r="39" spans="5:11">
      <c r="E39" s="11"/>
      <c r="G39" s="12"/>
      <c r="H39" s="13"/>
      <c r="J39" s="11"/>
      <c r="K39" s="11"/>
    </row>
    <row r="40" spans="5:11">
      <c r="E40" s="11"/>
      <c r="G40" s="12"/>
      <c r="H40" s="13"/>
      <c r="J40" s="11"/>
      <c r="K40" s="11"/>
    </row>
    <row r="41" spans="5:11">
      <c r="E41" s="11"/>
      <c r="G41" s="12"/>
      <c r="H41" s="13"/>
      <c r="J41" s="11"/>
      <c r="K41" s="11"/>
    </row>
    <row r="42" spans="5:11">
      <c r="E42" s="11"/>
      <c r="G42" s="12"/>
      <c r="H42" s="13"/>
      <c r="J42" s="11"/>
      <c r="K42" s="11"/>
    </row>
    <row r="43" spans="5:11">
      <c r="E43" s="11"/>
      <c r="G43" s="12"/>
      <c r="H43" s="13"/>
      <c r="J43" s="11"/>
      <c r="K43" s="11"/>
    </row>
    <row r="44" spans="5:11">
      <c r="E44" s="11"/>
      <c r="G44" s="12"/>
      <c r="H44" s="13"/>
      <c r="J44" s="11"/>
      <c r="K44" s="11"/>
    </row>
    <row r="45" spans="5:11">
      <c r="E45" s="11"/>
      <c r="G45" s="12"/>
      <c r="H45" s="13"/>
      <c r="J45" s="11"/>
      <c r="K45" s="11"/>
    </row>
    <row r="46" spans="5:11">
      <c r="E46" s="11"/>
      <c r="G46" s="12"/>
      <c r="H46" s="13"/>
      <c r="J46" s="11"/>
      <c r="K46" s="11"/>
    </row>
    <row r="47" spans="5:11">
      <c r="E47" s="11"/>
      <c r="G47" s="12"/>
      <c r="H47" s="13"/>
      <c r="J47" s="11"/>
      <c r="K47" s="11"/>
    </row>
    <row r="48" spans="5:11">
      <c r="E48" s="11"/>
      <c r="G48" s="12"/>
      <c r="H48" s="13"/>
      <c r="J48" s="11"/>
      <c r="K48" s="11"/>
    </row>
    <row r="49" spans="5:11">
      <c r="E49" s="11"/>
      <c r="G49" s="12"/>
      <c r="H49" s="13"/>
      <c r="J49" s="11"/>
      <c r="K49" s="11"/>
    </row>
    <row r="50" spans="5:11">
      <c r="E50" s="11"/>
      <c r="G50" s="12"/>
      <c r="H50" s="13"/>
      <c r="J50" s="11"/>
      <c r="K50" s="11"/>
    </row>
    <row r="51" spans="5:11">
      <c r="E51" s="11"/>
      <c r="G51" s="12"/>
      <c r="H51" s="13"/>
      <c r="J51" s="11"/>
      <c r="K51" s="11"/>
    </row>
    <row r="52" spans="5:11">
      <c r="E52" s="11"/>
      <c r="G52" s="12"/>
      <c r="H52" s="13"/>
      <c r="J52" s="11"/>
      <c r="K52" s="11"/>
    </row>
    <row r="53" spans="5:11">
      <c r="E53" s="11"/>
      <c r="G53" s="12"/>
      <c r="H53" s="13"/>
      <c r="J53" s="11"/>
      <c r="K53" s="11"/>
    </row>
    <row r="54" spans="5:11">
      <c r="E54" s="11"/>
      <c r="G54" s="12"/>
      <c r="H54" s="13"/>
      <c r="J54" s="11"/>
      <c r="K54" s="11"/>
    </row>
    <row r="55" spans="5:11">
      <c r="E55" s="11"/>
      <c r="G55" s="12"/>
      <c r="H55" s="13"/>
      <c r="J55" s="11"/>
      <c r="K55" s="11"/>
    </row>
    <row r="56" spans="5:11">
      <c r="E56" s="11"/>
      <c r="G56" s="12"/>
      <c r="H56" s="13"/>
      <c r="J56" s="11"/>
      <c r="K56" s="11"/>
    </row>
    <row r="57" spans="5:11">
      <c r="E57" s="11"/>
      <c r="G57" s="12"/>
      <c r="H57" s="13"/>
      <c r="J57" s="11"/>
      <c r="K57" s="11"/>
    </row>
    <row r="58" spans="5:11">
      <c r="E58" s="11"/>
      <c r="G58" s="12"/>
      <c r="H58" s="13"/>
      <c r="J58" s="11"/>
      <c r="K58" s="11"/>
    </row>
    <row r="59" spans="5:11">
      <c r="E59" s="11"/>
      <c r="G59" s="12"/>
      <c r="H59" s="13"/>
      <c r="J59" s="11"/>
      <c r="K59" s="11"/>
    </row>
    <row r="60" spans="5:11">
      <c r="E60" s="11"/>
      <c r="G60" s="12"/>
      <c r="H60" s="13"/>
      <c r="J60" s="11"/>
      <c r="K60" s="11"/>
    </row>
    <row r="61" spans="5:11">
      <c r="E61" s="11"/>
      <c r="G61" s="12"/>
      <c r="H61" s="13"/>
      <c r="J61" s="11"/>
      <c r="K61" s="11"/>
    </row>
    <row r="62" spans="5:11">
      <c r="E62" s="11"/>
      <c r="G62" s="12"/>
      <c r="H62" s="13"/>
      <c r="J62" s="11"/>
      <c r="K62" s="11"/>
    </row>
    <row r="63" spans="5:11">
      <c r="E63" s="11"/>
      <c r="G63" s="12"/>
      <c r="H63" s="13"/>
      <c r="J63" s="11"/>
      <c r="K63" s="11"/>
    </row>
    <row r="64" spans="5:11">
      <c r="E64" s="11"/>
      <c r="G64" s="12"/>
      <c r="H64" s="13"/>
      <c r="J64" s="11"/>
      <c r="K64" s="11"/>
    </row>
    <row r="65" spans="5:11">
      <c r="E65" s="11"/>
      <c r="G65" s="12"/>
      <c r="H65" s="13"/>
      <c r="J65" s="11"/>
      <c r="K65" s="11"/>
    </row>
    <row r="66" spans="5:11">
      <c r="E66" s="11"/>
      <c r="G66" s="12"/>
      <c r="H66" s="13"/>
      <c r="J66" s="11"/>
      <c r="K66" s="11"/>
    </row>
    <row r="67" spans="5:11">
      <c r="E67" s="11"/>
      <c r="G67" s="12"/>
      <c r="H67" s="13"/>
      <c r="J67" s="11"/>
      <c r="K67" s="11"/>
    </row>
    <row r="68" spans="5:11">
      <c r="E68" s="11"/>
      <c r="G68" s="12"/>
      <c r="H68" s="13"/>
      <c r="J68" s="11"/>
      <c r="K68" s="11"/>
    </row>
    <row r="69" spans="5:11">
      <c r="E69" s="11"/>
      <c r="G69" s="12"/>
      <c r="H69" s="13"/>
      <c r="J69" s="11"/>
      <c r="K69" s="11"/>
    </row>
    <row r="70" spans="5:11">
      <c r="E70" s="11"/>
      <c r="G70" s="12"/>
      <c r="H70" s="13"/>
      <c r="J70" s="11"/>
      <c r="K70" s="11"/>
    </row>
    <row r="71" spans="5:11">
      <c r="E71" s="11"/>
      <c r="G71" s="12"/>
      <c r="H71" s="13"/>
      <c r="J71" s="11"/>
      <c r="K71" s="11"/>
    </row>
    <row r="72" spans="5:11">
      <c r="E72" s="11"/>
      <c r="G72" s="12"/>
      <c r="H72" s="13"/>
      <c r="J72" s="11"/>
      <c r="K72" s="11"/>
    </row>
    <row r="73" spans="5:11">
      <c r="E73" s="11"/>
      <c r="G73" s="12"/>
      <c r="H73" s="13"/>
      <c r="J73" s="11"/>
      <c r="K73" s="11"/>
    </row>
    <row r="74" spans="5:11">
      <c r="E74" s="11"/>
      <c r="G74" s="12"/>
      <c r="H74" s="13"/>
      <c r="J74" s="11"/>
      <c r="K74" s="11"/>
    </row>
    <row r="75" spans="5:11">
      <c r="E75" s="11"/>
      <c r="G75" s="12"/>
      <c r="H75" s="13"/>
      <c r="J75" s="11"/>
      <c r="K75" s="11"/>
    </row>
    <row r="76" spans="5:11">
      <c r="E76" s="11"/>
      <c r="G76" s="12"/>
      <c r="H76" s="13"/>
      <c r="J76" s="11"/>
      <c r="K76" s="11"/>
    </row>
    <row r="77" spans="5:11">
      <c r="E77" s="11"/>
      <c r="G77" s="12"/>
      <c r="H77" s="13"/>
      <c r="J77" s="11"/>
      <c r="K77" s="11"/>
    </row>
    <row r="78" spans="5:11">
      <c r="E78" s="11"/>
      <c r="G78" s="12"/>
      <c r="H78" s="13"/>
      <c r="J78" s="11"/>
      <c r="K78" s="11"/>
    </row>
    <row r="79" spans="5:11">
      <c r="E79" s="11"/>
      <c r="G79" s="12"/>
      <c r="H79" s="13"/>
      <c r="J79" s="11"/>
      <c r="K79" s="11"/>
    </row>
    <row r="80" spans="5:11">
      <c r="E80" s="11"/>
      <c r="G80" s="12"/>
      <c r="H80" s="13"/>
      <c r="J80" s="11"/>
      <c r="K80" s="11"/>
    </row>
    <row r="81" spans="5:11">
      <c r="E81" s="11"/>
      <c r="G81" s="12"/>
      <c r="H81" s="13"/>
      <c r="J81" s="11"/>
      <c r="K81" s="11"/>
    </row>
    <row r="82" spans="5:11">
      <c r="E82" s="11"/>
      <c r="G82" s="12"/>
      <c r="H82" s="13"/>
      <c r="J82" s="11"/>
      <c r="K82" s="11"/>
    </row>
    <row r="83" spans="5:11">
      <c r="E83" s="11"/>
      <c r="G83" s="12"/>
      <c r="H83" s="13"/>
      <c r="J83" s="11"/>
      <c r="K83" s="11"/>
    </row>
    <row r="84" spans="5:11">
      <c r="E84" s="11"/>
      <c r="G84" s="12"/>
      <c r="H84" s="13"/>
      <c r="J84" s="11"/>
      <c r="K84" s="11"/>
    </row>
    <row r="85" spans="5:11">
      <c r="E85" s="11"/>
      <c r="G85" s="12"/>
      <c r="H85" s="13"/>
      <c r="J85" s="11"/>
      <c r="K85" s="11"/>
    </row>
    <row r="86" spans="5:11">
      <c r="E86" s="11"/>
      <c r="G86" s="12"/>
      <c r="H86" s="13"/>
      <c r="J86" s="11"/>
      <c r="K86" s="11"/>
    </row>
    <row r="87" spans="5:11">
      <c r="E87" s="11"/>
      <c r="G87" s="12"/>
      <c r="H87" s="13"/>
      <c r="J87" s="11"/>
      <c r="K87" s="11"/>
    </row>
    <row r="88" spans="5:11">
      <c r="E88" s="11"/>
      <c r="G88" s="12"/>
      <c r="H88" s="13"/>
      <c r="J88" s="11"/>
      <c r="K88" s="11"/>
    </row>
    <row r="89" spans="5:11">
      <c r="E89" s="11"/>
      <c r="G89" s="12"/>
      <c r="H89" s="13"/>
      <c r="J89" s="11"/>
      <c r="K89" s="11"/>
    </row>
    <row r="90" spans="5:11">
      <c r="E90" s="11"/>
      <c r="G90" s="12"/>
      <c r="H90" s="13"/>
      <c r="J90" s="11"/>
      <c r="K90" s="11"/>
    </row>
    <row r="91" spans="5:11">
      <c r="E91" s="11"/>
      <c r="G91" s="12"/>
      <c r="H91" s="13"/>
      <c r="J91" s="11"/>
      <c r="K91" s="11"/>
    </row>
    <row r="92" spans="5:11">
      <c r="E92" s="11"/>
      <c r="G92" s="12"/>
      <c r="H92" s="13"/>
      <c r="J92" s="11"/>
      <c r="K92" s="11"/>
    </row>
    <row r="93" spans="5:11">
      <c r="E93" s="11"/>
      <c r="G93" s="12"/>
      <c r="H93" s="13"/>
      <c r="J93" s="11"/>
      <c r="K93" s="11"/>
    </row>
    <row r="94" spans="5:11">
      <c r="E94" s="11"/>
      <c r="G94" s="12"/>
      <c r="H94" s="13"/>
      <c r="J94" s="11"/>
      <c r="K94" s="11"/>
    </row>
    <row r="95" spans="5:11">
      <c r="E95" s="11"/>
      <c r="G95" s="12"/>
      <c r="H95" s="13"/>
      <c r="J95" s="11"/>
      <c r="K95" s="11"/>
    </row>
    <row r="96" spans="5:11">
      <c r="E96" s="11"/>
      <c r="G96" s="12"/>
      <c r="H96" s="13"/>
      <c r="J96" s="11"/>
      <c r="K96" s="11"/>
    </row>
    <row r="97" spans="5:11">
      <c r="E97" s="11"/>
      <c r="G97" s="12"/>
      <c r="H97" s="13"/>
      <c r="J97" s="11"/>
      <c r="K97" s="11"/>
    </row>
    <row r="98" spans="5:11">
      <c r="E98" s="11"/>
      <c r="G98" s="12"/>
      <c r="H98" s="13"/>
      <c r="J98" s="11"/>
      <c r="K98" s="11"/>
    </row>
    <row r="99" spans="5:11">
      <c r="E99" s="11"/>
      <c r="G99" s="12"/>
      <c r="H99" s="13"/>
      <c r="J99" s="11"/>
      <c r="K99" s="11"/>
    </row>
    <row r="100" spans="5:11">
      <c r="E100" s="11"/>
      <c r="G100" s="12"/>
      <c r="H100" s="13"/>
      <c r="J100" s="11"/>
      <c r="K100" s="11"/>
    </row>
    <row r="101" spans="5:11">
      <c r="E101" s="11"/>
      <c r="G101" s="12"/>
      <c r="H101" s="13"/>
      <c r="J101" s="11"/>
      <c r="K101" s="11"/>
    </row>
    <row r="102" spans="5:11">
      <c r="E102" s="11"/>
      <c r="G102" s="12"/>
      <c r="H102" s="13"/>
      <c r="J102" s="11"/>
      <c r="K102" s="11"/>
    </row>
    <row r="103" spans="5:11">
      <c r="E103" s="11"/>
      <c r="G103" s="12"/>
      <c r="H103" s="13"/>
      <c r="J103" s="11"/>
      <c r="K103" s="11"/>
    </row>
    <row r="104" spans="5:11">
      <c r="E104" s="11"/>
      <c r="G104" s="12"/>
      <c r="H104" s="13"/>
      <c r="J104" s="11"/>
      <c r="K104" s="11"/>
    </row>
    <row r="105" spans="5:11">
      <c r="E105" s="11"/>
      <c r="G105" s="12"/>
      <c r="H105" s="13"/>
      <c r="J105" s="11"/>
      <c r="K105" s="11"/>
    </row>
    <row r="106" spans="5:11">
      <c r="E106" s="11"/>
      <c r="G106" s="12"/>
      <c r="H106" s="13"/>
      <c r="J106" s="11"/>
      <c r="K106" s="11"/>
    </row>
    <row r="107" spans="5:11">
      <c r="E107" s="11"/>
      <c r="G107" s="12"/>
      <c r="H107" s="13"/>
      <c r="J107" s="11"/>
      <c r="K107" s="11"/>
    </row>
    <row r="108" spans="5:11">
      <c r="E108" s="11"/>
      <c r="G108" s="12"/>
      <c r="H108" s="13"/>
      <c r="J108" s="11"/>
      <c r="K108" s="11"/>
    </row>
    <row r="109" spans="5:11">
      <c r="E109" s="11"/>
      <c r="G109" s="12"/>
      <c r="H109" s="13"/>
      <c r="J109" s="11"/>
      <c r="K109" s="11"/>
    </row>
    <row r="110" spans="5:11">
      <c r="E110" s="11"/>
      <c r="G110" s="12"/>
      <c r="H110" s="13"/>
      <c r="J110" s="11"/>
      <c r="K110" s="11"/>
    </row>
    <row r="111" spans="5:11">
      <c r="E111" s="11"/>
      <c r="G111" s="12"/>
      <c r="H111" s="13"/>
      <c r="J111" s="11"/>
      <c r="K111" s="11"/>
    </row>
    <row r="112" spans="5:11">
      <c r="E112" s="11"/>
      <c r="G112" s="12"/>
      <c r="H112" s="13"/>
      <c r="J112" s="11"/>
      <c r="K112" s="11"/>
    </row>
    <row r="113" spans="5:11">
      <c r="E113" s="11"/>
      <c r="G113" s="12"/>
      <c r="H113" s="13"/>
      <c r="J113" s="11"/>
      <c r="K113" s="11"/>
    </row>
    <row r="114" spans="5:11">
      <c r="E114" s="11"/>
      <c r="G114" s="12"/>
      <c r="H114" s="13"/>
      <c r="J114" s="11"/>
      <c r="K114" s="11"/>
    </row>
    <row r="115" spans="5:11">
      <c r="E115" s="11"/>
      <c r="G115" s="12"/>
      <c r="H115" s="13"/>
      <c r="J115" s="11"/>
      <c r="K115" s="11"/>
    </row>
    <row r="116" spans="5:11">
      <c r="E116" s="11"/>
      <c r="G116" s="12"/>
      <c r="H116" s="13"/>
      <c r="J116" s="11"/>
      <c r="K116" s="11"/>
    </row>
    <row r="117" spans="5:11">
      <c r="E117" s="11"/>
      <c r="G117" s="12"/>
      <c r="H117" s="13"/>
      <c r="J117" s="11"/>
      <c r="K117" s="11"/>
    </row>
    <row r="118" spans="5:11">
      <c r="E118" s="11"/>
      <c r="G118" s="12"/>
      <c r="H118" s="13"/>
      <c r="J118" s="11"/>
      <c r="K118" s="11"/>
    </row>
    <row r="119" spans="5:11">
      <c r="E119" s="11"/>
      <c r="G119" s="12"/>
      <c r="H119" s="13"/>
      <c r="J119" s="11"/>
      <c r="K119" s="11"/>
    </row>
    <row r="120" spans="5:11">
      <c r="E120" s="11"/>
      <c r="G120" s="12"/>
      <c r="H120" s="13"/>
      <c r="J120" s="11"/>
      <c r="K120" s="11"/>
    </row>
    <row r="121" spans="5:11">
      <c r="E121" s="11"/>
      <c r="G121" s="12"/>
      <c r="H121" s="13"/>
      <c r="J121" s="11"/>
      <c r="K121" s="11"/>
    </row>
    <row r="122" spans="5:11">
      <c r="E122" s="11"/>
      <c r="G122" s="12"/>
      <c r="H122" s="13"/>
      <c r="J122" s="11"/>
      <c r="K122" s="11"/>
    </row>
    <row r="123" spans="5:11">
      <c r="E123" s="11"/>
      <c r="G123" s="12"/>
      <c r="H123" s="13"/>
      <c r="J123" s="11"/>
      <c r="K123" s="11"/>
    </row>
    <row r="124" spans="5:11">
      <c r="E124" s="11"/>
      <c r="G124" s="12"/>
      <c r="H124" s="13"/>
      <c r="J124" s="11"/>
      <c r="K124" s="11"/>
    </row>
    <row r="125" spans="5:11">
      <c r="E125" s="11"/>
      <c r="G125" s="12"/>
      <c r="H125" s="13"/>
      <c r="J125" s="11"/>
      <c r="K125" s="11"/>
    </row>
    <row r="126" spans="5:11">
      <c r="E126" s="11"/>
      <c r="G126" s="12"/>
      <c r="H126" s="13"/>
      <c r="J126" s="11"/>
      <c r="K126" s="11"/>
    </row>
    <row r="127" spans="5:11">
      <c r="E127" s="11"/>
      <c r="G127" s="12"/>
      <c r="H127" s="13"/>
      <c r="J127" s="11"/>
      <c r="K127" s="11"/>
    </row>
    <row r="128" spans="5:11">
      <c r="E128" s="11"/>
      <c r="G128" s="12"/>
      <c r="H128" s="13"/>
      <c r="J128" s="11"/>
      <c r="K128" s="11"/>
    </row>
    <row r="129" spans="5:11">
      <c r="E129" s="11"/>
      <c r="G129" s="12"/>
      <c r="H129" s="13"/>
      <c r="J129" s="11"/>
      <c r="K129" s="11"/>
    </row>
    <row r="130" spans="5:11">
      <c r="E130" s="11"/>
      <c r="G130" s="12"/>
      <c r="H130" s="13"/>
      <c r="J130" s="11"/>
      <c r="K130" s="11"/>
    </row>
    <row r="131" spans="5:11">
      <c r="E131" s="11"/>
      <c r="G131" s="12"/>
      <c r="H131" s="13"/>
      <c r="J131" s="11"/>
      <c r="K131" s="11"/>
    </row>
    <row r="132" spans="5:11">
      <c r="E132" s="11"/>
      <c r="G132" s="12"/>
      <c r="H132" s="13"/>
      <c r="J132" s="11"/>
      <c r="K132" s="11"/>
    </row>
    <row r="133" spans="5:11">
      <c r="E133" s="11"/>
      <c r="G133" s="12"/>
      <c r="H133" s="13"/>
      <c r="J133" s="11"/>
      <c r="K133" s="11"/>
    </row>
    <row r="134" spans="5:11">
      <c r="E134" s="11"/>
      <c r="G134" s="12"/>
      <c r="H134" s="13"/>
      <c r="J134" s="11"/>
      <c r="K134" s="11"/>
    </row>
    <row r="135" spans="5:11">
      <c r="E135" s="11"/>
      <c r="G135" s="12"/>
      <c r="H135" s="13"/>
      <c r="J135" s="11"/>
      <c r="K135" s="11"/>
    </row>
    <row r="136" spans="5:11">
      <c r="E136" s="11"/>
      <c r="G136" s="12"/>
      <c r="H136" s="13"/>
      <c r="J136" s="11"/>
      <c r="K136" s="11"/>
    </row>
    <row r="137" spans="5:11">
      <c r="E137" s="11"/>
      <c r="G137" s="12"/>
      <c r="H137" s="13"/>
      <c r="J137" s="11"/>
      <c r="K137" s="11"/>
    </row>
    <row r="138" spans="5:11">
      <c r="E138" s="11"/>
      <c r="G138" s="12"/>
      <c r="H138" s="13"/>
      <c r="J138" s="11"/>
      <c r="K138" s="11"/>
    </row>
    <row r="139" spans="5:11">
      <c r="E139" s="11"/>
      <c r="G139" s="12"/>
      <c r="H139" s="13"/>
      <c r="J139" s="11"/>
      <c r="K139" s="11"/>
    </row>
    <row r="140" spans="5:11">
      <c r="E140" s="11"/>
      <c r="G140" s="12"/>
      <c r="H140" s="13"/>
      <c r="J140" s="11"/>
      <c r="K140" s="11"/>
    </row>
    <row r="141" spans="5:11">
      <c r="E141" s="11"/>
      <c r="G141" s="12"/>
      <c r="H141" s="13"/>
      <c r="J141" s="11"/>
      <c r="K141" s="11"/>
    </row>
    <row r="142" spans="5:11">
      <c r="E142" s="11"/>
      <c r="G142" s="12"/>
      <c r="H142" s="13"/>
      <c r="J142" s="11"/>
      <c r="K142" s="11"/>
    </row>
    <row r="143" spans="5:11">
      <c r="E143" s="11"/>
      <c r="G143" s="12"/>
      <c r="H143" s="13"/>
      <c r="J143" s="11"/>
      <c r="K143" s="11"/>
    </row>
    <row r="144" spans="5:11">
      <c r="E144" s="11"/>
      <c r="G144" s="12"/>
      <c r="H144" s="13"/>
      <c r="J144" s="11"/>
      <c r="K144" s="11"/>
    </row>
    <row r="145" spans="5:11">
      <c r="E145" s="11"/>
      <c r="G145" s="12"/>
      <c r="H145" s="13"/>
      <c r="J145" s="11"/>
      <c r="K145" s="11"/>
    </row>
    <row r="146" spans="5:11">
      <c r="E146" s="11"/>
      <c r="G146" s="12"/>
      <c r="H146" s="13"/>
      <c r="J146" s="11"/>
      <c r="K146" s="11"/>
    </row>
    <row r="147" spans="5:11">
      <c r="E147" s="11"/>
      <c r="G147" s="12"/>
      <c r="H147" s="13"/>
      <c r="J147" s="11"/>
      <c r="K147" s="11"/>
    </row>
    <row r="148" spans="5:11">
      <c r="E148" s="11"/>
      <c r="G148" s="12"/>
      <c r="H148" s="13"/>
      <c r="J148" s="11"/>
      <c r="K148" s="11"/>
    </row>
    <row r="149" spans="5:11">
      <c r="E149" s="11"/>
      <c r="G149" s="12"/>
      <c r="H149" s="13"/>
      <c r="J149" s="11"/>
      <c r="K149" s="11"/>
    </row>
    <row r="150" spans="5:11">
      <c r="E150" s="11"/>
      <c r="G150" s="12"/>
      <c r="H150" s="13"/>
      <c r="J150" s="11"/>
      <c r="K150" s="11"/>
    </row>
    <row r="151" spans="5:11">
      <c r="E151" s="11"/>
      <c r="G151" s="12"/>
      <c r="H151" s="13"/>
      <c r="J151" s="11"/>
      <c r="K151" s="11"/>
    </row>
    <row r="152" spans="5:11">
      <c r="E152" s="11"/>
      <c r="G152" s="12"/>
      <c r="H152" s="13"/>
      <c r="J152" s="11"/>
      <c r="K152" s="11"/>
    </row>
    <row r="153" spans="5:11">
      <c r="E153" s="11"/>
      <c r="G153" s="12"/>
      <c r="H153" s="13"/>
      <c r="J153" s="11"/>
      <c r="K153" s="11"/>
    </row>
    <row r="154" spans="5:11">
      <c r="E154" s="11"/>
      <c r="G154" s="12"/>
      <c r="H154" s="13"/>
      <c r="J154" s="11"/>
      <c r="K154" s="11"/>
    </row>
    <row r="155" spans="5:11">
      <c r="E155" s="11"/>
      <c r="G155" s="12"/>
      <c r="H155" s="13"/>
      <c r="J155" s="11"/>
      <c r="K155" s="11"/>
    </row>
    <row r="156" spans="5:11">
      <c r="E156" s="11"/>
      <c r="G156" s="12"/>
      <c r="H156" s="13"/>
      <c r="J156" s="11"/>
      <c r="K156" s="11"/>
    </row>
    <row r="157" spans="5:11">
      <c r="E157" s="11"/>
      <c r="G157" s="12"/>
      <c r="H157" s="13"/>
      <c r="J157" s="11"/>
      <c r="K157" s="11"/>
    </row>
    <row r="158" spans="5:11">
      <c r="E158" s="11"/>
      <c r="G158" s="12"/>
      <c r="H158" s="13"/>
      <c r="J158" s="11"/>
      <c r="K158" s="11"/>
    </row>
    <row r="159" spans="5:11">
      <c r="E159" s="11"/>
      <c r="G159" s="12"/>
      <c r="H159" s="13"/>
      <c r="J159" s="11"/>
      <c r="K159" s="11"/>
    </row>
    <row r="160" spans="5:11">
      <c r="E160" s="11"/>
      <c r="G160" s="12"/>
      <c r="H160" s="13"/>
      <c r="J160" s="11"/>
      <c r="K160" s="11"/>
    </row>
    <row r="161" spans="5:11">
      <c r="E161" s="11"/>
      <c r="G161" s="12"/>
      <c r="H161" s="13"/>
      <c r="J161" s="11"/>
      <c r="K161" s="11"/>
    </row>
    <row r="162" spans="5:11">
      <c r="E162" s="11"/>
      <c r="G162" s="12"/>
      <c r="H162" s="13"/>
      <c r="J162" s="11"/>
      <c r="K162" s="11"/>
    </row>
    <row r="163" spans="5:11">
      <c r="E163" s="11"/>
      <c r="G163" s="12"/>
      <c r="H163" s="13"/>
      <c r="J163" s="11"/>
      <c r="K163" s="11"/>
    </row>
    <row r="164" spans="5:11">
      <c r="E164" s="11"/>
      <c r="G164" s="12"/>
      <c r="H164" s="13"/>
      <c r="J164" s="11"/>
      <c r="K164" s="11"/>
    </row>
    <row r="165" spans="5:11">
      <c r="E165" s="11"/>
      <c r="G165" s="12"/>
      <c r="H165" s="13"/>
      <c r="J165" s="11"/>
      <c r="K165" s="11"/>
    </row>
    <row r="166" spans="5:11">
      <c r="E166" s="11"/>
      <c r="G166" s="12"/>
      <c r="H166" s="13"/>
      <c r="J166" s="11"/>
      <c r="K166" s="11"/>
    </row>
    <row r="167" spans="5:11">
      <c r="E167" s="11"/>
      <c r="G167" s="12"/>
      <c r="H167" s="13"/>
      <c r="J167" s="11"/>
      <c r="K167" s="11"/>
    </row>
    <row r="168" spans="5:11">
      <c r="E168" s="11"/>
      <c r="G168" s="12"/>
      <c r="H168" s="13"/>
      <c r="J168" s="11"/>
      <c r="K168" s="11"/>
    </row>
    <row r="169" spans="5:11">
      <c r="E169" s="11"/>
      <c r="G169" s="12"/>
      <c r="H169" s="13"/>
      <c r="J169" s="11"/>
      <c r="K169" s="11"/>
    </row>
    <row r="170" spans="5:11">
      <c r="E170" s="11"/>
      <c r="G170" s="12"/>
      <c r="H170" s="13"/>
      <c r="J170" s="11"/>
      <c r="K170" s="11"/>
    </row>
    <row r="171" spans="5:11">
      <c r="E171" s="11"/>
      <c r="G171" s="12"/>
      <c r="H171" s="13"/>
      <c r="J171" s="11"/>
      <c r="K171" s="11"/>
    </row>
    <row r="172" spans="5:11">
      <c r="E172" s="11"/>
      <c r="G172" s="12"/>
      <c r="H172" s="13"/>
      <c r="J172" s="11"/>
      <c r="K172" s="11"/>
    </row>
    <row r="173" spans="5:11">
      <c r="E173" s="11"/>
      <c r="G173" s="12"/>
      <c r="H173" s="13"/>
      <c r="J173" s="11"/>
      <c r="K173" s="11"/>
    </row>
    <row r="174" spans="5:11">
      <c r="E174" s="11"/>
      <c r="G174" s="12"/>
      <c r="H174" s="13"/>
      <c r="J174" s="11"/>
      <c r="K174" s="11"/>
    </row>
    <row r="175" spans="5:11">
      <c r="E175" s="11"/>
      <c r="G175" s="12"/>
      <c r="H175" s="13"/>
      <c r="J175" s="11"/>
      <c r="K175" s="11"/>
    </row>
    <row r="176" spans="5:11">
      <c r="E176" s="11"/>
      <c r="G176" s="12"/>
      <c r="H176" s="13"/>
      <c r="J176" s="11"/>
      <c r="K176" s="11"/>
    </row>
    <row r="177" spans="5:11">
      <c r="E177" s="11"/>
      <c r="G177" s="12"/>
      <c r="H177" s="13"/>
      <c r="J177" s="11"/>
      <c r="K177" s="11"/>
    </row>
    <row r="178" spans="5:11">
      <c r="E178" s="11"/>
      <c r="G178" s="12"/>
      <c r="H178" s="13"/>
      <c r="J178" s="11"/>
      <c r="K178" s="11"/>
    </row>
    <row r="179" spans="5:11">
      <c r="E179" s="11"/>
      <c r="G179" s="12"/>
      <c r="H179" s="13"/>
      <c r="J179" s="11"/>
      <c r="K179" s="11"/>
    </row>
    <row r="180" spans="5:11">
      <c r="E180" s="11"/>
      <c r="G180" s="12"/>
      <c r="H180" s="13"/>
      <c r="J180" s="11"/>
      <c r="K180" s="11"/>
    </row>
    <row r="181" spans="5:11">
      <c r="E181" s="11"/>
      <c r="G181" s="12"/>
      <c r="H181" s="13"/>
      <c r="J181" s="11"/>
      <c r="K181" s="11"/>
    </row>
    <row r="182" spans="5:11">
      <c r="E182" s="11"/>
      <c r="G182" s="12"/>
      <c r="H182" s="13"/>
      <c r="J182" s="11"/>
      <c r="K182" s="11"/>
    </row>
    <row r="183" spans="5:11">
      <c r="E183" s="11"/>
      <c r="G183" s="12"/>
      <c r="H183" s="13"/>
      <c r="J183" s="11"/>
      <c r="K183" s="11"/>
    </row>
    <row r="184" spans="5:11">
      <c r="E184" s="11"/>
      <c r="G184" s="12"/>
      <c r="H184" s="13"/>
      <c r="J184" s="11"/>
      <c r="K184" s="11"/>
    </row>
    <row r="185" spans="5:11">
      <c r="E185" s="11"/>
      <c r="G185" s="12"/>
      <c r="H185" s="13"/>
      <c r="J185" s="11"/>
      <c r="K185" s="11"/>
    </row>
    <row r="186" spans="5:11">
      <c r="E186" s="11"/>
      <c r="G186" s="12"/>
      <c r="H186" s="13"/>
      <c r="J186" s="11"/>
      <c r="K186" s="11"/>
    </row>
    <row r="187" spans="5:11">
      <c r="E187" s="11"/>
      <c r="G187" s="12"/>
      <c r="H187" s="13"/>
      <c r="J187" s="11"/>
      <c r="K187" s="11"/>
    </row>
    <row r="188" spans="5:11">
      <c r="E188" s="11"/>
      <c r="G188" s="12"/>
      <c r="H188" s="13"/>
      <c r="J188" s="11"/>
      <c r="K188" s="11"/>
    </row>
    <row r="189" spans="5:11">
      <c r="E189" s="11"/>
      <c r="G189" s="12"/>
      <c r="H189" s="13"/>
      <c r="J189" s="11"/>
      <c r="K189" s="11"/>
    </row>
    <row r="190" spans="5:11">
      <c r="E190" s="11"/>
      <c r="G190" s="12"/>
      <c r="H190" s="13"/>
      <c r="J190" s="11"/>
      <c r="K190" s="11"/>
    </row>
    <row r="191" spans="5:11">
      <c r="E191" s="11"/>
      <c r="G191" s="12"/>
      <c r="H191" s="13"/>
      <c r="J191" s="11"/>
      <c r="K191" s="11"/>
    </row>
    <row r="192" spans="5:11">
      <c r="E192" s="11"/>
      <c r="G192" s="12"/>
      <c r="H192" s="13"/>
      <c r="J192" s="11"/>
      <c r="K192" s="11"/>
    </row>
    <row r="193" spans="5:11">
      <c r="E193" s="11"/>
      <c r="G193" s="12"/>
      <c r="H193" s="13"/>
      <c r="J193" s="11"/>
      <c r="K193" s="11"/>
    </row>
    <row r="194" spans="5:11">
      <c r="E194" s="11"/>
      <c r="G194" s="12"/>
      <c r="H194" s="13"/>
      <c r="J194" s="11"/>
      <c r="K194" s="11"/>
    </row>
    <row r="195" spans="5:11">
      <c r="E195" s="11"/>
      <c r="G195" s="12"/>
      <c r="H195" s="13"/>
      <c r="J195" s="11"/>
      <c r="K195" s="11"/>
    </row>
    <row r="196" spans="5:11">
      <c r="E196" s="11"/>
      <c r="G196" s="12"/>
      <c r="H196" s="13"/>
      <c r="J196" s="11"/>
      <c r="K196" s="11"/>
    </row>
    <row r="197" spans="5:11">
      <c r="E197" s="11"/>
      <c r="G197" s="12"/>
      <c r="H197" s="13"/>
      <c r="J197" s="11"/>
      <c r="K197" s="11"/>
    </row>
    <row r="198" spans="5:11">
      <c r="E198" s="11"/>
      <c r="G198" s="12"/>
      <c r="H198" s="13"/>
      <c r="J198" s="11"/>
      <c r="K198" s="11"/>
    </row>
    <row r="199" spans="5:11">
      <c r="E199" s="11"/>
      <c r="G199" s="12"/>
      <c r="H199" s="13"/>
      <c r="J199" s="11"/>
      <c r="K199" s="11"/>
    </row>
    <row r="200" spans="5:11">
      <c r="E200" s="11"/>
      <c r="G200" s="12"/>
      <c r="H200" s="13"/>
      <c r="J200" s="11"/>
      <c r="K200" s="11"/>
    </row>
    <row r="201" spans="5:11">
      <c r="E201" s="11"/>
      <c r="G201" s="12"/>
      <c r="H201" s="13"/>
      <c r="J201" s="11"/>
      <c r="K201" s="11"/>
    </row>
    <row r="202" spans="5:11">
      <c r="E202" s="11"/>
      <c r="G202" s="12"/>
      <c r="H202" s="13"/>
      <c r="J202" s="11"/>
      <c r="K202" s="11"/>
    </row>
    <row r="203" spans="5:11">
      <c r="E203" s="11"/>
      <c r="G203" s="12"/>
      <c r="H203" s="13"/>
      <c r="J203" s="11"/>
      <c r="K203" s="11"/>
    </row>
    <row r="204" spans="5:11">
      <c r="E204" s="11"/>
      <c r="G204" s="12"/>
      <c r="H204" s="13"/>
      <c r="J204" s="11"/>
      <c r="K204" s="11"/>
    </row>
    <row r="205" spans="5:11">
      <c r="E205" s="11"/>
      <c r="G205" s="12"/>
      <c r="H205" s="13"/>
      <c r="J205" s="11"/>
      <c r="K205" s="11"/>
    </row>
    <row r="206" spans="5:11">
      <c r="E206" s="11"/>
      <c r="G206" s="12"/>
      <c r="H206" s="13"/>
      <c r="J206" s="11"/>
      <c r="K206" s="11"/>
    </row>
    <row r="207" spans="5:11">
      <c r="E207" s="11"/>
      <c r="G207" s="12"/>
      <c r="H207" s="13"/>
      <c r="J207" s="11"/>
      <c r="K207" s="11"/>
    </row>
    <row r="208" spans="5:11">
      <c r="E208" s="11"/>
      <c r="G208" s="12"/>
      <c r="H208" s="13"/>
      <c r="J208" s="11"/>
      <c r="K208" s="11"/>
    </row>
    <row r="209" spans="5:11">
      <c r="E209" s="11"/>
      <c r="G209" s="12"/>
      <c r="H209" s="13"/>
      <c r="J209" s="11"/>
      <c r="K209" s="11"/>
    </row>
    <row r="210" spans="5:11">
      <c r="E210" s="11"/>
      <c r="G210" s="12"/>
      <c r="H210" s="13"/>
      <c r="J210" s="11"/>
      <c r="K210" s="11"/>
    </row>
    <row r="211" spans="5:11">
      <c r="E211" s="11"/>
      <c r="G211" s="12"/>
      <c r="H211" s="13"/>
      <c r="J211" s="11"/>
      <c r="K211" s="11"/>
    </row>
    <row r="212" spans="5:11">
      <c r="E212" s="11"/>
      <c r="G212" s="12"/>
      <c r="H212" s="13"/>
      <c r="J212" s="11"/>
      <c r="K212" s="11"/>
    </row>
    <row r="213" spans="5:11">
      <c r="E213" s="11"/>
      <c r="G213" s="12"/>
      <c r="H213" s="13"/>
      <c r="J213" s="11"/>
      <c r="K213" s="11"/>
    </row>
    <row r="214" spans="5:11">
      <c r="E214" s="11"/>
      <c r="G214" s="12"/>
      <c r="H214" s="13"/>
      <c r="J214" s="11"/>
      <c r="K214" s="11"/>
    </row>
    <row r="215" spans="5:11">
      <c r="E215" s="11"/>
      <c r="G215" s="12"/>
      <c r="H215" s="13"/>
      <c r="J215" s="11"/>
      <c r="K215" s="11"/>
    </row>
    <row r="216" spans="5:11">
      <c r="E216" s="11"/>
      <c r="G216" s="12"/>
      <c r="H216" s="13"/>
      <c r="J216" s="11"/>
      <c r="K216" s="11"/>
    </row>
    <row r="217" spans="5:11">
      <c r="E217" s="11"/>
      <c r="G217" s="12"/>
      <c r="H217" s="13"/>
      <c r="J217" s="11"/>
      <c r="K217" s="11"/>
    </row>
    <row r="218" spans="5:11">
      <c r="E218" s="11"/>
      <c r="G218" s="12"/>
      <c r="H218" s="13"/>
      <c r="J218" s="11"/>
      <c r="K218" s="11"/>
    </row>
    <row r="219" spans="5:11">
      <c r="E219" s="11"/>
      <c r="G219" s="12"/>
      <c r="H219" s="13"/>
      <c r="J219" s="11"/>
      <c r="K219" s="11"/>
    </row>
    <row r="220" spans="5:11">
      <c r="E220" s="11"/>
      <c r="G220" s="12"/>
      <c r="H220" s="13"/>
      <c r="J220" s="11"/>
      <c r="K220" s="11"/>
    </row>
    <row r="221" spans="5:11">
      <c r="E221" s="11"/>
      <c r="G221" s="12"/>
      <c r="H221" s="13"/>
      <c r="J221" s="11"/>
      <c r="K221" s="11"/>
    </row>
    <row r="222" spans="5:11">
      <c r="E222" s="11"/>
      <c r="G222" s="12"/>
      <c r="H222" s="13"/>
      <c r="J222" s="11"/>
      <c r="K222" s="11"/>
    </row>
    <row r="223" spans="5:11">
      <c r="E223" s="11"/>
      <c r="G223" s="12"/>
      <c r="H223" s="13"/>
      <c r="J223" s="11"/>
      <c r="K223" s="11"/>
    </row>
    <row r="224" spans="5:11">
      <c r="E224" s="11"/>
      <c r="G224" s="12"/>
      <c r="H224" s="13"/>
      <c r="J224" s="11"/>
      <c r="K224" s="11"/>
    </row>
    <row r="225" spans="5:11">
      <c r="E225" s="11"/>
      <c r="G225" s="12"/>
      <c r="H225" s="13"/>
      <c r="J225" s="11"/>
      <c r="K225" s="11"/>
    </row>
    <row r="226" spans="5:11">
      <c r="E226" s="11"/>
      <c r="G226" s="12"/>
      <c r="H226" s="13"/>
      <c r="J226" s="11"/>
      <c r="K226" s="11"/>
    </row>
    <row r="227" spans="5:11">
      <c r="E227" s="11"/>
      <c r="G227" s="12"/>
      <c r="H227" s="13"/>
      <c r="J227" s="11"/>
      <c r="K227" s="11"/>
    </row>
    <row r="228" spans="5:11">
      <c r="E228" s="11"/>
      <c r="G228" s="12"/>
      <c r="H228" s="13"/>
      <c r="J228" s="11"/>
      <c r="K228" s="11"/>
    </row>
    <row r="229" spans="5:11">
      <c r="E229" s="11"/>
      <c r="G229" s="12"/>
      <c r="H229" s="13"/>
      <c r="J229" s="11"/>
      <c r="K229" s="11"/>
    </row>
    <row r="230" spans="5:11">
      <c r="E230" s="11"/>
      <c r="G230" s="12"/>
      <c r="H230" s="13"/>
      <c r="J230" s="11"/>
      <c r="K230" s="11"/>
    </row>
    <row r="231" spans="5:11">
      <c r="E231" s="11"/>
      <c r="G231" s="12"/>
      <c r="H231" s="13"/>
      <c r="J231" s="11"/>
      <c r="K231" s="11"/>
    </row>
    <row r="232" spans="5:11">
      <c r="E232" s="11"/>
      <c r="G232" s="12"/>
      <c r="H232" s="13"/>
      <c r="J232" s="11"/>
      <c r="K232" s="11"/>
    </row>
    <row r="233" spans="5:11">
      <c r="E233" s="11"/>
      <c r="G233" s="12"/>
      <c r="H233" s="13"/>
      <c r="J233" s="11"/>
      <c r="K233" s="11"/>
    </row>
    <row r="234" spans="5:11">
      <c r="E234" s="11"/>
      <c r="G234" s="12"/>
      <c r="H234" s="13"/>
      <c r="J234" s="11"/>
      <c r="K234" s="11"/>
    </row>
    <row r="235" spans="5:11">
      <c r="E235" s="11"/>
      <c r="G235" s="12"/>
      <c r="H235" s="13"/>
      <c r="J235" s="11"/>
      <c r="K235" s="11"/>
    </row>
    <row r="236" spans="5:11">
      <c r="E236" s="11"/>
      <c r="G236" s="12"/>
      <c r="H236" s="13"/>
      <c r="J236" s="11"/>
      <c r="K236" s="11"/>
    </row>
    <row r="237" spans="5:11">
      <c r="E237" s="11"/>
      <c r="G237" s="12"/>
      <c r="H237" s="13"/>
      <c r="J237" s="11"/>
      <c r="K237" s="11"/>
    </row>
    <row r="238" spans="5:11">
      <c r="E238" s="11"/>
      <c r="G238" s="12"/>
      <c r="H238" s="13"/>
      <c r="J238" s="11"/>
      <c r="K238" s="11"/>
    </row>
    <row r="239" spans="5:11">
      <c r="E239" s="11"/>
      <c r="G239" s="12"/>
      <c r="H239" s="13"/>
      <c r="J239" s="11"/>
      <c r="K239" s="11"/>
    </row>
    <row r="240" spans="5:11">
      <c r="E240" s="11"/>
      <c r="G240" s="12"/>
      <c r="H240" s="13"/>
      <c r="J240" s="11"/>
      <c r="K240" s="11"/>
    </row>
    <row r="241" spans="5:11">
      <c r="E241" s="11"/>
      <c r="G241" s="12"/>
      <c r="H241" s="13"/>
      <c r="J241" s="11"/>
      <c r="K241" s="11"/>
    </row>
    <row r="242" spans="5:11">
      <c r="E242" s="11"/>
      <c r="G242" s="12"/>
      <c r="H242" s="13"/>
      <c r="J242" s="11"/>
      <c r="K242" s="11"/>
    </row>
    <row r="243" spans="5:11">
      <c r="E243" s="11"/>
      <c r="G243" s="12"/>
      <c r="H243" s="13"/>
      <c r="J243" s="11"/>
      <c r="K243" s="11"/>
    </row>
    <row r="244" spans="5:11">
      <c r="E244" s="11"/>
      <c r="G244" s="12"/>
      <c r="H244" s="13"/>
      <c r="J244" s="11"/>
      <c r="K244" s="11"/>
    </row>
    <row r="245" spans="5:11">
      <c r="E245" s="11"/>
      <c r="G245" s="12"/>
      <c r="H245" s="13"/>
      <c r="J245" s="11"/>
      <c r="K245" s="11"/>
    </row>
    <row r="246" spans="5:11">
      <c r="E246" s="11"/>
      <c r="G246" s="12"/>
      <c r="H246" s="13"/>
      <c r="J246" s="11"/>
      <c r="K246" s="11"/>
    </row>
    <row r="247" spans="5:11">
      <c r="E247" s="11"/>
      <c r="G247" s="12"/>
      <c r="H247" s="13"/>
      <c r="J247" s="11"/>
      <c r="K247" s="11"/>
    </row>
    <row r="248" spans="5:11">
      <c r="E248" s="11"/>
      <c r="G248" s="12"/>
      <c r="H248" s="13"/>
      <c r="J248" s="11"/>
      <c r="K248" s="11"/>
    </row>
    <row r="249" spans="5:11">
      <c r="E249" s="11"/>
      <c r="G249" s="12"/>
      <c r="H249" s="13"/>
      <c r="J249" s="11"/>
      <c r="K249" s="11"/>
    </row>
    <row r="250" spans="5:11">
      <c r="E250" s="11"/>
      <c r="G250" s="12"/>
      <c r="H250" s="13"/>
      <c r="J250" s="11"/>
      <c r="K250" s="11"/>
    </row>
    <row r="251" spans="5:11">
      <c r="E251" s="11"/>
      <c r="G251" s="12"/>
      <c r="H251" s="13"/>
      <c r="J251" s="11"/>
      <c r="K251" s="11"/>
    </row>
    <row r="252" spans="5:11">
      <c r="E252" s="11"/>
      <c r="G252" s="12"/>
      <c r="H252" s="13"/>
      <c r="J252" s="11"/>
      <c r="K252" s="11"/>
    </row>
    <row r="253" spans="5:11">
      <c r="E253" s="11"/>
      <c r="G253" s="12"/>
      <c r="H253" s="13"/>
      <c r="J253" s="11"/>
      <c r="K253" s="11"/>
    </row>
    <row r="254" spans="5:11">
      <c r="E254" s="11"/>
      <c r="G254" s="12"/>
      <c r="H254" s="13"/>
      <c r="J254" s="11"/>
      <c r="K254" s="11"/>
    </row>
    <row r="255" spans="5:11">
      <c r="E255" s="11"/>
      <c r="G255" s="12"/>
      <c r="H255" s="13"/>
      <c r="J255" s="11"/>
      <c r="K255" s="11"/>
    </row>
    <row r="256" spans="5:11">
      <c r="E256" s="11"/>
      <c r="G256" s="12"/>
      <c r="H256" s="13"/>
      <c r="J256" s="11"/>
      <c r="K256" s="11"/>
    </row>
    <row r="257" spans="5:11">
      <c r="E257" s="11"/>
      <c r="G257" s="12"/>
      <c r="H257" s="13"/>
      <c r="J257" s="11"/>
      <c r="K257" s="11"/>
    </row>
    <row r="258" spans="5:11">
      <c r="E258" s="11"/>
      <c r="G258" s="12"/>
      <c r="H258" s="13"/>
      <c r="J258" s="11"/>
      <c r="K258" s="11"/>
    </row>
    <row r="259" spans="5:11">
      <c r="E259" s="11"/>
      <c r="G259" s="12"/>
      <c r="H259" s="13"/>
      <c r="J259" s="11"/>
      <c r="K259" s="11"/>
    </row>
    <row r="260" spans="5:11">
      <c r="E260" s="11"/>
      <c r="G260" s="12"/>
      <c r="H260" s="13"/>
      <c r="J260" s="11"/>
      <c r="K260" s="11"/>
    </row>
    <row r="261" spans="5:11">
      <c r="E261" s="11"/>
      <c r="G261" s="12"/>
      <c r="H261" s="13"/>
      <c r="J261" s="11"/>
      <c r="K261" s="11"/>
    </row>
    <row r="262" spans="5:11">
      <c r="E262" s="11"/>
      <c r="G262" s="12"/>
      <c r="H262" s="13"/>
      <c r="J262" s="11"/>
      <c r="K262" s="11"/>
    </row>
    <row r="263" spans="5:11">
      <c r="E263" s="11"/>
      <c r="G263" s="12"/>
      <c r="H263" s="13"/>
      <c r="J263" s="11"/>
      <c r="K263" s="11"/>
    </row>
    <row r="264" spans="5:11">
      <c r="E264" s="11"/>
      <c r="G264" s="12"/>
      <c r="H264" s="13"/>
      <c r="J264" s="11"/>
      <c r="K264" s="11"/>
    </row>
    <row r="265" spans="5:11">
      <c r="E265" s="11"/>
      <c r="G265" s="12"/>
      <c r="H265" s="13"/>
      <c r="J265" s="11"/>
      <c r="K265" s="11"/>
    </row>
    <row r="266" spans="5:11">
      <c r="E266" s="11"/>
      <c r="G266" s="12"/>
      <c r="H266" s="13"/>
      <c r="J266" s="11"/>
      <c r="K266" s="11"/>
    </row>
    <row r="267" spans="5:11">
      <c r="E267" s="11"/>
      <c r="G267" s="12"/>
      <c r="H267" s="13"/>
      <c r="J267" s="11"/>
      <c r="K267" s="11"/>
    </row>
    <row r="268" spans="5:11">
      <c r="E268" s="11"/>
      <c r="G268" s="12"/>
      <c r="H268" s="13"/>
      <c r="J268" s="11"/>
      <c r="K268" s="11"/>
    </row>
    <row r="269" spans="5:11">
      <c r="E269" s="11"/>
      <c r="G269" s="12"/>
      <c r="H269" s="13"/>
      <c r="J269" s="11"/>
      <c r="K269" s="11"/>
    </row>
    <row r="270" spans="5:11">
      <c r="E270" s="11"/>
      <c r="G270" s="12"/>
      <c r="H270" s="13"/>
      <c r="J270" s="11"/>
      <c r="K270" s="11"/>
    </row>
    <row r="271" spans="5:11">
      <c r="E271" s="11"/>
      <c r="G271" s="12"/>
      <c r="H271" s="13"/>
      <c r="J271" s="11"/>
      <c r="K271" s="11"/>
    </row>
    <row r="272" spans="5:11">
      <c r="E272" s="11"/>
      <c r="G272" s="12"/>
      <c r="H272" s="13"/>
      <c r="J272" s="11"/>
      <c r="K272" s="11"/>
    </row>
    <row r="273" spans="5:11">
      <c r="E273" s="11"/>
      <c r="G273" s="12"/>
      <c r="H273" s="13"/>
      <c r="J273" s="11"/>
      <c r="K273" s="11"/>
    </row>
    <row r="274" spans="5:11">
      <c r="E274" s="11"/>
      <c r="G274" s="12"/>
      <c r="H274" s="13"/>
      <c r="J274" s="11"/>
      <c r="K274" s="11"/>
    </row>
    <row r="275" spans="5:11">
      <c r="E275" s="11"/>
      <c r="G275" s="12"/>
      <c r="H275" s="13"/>
      <c r="J275" s="11"/>
      <c r="K275" s="11"/>
    </row>
    <row r="276" spans="5:11">
      <c r="E276" s="11"/>
      <c r="G276" s="12"/>
      <c r="H276" s="13"/>
      <c r="J276" s="11"/>
      <c r="K276" s="11"/>
    </row>
    <row r="277" spans="5:11">
      <c r="E277" s="11"/>
      <c r="G277" s="12"/>
      <c r="H277" s="13"/>
      <c r="J277" s="11"/>
      <c r="K277" s="11"/>
    </row>
    <row r="278" spans="5:11">
      <c r="E278" s="11"/>
      <c r="G278" s="12"/>
      <c r="H278" s="13"/>
      <c r="J278" s="11"/>
      <c r="K278" s="11"/>
    </row>
    <row r="279" spans="5:11">
      <c r="E279" s="11"/>
      <c r="G279" s="12"/>
      <c r="H279" s="13"/>
      <c r="J279" s="11"/>
      <c r="K279" s="11"/>
    </row>
    <row r="280" spans="5:11">
      <c r="E280" s="11"/>
      <c r="G280" s="12"/>
      <c r="H280" s="13"/>
      <c r="J280" s="11"/>
      <c r="K280" s="11"/>
    </row>
    <row r="281" spans="5:11">
      <c r="E281" s="11"/>
      <c r="G281" s="12"/>
      <c r="H281" s="13"/>
      <c r="J281" s="11"/>
      <c r="K281" s="11"/>
    </row>
    <row r="282" spans="5:11">
      <c r="E282" s="11"/>
      <c r="G282" s="12"/>
      <c r="H282" s="13"/>
      <c r="J282" s="11"/>
      <c r="K282" s="11"/>
    </row>
    <row r="283" spans="5:11">
      <c r="E283" s="11"/>
      <c r="G283" s="12"/>
      <c r="H283" s="13"/>
      <c r="J283" s="11"/>
      <c r="K283" s="11"/>
    </row>
    <row r="284" spans="5:11">
      <c r="E284" s="11"/>
      <c r="G284" s="12"/>
      <c r="H284" s="13"/>
      <c r="J284" s="11"/>
      <c r="K284" s="11"/>
    </row>
    <row r="285" spans="5:11">
      <c r="E285" s="11"/>
      <c r="G285" s="12"/>
      <c r="H285" s="13"/>
      <c r="J285" s="11"/>
      <c r="K285" s="11"/>
    </row>
    <row r="286" spans="5:11">
      <c r="E286" s="11"/>
      <c r="G286" s="12"/>
      <c r="H286" s="13"/>
      <c r="J286" s="11"/>
      <c r="K286" s="11"/>
    </row>
    <row r="287" spans="5:11">
      <c r="E287" s="11"/>
      <c r="G287" s="12"/>
      <c r="H287" s="13"/>
      <c r="J287" s="11"/>
      <c r="K287" s="11"/>
    </row>
    <row r="288" spans="5:11">
      <c r="E288" s="11"/>
      <c r="G288" s="12"/>
      <c r="H288" s="13"/>
      <c r="J288" s="11"/>
      <c r="K288" s="11"/>
    </row>
    <row r="289" spans="5:11">
      <c r="E289" s="11"/>
      <c r="G289" s="12"/>
      <c r="H289" s="13"/>
      <c r="J289" s="11"/>
      <c r="K289" s="11"/>
    </row>
    <row r="290" spans="5:11">
      <c r="E290" s="11"/>
      <c r="G290" s="12"/>
      <c r="H290" s="13"/>
      <c r="J290" s="11"/>
      <c r="K290" s="11"/>
    </row>
    <row r="291" spans="5:11">
      <c r="E291" s="11"/>
      <c r="G291" s="12"/>
      <c r="H291" s="13"/>
      <c r="J291" s="11"/>
      <c r="K291" s="11"/>
    </row>
    <row r="292" spans="5:11">
      <c r="E292" s="11"/>
      <c r="G292" s="12"/>
      <c r="H292" s="13"/>
      <c r="J292" s="11"/>
      <c r="K292" s="11"/>
    </row>
    <row r="293" spans="5:11">
      <c r="E293" s="11"/>
      <c r="G293" s="12"/>
      <c r="H293" s="13"/>
      <c r="J293" s="11"/>
      <c r="K293" s="11"/>
    </row>
    <row r="294" spans="5:11">
      <c r="E294" s="11"/>
      <c r="G294" s="12"/>
      <c r="H294" s="13"/>
      <c r="J294" s="11"/>
      <c r="K294" s="11"/>
    </row>
    <row r="295" spans="5:11">
      <c r="E295" s="11"/>
      <c r="G295" s="12"/>
      <c r="H295" s="13"/>
      <c r="J295" s="11"/>
      <c r="K295" s="11"/>
    </row>
    <row r="296" spans="5:11">
      <c r="E296" s="11"/>
      <c r="G296" s="12"/>
      <c r="H296" s="13"/>
      <c r="J296" s="11"/>
      <c r="K296" s="11"/>
    </row>
    <row r="297" spans="5:11">
      <c r="E297" s="11"/>
      <c r="G297" s="12"/>
      <c r="H297" s="13"/>
      <c r="J297" s="11"/>
      <c r="K297" s="11"/>
    </row>
    <row r="298" spans="5:11">
      <c r="E298" s="11"/>
      <c r="G298" s="12"/>
      <c r="H298" s="13"/>
      <c r="J298" s="11"/>
      <c r="K298" s="11"/>
    </row>
    <row r="299" spans="5:11">
      <c r="E299" s="11"/>
      <c r="G299" s="12"/>
      <c r="H299" s="13"/>
      <c r="J299" s="11"/>
      <c r="K299" s="11"/>
    </row>
    <row r="300" spans="5:11">
      <c r="E300" s="11"/>
      <c r="G300" s="12"/>
      <c r="H300" s="13"/>
      <c r="J300" s="11"/>
      <c r="K300" s="11"/>
    </row>
    <row r="301" spans="5:11">
      <c r="E301" s="11"/>
      <c r="G301" s="12"/>
      <c r="H301" s="13"/>
      <c r="J301" s="11"/>
      <c r="K301" s="11"/>
    </row>
    <row r="302" spans="5:11">
      <c r="E302" s="11"/>
      <c r="G302" s="12"/>
      <c r="H302" s="13"/>
      <c r="J302" s="11"/>
      <c r="K302" s="11"/>
    </row>
    <row r="303" spans="5:11">
      <c r="E303" s="11"/>
      <c r="G303" s="12"/>
      <c r="H303" s="13"/>
      <c r="J303" s="11"/>
      <c r="K303" s="11"/>
    </row>
    <row r="304" spans="5:11">
      <c r="E304" s="11"/>
      <c r="G304" s="12"/>
      <c r="H304" s="13"/>
      <c r="J304" s="11"/>
      <c r="K304" s="11"/>
    </row>
    <row r="305" spans="5:11">
      <c r="E305" s="11"/>
      <c r="G305" s="12"/>
      <c r="H305" s="13"/>
      <c r="J305" s="11"/>
      <c r="K305" s="11"/>
    </row>
    <row r="306" spans="5:11">
      <c r="E306" s="11"/>
      <c r="G306" s="12"/>
      <c r="H306" s="13"/>
      <c r="J306" s="11"/>
      <c r="K306" s="11"/>
    </row>
    <row r="307" spans="5:11">
      <c r="E307" s="11"/>
      <c r="G307" s="12"/>
      <c r="H307" s="13"/>
      <c r="J307" s="11"/>
      <c r="K307" s="11"/>
    </row>
    <row r="308" spans="5:11">
      <c r="E308" s="11"/>
      <c r="G308" s="12"/>
      <c r="H308" s="13"/>
      <c r="J308" s="11"/>
      <c r="K308" s="11"/>
    </row>
    <row r="309" spans="5:11">
      <c r="E309" s="11"/>
      <c r="G309" s="12"/>
      <c r="H309" s="13"/>
      <c r="J309" s="11"/>
      <c r="K309" s="11"/>
    </row>
    <row r="310" spans="5:11">
      <c r="E310" s="11"/>
      <c r="G310" s="12"/>
      <c r="H310" s="13"/>
      <c r="J310" s="11"/>
      <c r="K310" s="11"/>
    </row>
    <row r="311" spans="5:11">
      <c r="E311" s="11"/>
      <c r="G311" s="12"/>
      <c r="H311" s="13"/>
      <c r="J311" s="11"/>
      <c r="K311" s="11"/>
    </row>
    <row r="312" spans="5:11">
      <c r="E312" s="11"/>
      <c r="G312" s="12"/>
      <c r="H312" s="13"/>
      <c r="J312" s="11"/>
      <c r="K312" s="11"/>
    </row>
    <row r="313" spans="5:11">
      <c r="E313" s="11"/>
      <c r="G313" s="12"/>
      <c r="H313" s="13"/>
      <c r="J313" s="11"/>
      <c r="K313" s="11"/>
    </row>
    <row r="314" spans="5:11">
      <c r="E314" s="11"/>
      <c r="G314" s="12"/>
      <c r="H314" s="13"/>
      <c r="J314" s="11"/>
      <c r="K314" s="11"/>
    </row>
    <row r="315" spans="5:11">
      <c r="E315" s="11"/>
      <c r="G315" s="12"/>
      <c r="H315" s="13"/>
      <c r="J315" s="11"/>
      <c r="K315" s="11"/>
    </row>
    <row r="316" spans="5:11">
      <c r="E316" s="11"/>
      <c r="G316" s="12"/>
      <c r="H316" s="13"/>
      <c r="J316" s="11"/>
      <c r="K316" s="11"/>
    </row>
    <row r="317" spans="5:11">
      <c r="E317" s="11"/>
      <c r="G317" s="12"/>
      <c r="H317" s="13"/>
      <c r="J317" s="11"/>
      <c r="K317" s="11"/>
    </row>
    <row r="318" spans="5:11">
      <c r="E318" s="11"/>
      <c r="G318" s="12"/>
      <c r="H318" s="13"/>
      <c r="J318" s="11"/>
      <c r="K318" s="11"/>
    </row>
    <row r="319" spans="5:11">
      <c r="E319" s="11"/>
      <c r="G319" s="12"/>
      <c r="H319" s="13"/>
      <c r="J319" s="11"/>
      <c r="K319" s="11"/>
    </row>
    <row r="320" spans="5:11">
      <c r="E320" s="11"/>
      <c r="G320" s="12"/>
      <c r="H320" s="13"/>
      <c r="J320" s="11"/>
      <c r="K320" s="11"/>
    </row>
    <row r="321" spans="5:11">
      <c r="E321" s="11"/>
      <c r="G321" s="12"/>
      <c r="H321" s="13"/>
      <c r="J321" s="11"/>
      <c r="K321" s="11"/>
    </row>
    <row r="322" spans="5:11">
      <c r="E322" s="11"/>
      <c r="G322" s="12"/>
      <c r="H322" s="13"/>
      <c r="J322" s="11"/>
      <c r="K322" s="11"/>
    </row>
    <row r="323" spans="5:11">
      <c r="E323" s="11"/>
      <c r="G323" s="12"/>
      <c r="H323" s="13"/>
      <c r="J323" s="11"/>
      <c r="K323" s="11"/>
    </row>
    <row r="324" spans="5:11">
      <c r="E324" s="11"/>
      <c r="G324" s="12"/>
      <c r="H324" s="13"/>
      <c r="J324" s="11"/>
      <c r="K324" s="11"/>
    </row>
    <row r="325" spans="5:11">
      <c r="E325" s="11"/>
      <c r="G325" s="12"/>
      <c r="H325" s="13"/>
      <c r="J325" s="11"/>
      <c r="K325" s="11"/>
    </row>
    <row r="326" spans="5:11">
      <c r="E326" s="11"/>
      <c r="G326" s="12"/>
      <c r="H326" s="13"/>
      <c r="J326" s="11"/>
      <c r="K326" s="11"/>
    </row>
    <row r="327" spans="5:11">
      <c r="E327" s="11"/>
      <c r="G327" s="12"/>
      <c r="H327" s="13"/>
      <c r="J327" s="11"/>
      <c r="K327" s="11"/>
    </row>
    <row r="328" spans="5:11">
      <c r="E328" s="11"/>
      <c r="G328" s="12"/>
      <c r="H328" s="13"/>
      <c r="J328" s="11"/>
      <c r="K328" s="11"/>
    </row>
    <row r="329" spans="5:11">
      <c r="E329" s="11"/>
      <c r="G329" s="12"/>
      <c r="H329" s="13"/>
      <c r="J329" s="11"/>
      <c r="K329" s="11"/>
    </row>
    <row r="330" spans="5:11">
      <c r="E330" s="11"/>
      <c r="G330" s="12"/>
      <c r="H330" s="13"/>
      <c r="J330" s="11"/>
      <c r="K330" s="11"/>
    </row>
    <row r="331" spans="5:11">
      <c r="E331" s="11"/>
      <c r="G331" s="12"/>
      <c r="H331" s="13"/>
      <c r="J331" s="11"/>
      <c r="K331" s="11"/>
    </row>
    <row r="332" spans="5:11">
      <c r="E332" s="11"/>
      <c r="G332" s="12"/>
      <c r="H332" s="13"/>
      <c r="J332" s="11"/>
      <c r="K332" s="11"/>
    </row>
    <row r="333" spans="5:11">
      <c r="E333" s="11"/>
      <c r="G333" s="12"/>
      <c r="H333" s="13"/>
      <c r="J333" s="11"/>
      <c r="K333" s="11"/>
    </row>
    <row r="334" spans="5:11">
      <c r="E334" s="11"/>
      <c r="G334" s="12"/>
      <c r="H334" s="13"/>
      <c r="J334" s="11"/>
      <c r="K334" s="11"/>
    </row>
    <row r="335" spans="5:11">
      <c r="E335" s="11"/>
      <c r="G335" s="12"/>
      <c r="H335" s="13"/>
      <c r="J335" s="11"/>
      <c r="K335" s="11"/>
    </row>
    <row r="336" spans="5:11">
      <c r="E336" s="11"/>
      <c r="G336" s="12"/>
      <c r="H336" s="13"/>
      <c r="J336" s="11"/>
      <c r="K336" s="11"/>
    </row>
    <row r="337" spans="5:11">
      <c r="E337" s="11"/>
      <c r="G337" s="12"/>
      <c r="H337" s="13"/>
      <c r="J337" s="11"/>
      <c r="K337" s="11"/>
    </row>
    <row r="338" spans="5:11">
      <c r="E338" s="11"/>
      <c r="G338" s="12"/>
      <c r="H338" s="13"/>
      <c r="J338" s="11"/>
      <c r="K338" s="11"/>
    </row>
    <row r="339" spans="5:11">
      <c r="E339" s="11"/>
      <c r="G339" s="12"/>
      <c r="H339" s="13"/>
      <c r="J339" s="11"/>
      <c r="K339" s="11"/>
    </row>
    <row r="340" spans="5:11">
      <c r="E340" s="11"/>
      <c r="G340" s="12"/>
      <c r="H340" s="13"/>
      <c r="J340" s="11"/>
      <c r="K340" s="11"/>
    </row>
    <row r="341" spans="5:11">
      <c r="E341" s="11"/>
      <c r="G341" s="12"/>
      <c r="H341" s="13"/>
      <c r="J341" s="11"/>
      <c r="K341" s="11"/>
    </row>
    <row r="342" spans="5:11">
      <c r="E342" s="11"/>
      <c r="G342" s="12"/>
      <c r="H342" s="13"/>
      <c r="J342" s="11"/>
      <c r="K342" s="11"/>
    </row>
    <row r="343" spans="5:11">
      <c r="E343" s="11"/>
      <c r="G343" s="12"/>
      <c r="H343" s="13"/>
      <c r="J343" s="11"/>
      <c r="K343" s="11"/>
    </row>
    <row r="344" spans="5:11">
      <c r="E344" s="11"/>
      <c r="G344" s="12"/>
      <c r="H344" s="13"/>
      <c r="J344" s="11"/>
      <c r="K344" s="11"/>
    </row>
    <row r="345" spans="5:11">
      <c r="E345" s="11"/>
      <c r="G345" s="12"/>
      <c r="H345" s="13"/>
      <c r="J345" s="11"/>
      <c r="K345" s="11"/>
    </row>
    <row r="346" spans="5:11">
      <c r="E346" s="11"/>
      <c r="G346" s="12"/>
      <c r="H346" s="13"/>
      <c r="J346" s="11"/>
      <c r="K346" s="11"/>
    </row>
    <row r="347" spans="5:11">
      <c r="E347" s="11"/>
      <c r="G347" s="12"/>
      <c r="H347" s="13"/>
      <c r="J347" s="11"/>
      <c r="K347" s="11"/>
    </row>
    <row r="348" spans="5:11">
      <c r="E348" s="11"/>
      <c r="G348" s="12"/>
      <c r="H348" s="13"/>
      <c r="J348" s="11"/>
      <c r="K348" s="11"/>
    </row>
    <row r="349" spans="5:11">
      <c r="E349" s="11"/>
      <c r="G349" s="12"/>
      <c r="H349" s="13"/>
      <c r="J349" s="11"/>
      <c r="K349" s="11"/>
    </row>
    <row r="350" spans="5:11">
      <c r="E350" s="11"/>
      <c r="G350" s="12"/>
      <c r="H350" s="13"/>
      <c r="J350" s="11"/>
      <c r="K350" s="11"/>
    </row>
    <row r="351" spans="5:11">
      <c r="E351" s="11"/>
      <c r="G351" s="12"/>
      <c r="H351" s="13"/>
      <c r="J351" s="11"/>
      <c r="K351" s="11"/>
    </row>
    <row r="352" spans="5:11">
      <c r="E352" s="11"/>
      <c r="G352" s="12"/>
      <c r="H352" s="13"/>
      <c r="J352" s="11"/>
      <c r="K352" s="11"/>
    </row>
    <row r="353" spans="5:11">
      <c r="E353" s="11"/>
      <c r="G353" s="12"/>
      <c r="H353" s="13"/>
      <c r="J353" s="11"/>
      <c r="K353" s="11"/>
    </row>
    <row r="354" spans="5:11">
      <c r="E354" s="11"/>
      <c r="G354" s="12"/>
      <c r="H354" s="13"/>
      <c r="J354" s="11"/>
      <c r="K354" s="11"/>
    </row>
    <row r="355" spans="5:11">
      <c r="E355" s="11"/>
      <c r="G355" s="12"/>
      <c r="H355" s="13"/>
      <c r="J355" s="11"/>
      <c r="K355" s="11"/>
    </row>
    <row r="356" spans="5:11">
      <c r="E356" s="11"/>
      <c r="G356" s="12"/>
      <c r="H356" s="13"/>
      <c r="J356" s="11"/>
      <c r="K356" s="11"/>
    </row>
    <row r="357" spans="5:11">
      <c r="E357" s="11"/>
      <c r="G357" s="12"/>
      <c r="H357" s="13"/>
      <c r="J357" s="11"/>
      <c r="K357" s="11"/>
    </row>
    <row r="358" spans="5:11">
      <c r="E358" s="11"/>
      <c r="G358" s="12"/>
      <c r="H358" s="13"/>
      <c r="J358" s="11"/>
      <c r="K358" s="11"/>
    </row>
    <row r="359" spans="5:11">
      <c r="E359" s="11"/>
      <c r="G359" s="12"/>
      <c r="H359" s="13"/>
      <c r="J359" s="11"/>
      <c r="K359" s="11"/>
    </row>
    <row r="360" spans="5:11">
      <c r="E360" s="11"/>
      <c r="G360" s="12"/>
      <c r="H360" s="13"/>
      <c r="J360" s="11"/>
      <c r="K360" s="11"/>
    </row>
    <row r="361" spans="5:11">
      <c r="E361" s="11"/>
      <c r="G361" s="12"/>
      <c r="H361" s="13"/>
      <c r="J361" s="11"/>
      <c r="K361" s="11"/>
    </row>
    <row r="362" spans="5:11">
      <c r="E362" s="11"/>
      <c r="G362" s="12"/>
      <c r="H362" s="13"/>
      <c r="J362" s="11"/>
      <c r="K362" s="11"/>
    </row>
    <row r="363" spans="5:11">
      <c r="E363" s="11"/>
      <c r="G363" s="12"/>
      <c r="H363" s="13"/>
      <c r="J363" s="11"/>
      <c r="K363" s="11"/>
    </row>
    <row r="364" spans="5:11">
      <c r="E364" s="11"/>
      <c r="G364" s="12"/>
      <c r="H364" s="13"/>
      <c r="J364" s="11"/>
      <c r="K364" s="11"/>
    </row>
    <row r="365" spans="5:11">
      <c r="E365" s="11"/>
      <c r="G365" s="12"/>
      <c r="H365" s="13"/>
      <c r="J365" s="11"/>
      <c r="K365" s="11"/>
    </row>
    <row r="366" spans="5:11">
      <c r="E366" s="11"/>
      <c r="G366" s="12"/>
      <c r="H366" s="13"/>
      <c r="J366" s="11"/>
      <c r="K366" s="11"/>
    </row>
    <row r="367" spans="5:11">
      <c r="E367" s="11"/>
      <c r="G367" s="12"/>
      <c r="H367" s="13"/>
      <c r="J367" s="11"/>
      <c r="K367" s="11"/>
    </row>
    <row r="368" spans="5:11">
      <c r="E368" s="11"/>
      <c r="G368" s="12"/>
      <c r="H368" s="13"/>
      <c r="J368" s="11"/>
      <c r="K368" s="11"/>
    </row>
    <row r="369" spans="5:11">
      <c r="E369" s="11"/>
      <c r="G369" s="12"/>
      <c r="H369" s="13"/>
      <c r="J369" s="11"/>
      <c r="K369" s="11"/>
    </row>
    <row r="370" spans="5:11">
      <c r="E370" s="11"/>
      <c r="G370" s="12"/>
      <c r="H370" s="13"/>
      <c r="J370" s="11"/>
      <c r="K370" s="11"/>
    </row>
    <row r="371" spans="5:11">
      <c r="E371" s="11"/>
      <c r="G371" s="12"/>
      <c r="H371" s="13"/>
      <c r="J371" s="11"/>
      <c r="K371" s="11"/>
    </row>
    <row r="372" spans="5:11">
      <c r="E372" s="11"/>
      <c r="G372" s="12"/>
      <c r="H372" s="13"/>
      <c r="J372" s="11"/>
      <c r="K372" s="11"/>
    </row>
    <row r="373" spans="5:11">
      <c r="E373" s="11"/>
      <c r="G373" s="12"/>
      <c r="H373" s="13"/>
      <c r="J373" s="11"/>
      <c r="K373" s="11"/>
    </row>
    <row r="374" spans="5:11">
      <c r="E374" s="11"/>
      <c r="G374" s="12"/>
      <c r="H374" s="13"/>
      <c r="J374" s="11"/>
      <c r="K374" s="11"/>
    </row>
    <row r="375" spans="5:11">
      <c r="E375" s="11"/>
      <c r="G375" s="12"/>
      <c r="H375" s="13"/>
      <c r="J375" s="11"/>
      <c r="K375" s="11"/>
    </row>
    <row r="376" spans="5:11">
      <c r="E376" s="11"/>
      <c r="G376" s="12"/>
      <c r="H376" s="13"/>
      <c r="J376" s="11"/>
      <c r="K376" s="11"/>
    </row>
    <row r="377" spans="5:11">
      <c r="E377" s="11"/>
      <c r="G377" s="12"/>
      <c r="H377" s="13"/>
      <c r="J377" s="11"/>
      <c r="K377" s="11"/>
    </row>
    <row r="378" spans="5:11">
      <c r="E378" s="11"/>
      <c r="G378" s="12"/>
      <c r="H378" s="13"/>
      <c r="J378" s="11"/>
      <c r="K378" s="11"/>
    </row>
    <row r="379" spans="5:11">
      <c r="E379" s="11"/>
      <c r="G379" s="12"/>
      <c r="H379" s="13"/>
      <c r="J379" s="11"/>
      <c r="K379" s="11"/>
    </row>
    <row r="380" spans="5:11">
      <c r="E380" s="11"/>
      <c r="G380" s="12"/>
      <c r="H380" s="13"/>
      <c r="J380" s="11"/>
      <c r="K380" s="11"/>
    </row>
    <row r="381" spans="5:11">
      <c r="E381" s="11"/>
      <c r="G381" s="12"/>
      <c r="H381" s="13"/>
      <c r="J381" s="11"/>
      <c r="K381" s="11"/>
    </row>
    <row r="382" spans="5:11">
      <c r="E382" s="11"/>
      <c r="G382" s="12"/>
      <c r="H382" s="13"/>
      <c r="J382" s="11"/>
      <c r="K382" s="11"/>
    </row>
    <row r="383" spans="5:11">
      <c r="E383" s="11"/>
      <c r="G383" s="12"/>
      <c r="H383" s="13"/>
      <c r="J383" s="11"/>
      <c r="K383" s="11"/>
    </row>
    <row r="384" spans="5:11">
      <c r="E384" s="11"/>
      <c r="G384" s="12"/>
      <c r="H384" s="13"/>
      <c r="J384" s="11"/>
      <c r="K384" s="11"/>
    </row>
    <row r="385" spans="5:11">
      <c r="E385" s="11"/>
      <c r="G385" s="12"/>
      <c r="H385" s="13"/>
      <c r="J385" s="11"/>
      <c r="K385" s="11"/>
    </row>
    <row r="386" spans="5:11">
      <c r="E386" s="11"/>
      <c r="G386" s="12"/>
      <c r="H386" s="13"/>
      <c r="J386" s="11"/>
      <c r="K386" s="11"/>
    </row>
    <row r="387" spans="5:11">
      <c r="E387" s="11"/>
      <c r="G387" s="12"/>
      <c r="H387" s="13"/>
      <c r="J387" s="11"/>
      <c r="K387" s="11"/>
    </row>
    <row r="388" spans="5:11">
      <c r="E388" s="11"/>
      <c r="G388" s="12"/>
      <c r="H388" s="13"/>
      <c r="J388" s="11"/>
      <c r="K388" s="11"/>
    </row>
    <row r="389" spans="5:11">
      <c r="E389" s="11"/>
      <c r="G389" s="12"/>
      <c r="H389" s="13"/>
      <c r="J389" s="11"/>
      <c r="K389" s="11"/>
    </row>
    <row r="390" spans="5:11">
      <c r="E390" s="11"/>
      <c r="G390" s="12"/>
      <c r="H390" s="13"/>
      <c r="J390" s="11"/>
      <c r="K390" s="11"/>
    </row>
    <row r="391" spans="5:11">
      <c r="E391" s="11"/>
      <c r="G391" s="12"/>
      <c r="H391" s="13"/>
      <c r="J391" s="11"/>
      <c r="K391" s="11"/>
    </row>
    <row r="392" spans="5:11">
      <c r="E392" s="11"/>
      <c r="G392" s="12"/>
      <c r="H392" s="13"/>
      <c r="J392" s="11"/>
      <c r="K392" s="11"/>
    </row>
    <row r="393" spans="5:11">
      <c r="E393" s="11"/>
      <c r="G393" s="12"/>
      <c r="H393" s="13"/>
      <c r="J393" s="11"/>
      <c r="K393" s="11"/>
    </row>
    <row r="394" spans="5:11">
      <c r="E394" s="11"/>
      <c r="G394" s="12"/>
      <c r="H394" s="13"/>
      <c r="J394" s="11"/>
      <c r="K394" s="11"/>
    </row>
    <row r="395" spans="5:11">
      <c r="E395" s="11"/>
      <c r="G395" s="12"/>
      <c r="H395" s="13"/>
      <c r="J395" s="11"/>
      <c r="K395" s="11"/>
    </row>
    <row r="396" spans="5:11">
      <c r="E396" s="11"/>
      <c r="G396" s="12"/>
      <c r="H396" s="13"/>
      <c r="J396" s="11"/>
      <c r="K396" s="11"/>
    </row>
    <row r="397" spans="5:11">
      <c r="E397" s="11"/>
      <c r="G397" s="12"/>
      <c r="H397" s="13"/>
      <c r="J397" s="11"/>
      <c r="K397" s="11"/>
    </row>
    <row r="398" spans="5:11">
      <c r="E398" s="11"/>
      <c r="G398" s="12"/>
      <c r="H398" s="13"/>
      <c r="J398" s="11"/>
      <c r="K398" s="11"/>
    </row>
    <row r="399" spans="5:11">
      <c r="E399" s="11"/>
      <c r="G399" s="12"/>
      <c r="H399" s="13"/>
      <c r="J399" s="11"/>
      <c r="K399" s="11"/>
    </row>
    <row r="400" spans="5:11">
      <c r="E400" s="11"/>
      <c r="G400" s="12"/>
      <c r="H400" s="13"/>
      <c r="J400" s="11"/>
      <c r="K400" s="11"/>
    </row>
    <row r="401" spans="5:11">
      <c r="E401" s="11"/>
      <c r="G401" s="12"/>
      <c r="H401" s="13"/>
      <c r="J401" s="11"/>
      <c r="K401" s="11"/>
    </row>
    <row r="402" spans="5:11">
      <c r="E402" s="11"/>
      <c r="G402" s="12"/>
      <c r="H402" s="13"/>
      <c r="J402" s="11"/>
      <c r="K402" s="11"/>
    </row>
    <row r="403" spans="5:11">
      <c r="E403" s="11"/>
      <c r="G403" s="12"/>
      <c r="H403" s="13"/>
      <c r="J403" s="11"/>
      <c r="K403" s="11"/>
    </row>
    <row r="404" spans="5:11">
      <c r="E404" s="11"/>
      <c r="G404" s="12"/>
      <c r="H404" s="13"/>
      <c r="J404" s="11"/>
      <c r="K404" s="11"/>
    </row>
    <row r="405" spans="5:11">
      <c r="E405" s="11"/>
      <c r="G405" s="12"/>
      <c r="H405" s="13"/>
      <c r="J405" s="11"/>
      <c r="K405" s="11"/>
    </row>
    <row r="406" spans="5:11">
      <c r="E406" s="11"/>
      <c r="G406" s="12"/>
      <c r="H406" s="13"/>
      <c r="J406" s="11"/>
      <c r="K406" s="11"/>
    </row>
    <row r="407" spans="5:11">
      <c r="E407" s="11"/>
      <c r="G407" s="12"/>
      <c r="H407" s="13"/>
      <c r="J407" s="11"/>
      <c r="K407" s="11"/>
    </row>
    <row r="408" spans="5:11">
      <c r="E408" s="11"/>
      <c r="G408" s="12"/>
      <c r="H408" s="13"/>
      <c r="J408" s="11"/>
      <c r="K408" s="11"/>
    </row>
    <row r="409" spans="5:11">
      <c r="E409" s="11"/>
      <c r="G409" s="12"/>
      <c r="H409" s="13"/>
      <c r="J409" s="11"/>
      <c r="K409" s="11"/>
    </row>
    <row r="410" spans="5:11">
      <c r="E410" s="11"/>
      <c r="G410" s="12"/>
      <c r="H410" s="13"/>
      <c r="J410" s="11"/>
      <c r="K410" s="11"/>
    </row>
    <row r="411" spans="5:11">
      <c r="E411" s="11"/>
      <c r="G411" s="12"/>
      <c r="H411" s="13"/>
      <c r="J411" s="11"/>
      <c r="K411" s="11"/>
    </row>
    <row r="412" spans="5:11">
      <c r="E412" s="11"/>
      <c r="G412" s="12"/>
      <c r="H412" s="13"/>
      <c r="J412" s="11"/>
      <c r="K412" s="11"/>
    </row>
    <row r="413" spans="5:11">
      <c r="E413" s="11"/>
      <c r="G413" s="12"/>
      <c r="H413" s="13"/>
      <c r="J413" s="11"/>
      <c r="K413" s="11"/>
    </row>
    <row r="414" spans="5:11">
      <c r="E414" s="11"/>
      <c r="G414" s="12"/>
      <c r="H414" s="13"/>
      <c r="J414" s="11"/>
      <c r="K414" s="11"/>
    </row>
    <row r="415" spans="5:11">
      <c r="E415" s="11"/>
      <c r="G415" s="12"/>
      <c r="H415" s="13"/>
      <c r="J415" s="11"/>
      <c r="K415" s="11"/>
    </row>
    <row r="416" spans="5:11">
      <c r="E416" s="11"/>
      <c r="G416" s="12"/>
      <c r="H416" s="13"/>
      <c r="J416" s="11"/>
      <c r="K416" s="11"/>
    </row>
    <row r="417" spans="5:11">
      <c r="E417" s="11"/>
      <c r="G417" s="12"/>
      <c r="H417" s="13"/>
      <c r="J417" s="11"/>
      <c r="K417" s="11"/>
    </row>
    <row r="418" spans="5:11">
      <c r="E418" s="11"/>
      <c r="G418" s="12"/>
      <c r="H418" s="13"/>
      <c r="J418" s="11"/>
      <c r="K418" s="11"/>
    </row>
    <row r="419" spans="5:11">
      <c r="E419" s="11"/>
      <c r="G419" s="12"/>
      <c r="H419" s="13"/>
      <c r="J419" s="11"/>
      <c r="K419" s="11"/>
    </row>
    <row r="420" spans="5:11">
      <c r="E420" s="11"/>
      <c r="G420" s="12"/>
      <c r="H420" s="13"/>
      <c r="J420" s="11"/>
      <c r="K420" s="11"/>
    </row>
    <row r="421" spans="5:11">
      <c r="E421" s="11"/>
      <c r="G421" s="12"/>
      <c r="H421" s="13"/>
      <c r="J421" s="11"/>
      <c r="K421" s="11"/>
    </row>
    <row r="422" spans="5:11">
      <c r="E422" s="11"/>
      <c r="G422" s="12"/>
      <c r="H422" s="13"/>
      <c r="J422" s="11"/>
      <c r="K422" s="11"/>
    </row>
    <row r="423" spans="5:11">
      <c r="E423" s="11"/>
      <c r="G423" s="12"/>
      <c r="H423" s="13"/>
      <c r="J423" s="11"/>
      <c r="K423" s="11"/>
    </row>
    <row r="424" spans="5:11">
      <c r="E424" s="11"/>
      <c r="G424" s="12"/>
      <c r="H424" s="13"/>
      <c r="J424" s="11"/>
      <c r="K424" s="11"/>
    </row>
    <row r="425" spans="5:11">
      <c r="E425" s="11"/>
      <c r="G425" s="12"/>
      <c r="H425" s="13"/>
      <c r="J425" s="11"/>
      <c r="K425" s="11"/>
    </row>
    <row r="426" spans="5:11">
      <c r="E426" s="11"/>
      <c r="G426" s="12"/>
      <c r="H426" s="13"/>
      <c r="J426" s="11"/>
      <c r="K426" s="11"/>
    </row>
    <row r="427" spans="5:11">
      <c r="E427" s="11"/>
      <c r="G427" s="12"/>
      <c r="H427" s="13"/>
      <c r="J427" s="11"/>
      <c r="K427" s="11"/>
    </row>
    <row r="428" spans="5:11">
      <c r="E428" s="11"/>
      <c r="G428" s="12"/>
      <c r="H428" s="13"/>
      <c r="J428" s="11"/>
      <c r="K428" s="11"/>
    </row>
    <row r="429" spans="5:11">
      <c r="E429" s="11"/>
      <c r="G429" s="12"/>
      <c r="H429" s="13"/>
      <c r="J429" s="11"/>
      <c r="K429" s="11"/>
    </row>
    <row r="430" spans="5:11">
      <c r="E430" s="11"/>
      <c r="G430" s="12"/>
      <c r="H430" s="13"/>
      <c r="J430" s="11"/>
      <c r="K430" s="11"/>
    </row>
    <row r="431" spans="5:11">
      <c r="E431" s="11"/>
      <c r="G431" s="12"/>
      <c r="H431" s="13"/>
      <c r="J431" s="11"/>
      <c r="K431" s="11"/>
    </row>
    <row r="432" spans="5:11">
      <c r="E432" s="11"/>
      <c r="G432" s="12"/>
      <c r="H432" s="13"/>
      <c r="J432" s="11"/>
      <c r="K432" s="11"/>
    </row>
    <row r="433" spans="5:11">
      <c r="E433" s="11"/>
      <c r="G433" s="12"/>
      <c r="H433" s="13"/>
      <c r="J433" s="11"/>
      <c r="K433" s="11"/>
    </row>
    <row r="434" spans="5:11">
      <c r="E434" s="11"/>
      <c r="G434" s="12"/>
      <c r="H434" s="13"/>
      <c r="J434" s="11"/>
      <c r="K434" s="11"/>
    </row>
    <row r="435" spans="5:11">
      <c r="E435" s="11"/>
      <c r="G435" s="12"/>
      <c r="H435" s="13"/>
      <c r="J435" s="11"/>
      <c r="K435" s="11"/>
    </row>
    <row r="436" spans="5:11">
      <c r="E436" s="11"/>
      <c r="G436" s="12"/>
      <c r="H436" s="13"/>
      <c r="J436" s="11"/>
      <c r="K436" s="11"/>
    </row>
    <row r="437" spans="5:11">
      <c r="E437" s="11"/>
      <c r="G437" s="12"/>
      <c r="H437" s="13"/>
      <c r="J437" s="11"/>
      <c r="K437" s="11"/>
    </row>
    <row r="438" spans="5:11">
      <c r="E438" s="11"/>
      <c r="G438" s="12"/>
      <c r="H438" s="13"/>
      <c r="J438" s="11"/>
      <c r="K438" s="11"/>
    </row>
    <row r="439" spans="5:11">
      <c r="E439" s="11"/>
      <c r="G439" s="12"/>
      <c r="H439" s="13"/>
      <c r="J439" s="11"/>
      <c r="K439" s="11"/>
    </row>
    <row r="440" spans="5:11">
      <c r="E440" s="11"/>
      <c r="G440" s="12"/>
      <c r="H440" s="13"/>
      <c r="J440" s="11"/>
      <c r="K440" s="11"/>
    </row>
    <row r="441" spans="5:11">
      <c r="E441" s="11"/>
      <c r="G441" s="12"/>
      <c r="H441" s="13"/>
      <c r="J441" s="11"/>
      <c r="K441" s="11"/>
    </row>
    <row r="442" spans="5:11">
      <c r="E442" s="11"/>
      <c r="G442" s="12"/>
      <c r="H442" s="13"/>
      <c r="J442" s="11"/>
      <c r="K442" s="11"/>
    </row>
    <row r="443" spans="5:11">
      <c r="E443" s="11"/>
      <c r="G443" s="12"/>
      <c r="H443" s="13"/>
      <c r="J443" s="11"/>
      <c r="K443" s="11"/>
    </row>
    <row r="444" spans="5:11">
      <c r="E444" s="11"/>
      <c r="G444" s="12"/>
      <c r="H444" s="13"/>
      <c r="J444" s="11"/>
      <c r="K444" s="11"/>
    </row>
    <row r="445" spans="5:11">
      <c r="E445" s="11"/>
      <c r="G445" s="12"/>
      <c r="H445" s="13"/>
      <c r="J445" s="11"/>
      <c r="K445" s="11"/>
    </row>
    <row r="446" spans="5:11">
      <c r="E446" s="11"/>
      <c r="G446" s="12"/>
      <c r="H446" s="13"/>
      <c r="J446" s="11"/>
      <c r="K446" s="11"/>
    </row>
    <row r="447" spans="5:11">
      <c r="E447" s="11"/>
      <c r="G447" s="12"/>
      <c r="H447" s="13"/>
      <c r="J447" s="11"/>
      <c r="K447" s="11"/>
    </row>
    <row r="448" spans="5:11">
      <c r="E448" s="11"/>
      <c r="G448" s="12"/>
      <c r="H448" s="13"/>
      <c r="J448" s="11"/>
      <c r="K448" s="11"/>
    </row>
    <row r="449" spans="5:11">
      <c r="E449" s="11"/>
      <c r="G449" s="12"/>
      <c r="H449" s="13"/>
      <c r="J449" s="11"/>
      <c r="K449" s="11"/>
    </row>
    <row r="450" spans="5:11">
      <c r="E450" s="11"/>
      <c r="G450" s="12"/>
      <c r="H450" s="13"/>
      <c r="J450" s="11"/>
      <c r="K450" s="11"/>
    </row>
    <row r="451" spans="5:11">
      <c r="E451" s="11"/>
      <c r="G451" s="12"/>
      <c r="H451" s="13"/>
      <c r="J451" s="11"/>
      <c r="K451" s="11"/>
    </row>
    <row r="452" spans="5:11">
      <c r="E452" s="11"/>
      <c r="G452" s="12"/>
      <c r="H452" s="13"/>
      <c r="J452" s="11"/>
      <c r="K452" s="11"/>
    </row>
    <row r="453" spans="5:11">
      <c r="E453" s="11"/>
      <c r="G453" s="12"/>
      <c r="H453" s="13"/>
      <c r="J453" s="11"/>
      <c r="K453" s="11"/>
    </row>
    <row r="454" spans="5:11">
      <c r="E454" s="11"/>
      <c r="G454" s="12"/>
      <c r="H454" s="13"/>
      <c r="J454" s="11"/>
      <c r="K454" s="11"/>
    </row>
    <row r="455" spans="5:11">
      <c r="E455" s="11"/>
      <c r="G455" s="12"/>
      <c r="H455" s="13"/>
      <c r="J455" s="11"/>
      <c r="K455" s="11"/>
    </row>
    <row r="456" spans="5:11">
      <c r="E456" s="11"/>
      <c r="G456" s="12"/>
      <c r="H456" s="13"/>
      <c r="J456" s="11"/>
      <c r="K456" s="11"/>
    </row>
    <row r="457" spans="5:11">
      <c r="E457" s="11"/>
      <c r="G457" s="12"/>
      <c r="H457" s="13"/>
      <c r="J457" s="11"/>
      <c r="K457" s="11"/>
    </row>
    <row r="458" spans="5:11">
      <c r="E458" s="11"/>
      <c r="G458" s="12"/>
      <c r="H458" s="13"/>
      <c r="J458" s="11"/>
      <c r="K458" s="11"/>
    </row>
    <row r="459" spans="5:11">
      <c r="E459" s="11"/>
      <c r="G459" s="12"/>
      <c r="H459" s="13"/>
      <c r="J459" s="11"/>
      <c r="K459" s="11"/>
    </row>
    <row r="460" spans="5:11">
      <c r="E460" s="11"/>
      <c r="G460" s="12"/>
      <c r="H460" s="13"/>
      <c r="J460" s="11"/>
      <c r="K460" s="11"/>
    </row>
    <row r="461" spans="5:11">
      <c r="E461" s="11"/>
      <c r="G461" s="12"/>
      <c r="H461" s="13"/>
      <c r="J461" s="11"/>
      <c r="K461" s="11"/>
    </row>
    <row r="462" spans="5:11">
      <c r="E462" s="11"/>
      <c r="G462" s="12"/>
      <c r="H462" s="13"/>
      <c r="J462" s="11"/>
      <c r="K462" s="11"/>
    </row>
    <row r="463" spans="5:11">
      <c r="E463" s="11"/>
      <c r="G463" s="12"/>
      <c r="H463" s="13"/>
      <c r="J463" s="11"/>
      <c r="K463" s="11"/>
    </row>
    <row r="464" spans="5:11">
      <c r="E464" s="11"/>
      <c r="G464" s="12"/>
      <c r="H464" s="13"/>
      <c r="J464" s="11"/>
      <c r="K464" s="11"/>
    </row>
    <row r="465" spans="5:11">
      <c r="E465" s="11"/>
      <c r="G465" s="12"/>
      <c r="H465" s="13"/>
      <c r="J465" s="11"/>
      <c r="K465" s="11"/>
    </row>
    <row r="466" spans="5:11">
      <c r="E466" s="11"/>
      <c r="G466" s="12"/>
      <c r="H466" s="13"/>
      <c r="J466" s="11"/>
      <c r="K466" s="11"/>
    </row>
    <row r="467" spans="5:11">
      <c r="E467" s="11"/>
      <c r="G467" s="12"/>
      <c r="H467" s="13"/>
      <c r="J467" s="11"/>
      <c r="K467" s="11"/>
    </row>
    <row r="468" spans="5:11">
      <c r="E468" s="11"/>
      <c r="G468" s="12"/>
      <c r="H468" s="13"/>
      <c r="J468" s="11"/>
      <c r="K468" s="11"/>
    </row>
    <row r="469" spans="5:11">
      <c r="E469" s="11"/>
      <c r="G469" s="12"/>
      <c r="H469" s="13"/>
      <c r="J469" s="11"/>
      <c r="K469" s="11"/>
    </row>
    <row r="470" spans="5:11">
      <c r="E470" s="11"/>
      <c r="G470" s="12"/>
      <c r="H470" s="13"/>
      <c r="J470" s="11"/>
      <c r="K470" s="11"/>
    </row>
    <row r="471" spans="5:11">
      <c r="E471" s="11"/>
      <c r="G471" s="12"/>
      <c r="H471" s="13"/>
      <c r="J471" s="11"/>
      <c r="K471" s="11"/>
    </row>
    <row r="472" spans="5:11">
      <c r="E472" s="11"/>
      <c r="G472" s="12"/>
      <c r="H472" s="13"/>
      <c r="J472" s="11"/>
      <c r="K472" s="11"/>
    </row>
    <row r="473" spans="5:11">
      <c r="E473" s="11"/>
      <c r="G473" s="12"/>
      <c r="H473" s="13"/>
      <c r="J473" s="11"/>
      <c r="K473" s="11"/>
    </row>
    <row r="474" spans="5:11">
      <c r="E474" s="11"/>
      <c r="G474" s="12"/>
      <c r="H474" s="13"/>
      <c r="J474" s="11"/>
      <c r="K474" s="11"/>
    </row>
    <row r="475" spans="5:11">
      <c r="E475" s="11"/>
      <c r="G475" s="12"/>
      <c r="H475" s="13"/>
      <c r="J475" s="11"/>
      <c r="K475" s="11"/>
    </row>
    <row r="476" spans="5:11">
      <c r="E476" s="11"/>
      <c r="G476" s="12"/>
      <c r="H476" s="13"/>
      <c r="J476" s="11"/>
      <c r="K476" s="11"/>
    </row>
    <row r="477" spans="5:11">
      <c r="E477" s="11"/>
      <c r="G477" s="12"/>
      <c r="H477" s="13"/>
      <c r="J477" s="11"/>
      <c r="K477" s="11"/>
    </row>
    <row r="478" spans="5:11">
      <c r="E478" s="11"/>
      <c r="G478" s="12"/>
      <c r="H478" s="13"/>
      <c r="J478" s="11"/>
      <c r="K478" s="11"/>
    </row>
    <row r="479" spans="5:11">
      <c r="E479" s="11"/>
      <c r="G479" s="12"/>
      <c r="H479" s="13"/>
      <c r="J479" s="11"/>
      <c r="K479" s="11"/>
    </row>
    <row r="480" spans="5:11">
      <c r="E480" s="11"/>
      <c r="G480" s="12"/>
      <c r="H480" s="13"/>
      <c r="J480" s="11"/>
      <c r="K480" s="11"/>
    </row>
    <row r="481" spans="5:11">
      <c r="E481" s="11"/>
      <c r="G481" s="12"/>
      <c r="H481" s="13"/>
      <c r="J481" s="11"/>
      <c r="K481" s="11"/>
    </row>
    <row r="482" spans="5:11">
      <c r="E482" s="11"/>
      <c r="G482" s="12"/>
      <c r="H482" s="13"/>
      <c r="J482" s="11"/>
      <c r="K482" s="11"/>
    </row>
    <row r="483" spans="5:11">
      <c r="E483" s="11"/>
      <c r="G483" s="12"/>
      <c r="H483" s="13"/>
      <c r="J483" s="11"/>
      <c r="K483" s="11"/>
    </row>
    <row r="484" spans="5:11">
      <c r="E484" s="11"/>
      <c r="G484" s="12"/>
      <c r="H484" s="13"/>
      <c r="J484" s="11"/>
      <c r="K484" s="11"/>
    </row>
    <row r="485" spans="5:11">
      <c r="E485" s="11"/>
      <c r="G485" s="12"/>
      <c r="H485" s="13"/>
      <c r="J485" s="11"/>
      <c r="K485" s="11"/>
    </row>
    <row r="486" spans="5:11">
      <c r="E486" s="11"/>
      <c r="G486" s="12"/>
      <c r="H486" s="13"/>
      <c r="J486" s="11"/>
      <c r="K486" s="11"/>
    </row>
    <row r="487" spans="5:11">
      <c r="E487" s="11"/>
      <c r="G487" s="12"/>
      <c r="H487" s="13"/>
      <c r="J487" s="11"/>
      <c r="K487" s="11"/>
    </row>
    <row r="488" spans="5:11">
      <c r="E488" s="11"/>
      <c r="G488" s="12"/>
      <c r="H488" s="13"/>
      <c r="J488" s="11"/>
      <c r="K488" s="11"/>
    </row>
    <row r="489" spans="5:11">
      <c r="E489" s="11"/>
      <c r="G489" s="12"/>
      <c r="H489" s="13"/>
      <c r="J489" s="11"/>
      <c r="K489" s="11"/>
    </row>
    <row r="490" spans="5:11">
      <c r="E490" s="11"/>
      <c r="G490" s="12"/>
      <c r="H490" s="13"/>
      <c r="J490" s="11"/>
      <c r="K490" s="11"/>
    </row>
    <row r="491" spans="5:11">
      <c r="E491" s="11"/>
      <c r="G491" s="12"/>
      <c r="H491" s="13"/>
      <c r="J491" s="11"/>
      <c r="K491" s="11"/>
    </row>
    <row r="492" spans="5:11">
      <c r="E492" s="11"/>
      <c r="G492" s="12"/>
      <c r="H492" s="13"/>
      <c r="J492" s="11"/>
      <c r="K492" s="11"/>
    </row>
    <row r="493" spans="5:11">
      <c r="E493" s="11"/>
      <c r="G493" s="12"/>
      <c r="H493" s="13"/>
      <c r="J493" s="11"/>
      <c r="K493" s="11"/>
    </row>
    <row r="494" spans="5:11">
      <c r="E494" s="11"/>
      <c r="G494" s="12"/>
      <c r="H494" s="13"/>
      <c r="J494" s="11"/>
      <c r="K494" s="11"/>
    </row>
    <row r="495" spans="5:11">
      <c r="E495" s="11"/>
      <c r="G495" s="12"/>
      <c r="H495" s="13"/>
      <c r="J495" s="11"/>
      <c r="K495" s="11"/>
    </row>
    <row r="496" spans="5:11">
      <c r="E496" s="11"/>
      <c r="G496" s="12"/>
      <c r="H496" s="13"/>
      <c r="J496" s="11"/>
      <c r="K496" s="11"/>
    </row>
    <row r="497" spans="5:11">
      <c r="E497" s="11"/>
      <c r="G497" s="12"/>
      <c r="H497" s="13"/>
      <c r="J497" s="11"/>
      <c r="K497" s="11"/>
    </row>
    <row r="498" spans="5:11">
      <c r="E498" s="11"/>
      <c r="G498" s="12"/>
      <c r="H498" s="13"/>
      <c r="J498" s="11"/>
      <c r="K498" s="11"/>
    </row>
    <row r="499" spans="5:11">
      <c r="E499" s="11"/>
      <c r="G499" s="12"/>
      <c r="H499" s="13"/>
      <c r="J499" s="11"/>
      <c r="K499" s="11"/>
    </row>
    <row r="500" spans="5:11">
      <c r="E500" s="11"/>
      <c r="G500" s="12"/>
      <c r="H500" s="13"/>
      <c r="J500" s="11"/>
      <c r="K500" s="11"/>
    </row>
    <row r="501" spans="5:11">
      <c r="E501" s="11"/>
      <c r="G501" s="12"/>
      <c r="H501" s="13"/>
      <c r="J501" s="11"/>
      <c r="K501" s="11"/>
    </row>
  </sheetData>
  <dataValidations count="3">
    <dataValidation type="list"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formula1>"Ingredient,Packaging,Label,Overhead"</formula1>
    </dataValidation>
    <dataValidation type="list"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ormula1>"g,kg,ml,l,each"</formula1>
    </dataValidation>
    <dataValidation type="list"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201"/>
  <sheetViews>
    <sheetView showGridLines="0" topLeftCell="A7" workbookViewId="0"/>
  </sheetViews>
  <sheetFormatPr defaultRowHeight="14.5"/>
  <cols>
    <col min="1" max="1" width="12" customWidth="1"/>
    <col min="2" max="2" width="24" customWidth="1"/>
    <col min="3" max="3" width="14" customWidth="1"/>
    <col min="4" max="4" width="18" customWidth="1"/>
    <col min="5" max="5" width="24" customWidth="1"/>
    <col min="6" max="6" width="14" customWidth="1"/>
    <col min="7" max="7" width="28" customWidth="1"/>
    <col min="8" max="8" width="14" customWidth="1"/>
    <col min="9" max="9" width="10" customWidth="1"/>
    <col min="10" max="10" width="16" customWidth="1"/>
    <col min="11" max="11" width="22" customWidth="1"/>
    <col min="12" max="12" width="10" customWidth="1"/>
  </cols>
  <sheetData>
    <row r="1" spans="1:12" ht="29">
      <c r="A1" s="14" t="s">
        <v>19</v>
      </c>
      <c r="B1" s="14" t="s">
        <v>50</v>
      </c>
      <c r="C1" s="14" t="s">
        <v>51</v>
      </c>
      <c r="D1" s="14" t="s">
        <v>52</v>
      </c>
      <c r="E1" s="14" t="s">
        <v>53</v>
      </c>
      <c r="F1" s="14" t="s">
        <v>54</v>
      </c>
      <c r="G1" s="14" t="s">
        <v>55</v>
      </c>
      <c r="H1" s="14" t="s">
        <v>26</v>
      </c>
      <c r="I1" s="14" t="s">
        <v>56</v>
      </c>
      <c r="J1" s="14" t="s">
        <v>57</v>
      </c>
      <c r="K1" s="14" t="s">
        <v>28</v>
      </c>
      <c r="L1" s="14" t="s">
        <v>27</v>
      </c>
    </row>
    <row r="2" spans="1:12">
      <c r="H2" s="11"/>
      <c r="I2" s="11"/>
    </row>
    <row r="3" spans="1:12">
      <c r="H3" s="11"/>
      <c r="I3" s="11"/>
    </row>
    <row r="4" spans="1:12">
      <c r="H4" s="11"/>
      <c r="I4" s="11"/>
    </row>
    <row r="5" spans="1:12">
      <c r="H5" s="11"/>
      <c r="I5" s="11"/>
    </row>
    <row r="6" spans="1:12">
      <c r="H6" s="11"/>
      <c r="I6" s="11"/>
    </row>
    <row r="7" spans="1:12">
      <c r="H7" s="11"/>
      <c r="I7" s="11"/>
    </row>
    <row r="8" spans="1:12">
      <c r="H8" s="11"/>
      <c r="I8" s="11"/>
    </row>
    <row r="9" spans="1:12">
      <c r="H9" s="11"/>
      <c r="I9" s="11"/>
    </row>
    <row r="10" spans="1:12">
      <c r="H10" s="11"/>
      <c r="I10" s="11"/>
    </row>
    <row r="11" spans="1:12">
      <c r="H11" s="11"/>
      <c r="I11" s="11"/>
    </row>
    <row r="12" spans="1:12">
      <c r="H12" s="11"/>
      <c r="I12" s="11"/>
    </row>
    <row r="13" spans="1:12">
      <c r="H13" s="11"/>
      <c r="I13" s="11"/>
    </row>
    <row r="14" spans="1:12">
      <c r="H14" s="11"/>
      <c r="I14" s="11"/>
    </row>
    <row r="15" spans="1:12">
      <c r="H15" s="11"/>
      <c r="I15" s="11"/>
    </row>
    <row r="16" spans="1:12">
      <c r="H16" s="11"/>
      <c r="I16" s="11"/>
    </row>
    <row r="17" spans="8:9">
      <c r="H17" s="11"/>
      <c r="I17" s="11"/>
    </row>
    <row r="18" spans="8:9">
      <c r="H18" s="11"/>
      <c r="I18" s="11"/>
    </row>
    <row r="19" spans="8:9">
      <c r="H19" s="11"/>
      <c r="I19" s="11"/>
    </row>
    <row r="20" spans="8:9">
      <c r="H20" s="11"/>
      <c r="I20" s="11"/>
    </row>
    <row r="21" spans="8:9">
      <c r="H21" s="11"/>
      <c r="I21" s="11"/>
    </row>
    <row r="22" spans="8:9">
      <c r="H22" s="11"/>
      <c r="I22" s="11"/>
    </row>
    <row r="23" spans="8:9">
      <c r="H23" s="11"/>
      <c r="I23" s="11"/>
    </row>
    <row r="24" spans="8:9">
      <c r="H24" s="11"/>
      <c r="I24" s="11"/>
    </row>
    <row r="25" spans="8:9">
      <c r="H25" s="11"/>
      <c r="I25" s="11"/>
    </row>
    <row r="26" spans="8:9">
      <c r="H26" s="11"/>
      <c r="I26" s="11"/>
    </row>
    <row r="27" spans="8:9">
      <c r="H27" s="11"/>
      <c r="I27" s="11"/>
    </row>
    <row r="28" spans="8:9">
      <c r="H28" s="11"/>
      <c r="I28" s="11"/>
    </row>
    <row r="29" spans="8:9">
      <c r="H29" s="11"/>
      <c r="I29" s="11"/>
    </row>
    <row r="30" spans="8:9">
      <c r="H30" s="11"/>
      <c r="I30" s="11"/>
    </row>
    <row r="31" spans="8:9">
      <c r="H31" s="11"/>
      <c r="I31" s="11"/>
    </row>
    <row r="32" spans="8:9">
      <c r="H32" s="11"/>
      <c r="I32" s="11"/>
    </row>
    <row r="33" spans="8:9">
      <c r="H33" s="11"/>
      <c r="I33" s="11"/>
    </row>
    <row r="34" spans="8:9">
      <c r="H34" s="11"/>
      <c r="I34" s="11"/>
    </row>
    <row r="35" spans="8:9">
      <c r="H35" s="11"/>
      <c r="I35" s="11"/>
    </row>
    <row r="36" spans="8:9">
      <c r="H36" s="11"/>
      <c r="I36" s="11"/>
    </row>
    <row r="37" spans="8:9">
      <c r="H37" s="11"/>
      <c r="I37" s="11"/>
    </row>
    <row r="38" spans="8:9">
      <c r="H38" s="11"/>
      <c r="I38" s="11"/>
    </row>
    <row r="39" spans="8:9">
      <c r="H39" s="11"/>
      <c r="I39" s="11"/>
    </row>
    <row r="40" spans="8:9">
      <c r="H40" s="11"/>
      <c r="I40" s="11"/>
    </row>
    <row r="41" spans="8:9">
      <c r="H41" s="11"/>
      <c r="I41" s="11"/>
    </row>
    <row r="42" spans="8:9">
      <c r="H42" s="11"/>
      <c r="I42" s="11"/>
    </row>
    <row r="43" spans="8:9">
      <c r="H43" s="11"/>
      <c r="I43" s="11"/>
    </row>
    <row r="44" spans="8:9">
      <c r="H44" s="11"/>
      <c r="I44" s="11"/>
    </row>
    <row r="45" spans="8:9">
      <c r="H45" s="11"/>
      <c r="I45" s="11"/>
    </row>
    <row r="46" spans="8:9">
      <c r="H46" s="11"/>
      <c r="I46" s="11"/>
    </row>
    <row r="47" spans="8:9">
      <c r="H47" s="11"/>
      <c r="I47" s="11"/>
    </row>
    <row r="48" spans="8:9">
      <c r="H48" s="11"/>
      <c r="I48" s="11"/>
    </row>
    <row r="49" spans="8:9">
      <c r="H49" s="11"/>
      <c r="I49" s="11"/>
    </row>
    <row r="50" spans="8:9">
      <c r="H50" s="11"/>
      <c r="I50" s="11"/>
    </row>
    <row r="51" spans="8:9">
      <c r="H51" s="11"/>
      <c r="I51" s="11"/>
    </row>
    <row r="52" spans="8:9">
      <c r="H52" s="11"/>
      <c r="I52" s="11"/>
    </row>
    <row r="53" spans="8:9">
      <c r="H53" s="11"/>
      <c r="I53" s="11"/>
    </row>
    <row r="54" spans="8:9">
      <c r="H54" s="11"/>
      <c r="I54" s="11"/>
    </row>
    <row r="55" spans="8:9">
      <c r="H55" s="11"/>
      <c r="I55" s="11"/>
    </row>
    <row r="56" spans="8:9">
      <c r="H56" s="11"/>
      <c r="I56" s="11"/>
    </row>
    <row r="57" spans="8:9">
      <c r="H57" s="11"/>
      <c r="I57" s="11"/>
    </row>
    <row r="58" spans="8:9">
      <c r="H58" s="11"/>
      <c r="I58" s="11"/>
    </row>
    <row r="59" spans="8:9">
      <c r="H59" s="11"/>
      <c r="I59" s="11"/>
    </row>
    <row r="60" spans="8:9">
      <c r="H60" s="11"/>
      <c r="I60" s="11"/>
    </row>
    <row r="61" spans="8:9">
      <c r="H61" s="11"/>
      <c r="I61" s="11"/>
    </row>
    <row r="62" spans="8:9">
      <c r="H62" s="11"/>
      <c r="I62" s="11"/>
    </row>
    <row r="63" spans="8:9">
      <c r="H63" s="11"/>
      <c r="I63" s="11"/>
    </row>
    <row r="64" spans="8:9">
      <c r="H64" s="11"/>
      <c r="I64" s="11"/>
    </row>
    <row r="65" spans="8:9">
      <c r="H65" s="11"/>
      <c r="I65" s="11"/>
    </row>
    <row r="66" spans="8:9">
      <c r="H66" s="11"/>
      <c r="I66" s="11"/>
    </row>
    <row r="67" spans="8:9">
      <c r="H67" s="11"/>
      <c r="I67" s="11"/>
    </row>
    <row r="68" spans="8:9">
      <c r="H68" s="11"/>
      <c r="I68" s="11"/>
    </row>
    <row r="69" spans="8:9">
      <c r="H69" s="11"/>
      <c r="I69" s="11"/>
    </row>
    <row r="70" spans="8:9">
      <c r="H70" s="11"/>
      <c r="I70" s="11"/>
    </row>
    <row r="71" spans="8:9">
      <c r="H71" s="11"/>
      <c r="I71" s="11"/>
    </row>
    <row r="72" spans="8:9">
      <c r="H72" s="11"/>
      <c r="I72" s="11"/>
    </row>
    <row r="73" spans="8:9">
      <c r="H73" s="11"/>
      <c r="I73" s="11"/>
    </row>
    <row r="74" spans="8:9">
      <c r="H74" s="11"/>
      <c r="I74" s="11"/>
    </row>
    <row r="75" spans="8:9">
      <c r="H75" s="11"/>
      <c r="I75" s="11"/>
    </row>
    <row r="76" spans="8:9">
      <c r="H76" s="11"/>
      <c r="I76" s="11"/>
    </row>
    <row r="77" spans="8:9">
      <c r="H77" s="11"/>
      <c r="I77" s="11"/>
    </row>
    <row r="78" spans="8:9">
      <c r="H78" s="11"/>
      <c r="I78" s="11"/>
    </row>
    <row r="79" spans="8:9">
      <c r="H79" s="11"/>
      <c r="I79" s="11"/>
    </row>
    <row r="80" spans="8:9">
      <c r="H80" s="11"/>
      <c r="I80" s="11"/>
    </row>
    <row r="81" spans="8:9">
      <c r="H81" s="11"/>
      <c r="I81" s="11"/>
    </row>
    <row r="82" spans="8:9">
      <c r="H82" s="11"/>
      <c r="I82" s="11"/>
    </row>
    <row r="83" spans="8:9">
      <c r="H83" s="11"/>
      <c r="I83" s="11"/>
    </row>
    <row r="84" spans="8:9">
      <c r="H84" s="11"/>
      <c r="I84" s="11"/>
    </row>
    <row r="85" spans="8:9">
      <c r="H85" s="11"/>
      <c r="I85" s="11"/>
    </row>
    <row r="86" spans="8:9">
      <c r="H86" s="11"/>
      <c r="I86" s="11"/>
    </row>
    <row r="87" spans="8:9">
      <c r="H87" s="11"/>
      <c r="I87" s="11"/>
    </row>
    <row r="88" spans="8:9">
      <c r="H88" s="11"/>
      <c r="I88" s="11"/>
    </row>
    <row r="89" spans="8:9">
      <c r="H89" s="11"/>
      <c r="I89" s="11"/>
    </row>
    <row r="90" spans="8:9">
      <c r="H90" s="11"/>
      <c r="I90" s="11"/>
    </row>
    <row r="91" spans="8:9">
      <c r="H91" s="11"/>
      <c r="I91" s="11"/>
    </row>
    <row r="92" spans="8:9">
      <c r="H92" s="11"/>
      <c r="I92" s="11"/>
    </row>
    <row r="93" spans="8:9">
      <c r="H93" s="11"/>
      <c r="I93" s="11"/>
    </row>
    <row r="94" spans="8:9">
      <c r="H94" s="11"/>
      <c r="I94" s="11"/>
    </row>
    <row r="95" spans="8:9">
      <c r="H95" s="11"/>
      <c r="I95" s="11"/>
    </row>
    <row r="96" spans="8:9">
      <c r="H96" s="11"/>
      <c r="I96" s="11"/>
    </row>
    <row r="97" spans="8:9">
      <c r="H97" s="11"/>
      <c r="I97" s="11"/>
    </row>
    <row r="98" spans="8:9">
      <c r="H98" s="11"/>
      <c r="I98" s="11"/>
    </row>
    <row r="99" spans="8:9">
      <c r="H99" s="11"/>
      <c r="I99" s="11"/>
    </row>
    <row r="100" spans="8:9">
      <c r="H100" s="11"/>
      <c r="I100" s="11"/>
    </row>
    <row r="101" spans="8:9">
      <c r="H101" s="11"/>
      <c r="I101" s="11"/>
    </row>
    <row r="102" spans="8:9">
      <c r="H102" s="11"/>
      <c r="I102" s="11"/>
    </row>
    <row r="103" spans="8:9">
      <c r="H103" s="11"/>
      <c r="I103" s="11"/>
    </row>
    <row r="104" spans="8:9">
      <c r="H104" s="11"/>
      <c r="I104" s="11"/>
    </row>
    <row r="105" spans="8:9">
      <c r="H105" s="11"/>
      <c r="I105" s="11"/>
    </row>
    <row r="106" spans="8:9">
      <c r="H106" s="11"/>
      <c r="I106" s="11"/>
    </row>
    <row r="107" spans="8:9">
      <c r="H107" s="11"/>
      <c r="I107" s="11"/>
    </row>
    <row r="108" spans="8:9">
      <c r="H108" s="11"/>
      <c r="I108" s="11"/>
    </row>
    <row r="109" spans="8:9">
      <c r="H109" s="11"/>
      <c r="I109" s="11"/>
    </row>
    <row r="110" spans="8:9">
      <c r="H110" s="11"/>
      <c r="I110" s="11"/>
    </row>
    <row r="111" spans="8:9">
      <c r="H111" s="11"/>
      <c r="I111" s="11"/>
    </row>
    <row r="112" spans="8:9">
      <c r="H112" s="11"/>
      <c r="I112" s="11"/>
    </row>
    <row r="113" spans="8:9">
      <c r="H113" s="11"/>
      <c r="I113" s="11"/>
    </row>
    <row r="114" spans="8:9">
      <c r="H114" s="11"/>
      <c r="I114" s="11"/>
    </row>
    <row r="115" spans="8:9">
      <c r="H115" s="11"/>
      <c r="I115" s="11"/>
    </row>
    <row r="116" spans="8:9">
      <c r="H116" s="11"/>
      <c r="I116" s="11"/>
    </row>
    <row r="117" spans="8:9">
      <c r="H117" s="11"/>
      <c r="I117" s="11"/>
    </row>
    <row r="118" spans="8:9">
      <c r="H118" s="11"/>
      <c r="I118" s="11"/>
    </row>
    <row r="119" spans="8:9">
      <c r="H119" s="11"/>
      <c r="I119" s="11"/>
    </row>
    <row r="120" spans="8:9">
      <c r="H120" s="11"/>
      <c r="I120" s="11"/>
    </row>
    <row r="121" spans="8:9">
      <c r="H121" s="11"/>
      <c r="I121" s="11"/>
    </row>
    <row r="122" spans="8:9">
      <c r="H122" s="11"/>
      <c r="I122" s="11"/>
    </row>
    <row r="123" spans="8:9">
      <c r="H123" s="11"/>
      <c r="I123" s="11"/>
    </row>
    <row r="124" spans="8:9">
      <c r="H124" s="11"/>
      <c r="I124" s="11"/>
    </row>
    <row r="125" spans="8:9">
      <c r="H125" s="11"/>
      <c r="I125" s="11"/>
    </row>
    <row r="126" spans="8:9">
      <c r="H126" s="11"/>
      <c r="I126" s="11"/>
    </row>
    <row r="127" spans="8:9">
      <c r="H127" s="11"/>
      <c r="I127" s="11"/>
    </row>
    <row r="128" spans="8:9">
      <c r="H128" s="11"/>
      <c r="I128" s="11"/>
    </row>
    <row r="129" spans="8:9">
      <c r="H129" s="11"/>
      <c r="I129" s="11"/>
    </row>
    <row r="130" spans="8:9">
      <c r="H130" s="11"/>
      <c r="I130" s="11"/>
    </row>
    <row r="131" spans="8:9">
      <c r="H131" s="11"/>
      <c r="I131" s="11"/>
    </row>
    <row r="132" spans="8:9">
      <c r="H132" s="11"/>
      <c r="I132" s="11"/>
    </row>
    <row r="133" spans="8:9">
      <c r="H133" s="11"/>
      <c r="I133" s="11"/>
    </row>
    <row r="134" spans="8:9">
      <c r="H134" s="11"/>
      <c r="I134" s="11"/>
    </row>
    <row r="135" spans="8:9">
      <c r="H135" s="11"/>
      <c r="I135" s="11"/>
    </row>
    <row r="136" spans="8:9">
      <c r="H136" s="11"/>
      <c r="I136" s="11"/>
    </row>
    <row r="137" spans="8:9">
      <c r="H137" s="11"/>
      <c r="I137" s="11"/>
    </row>
    <row r="138" spans="8:9">
      <c r="H138" s="11"/>
      <c r="I138" s="11"/>
    </row>
    <row r="139" spans="8:9">
      <c r="H139" s="11"/>
      <c r="I139" s="11"/>
    </row>
    <row r="140" spans="8:9">
      <c r="H140" s="11"/>
      <c r="I140" s="11"/>
    </row>
    <row r="141" spans="8:9">
      <c r="H141" s="11"/>
      <c r="I141" s="11"/>
    </row>
    <row r="142" spans="8:9">
      <c r="H142" s="11"/>
      <c r="I142" s="11"/>
    </row>
    <row r="143" spans="8:9">
      <c r="H143" s="11"/>
      <c r="I143" s="11"/>
    </row>
    <row r="144" spans="8:9">
      <c r="H144" s="11"/>
      <c r="I144" s="11"/>
    </row>
    <row r="145" spans="8:9">
      <c r="H145" s="11"/>
      <c r="I145" s="11"/>
    </row>
    <row r="146" spans="8:9">
      <c r="H146" s="11"/>
      <c r="I146" s="11"/>
    </row>
    <row r="147" spans="8:9">
      <c r="H147" s="11"/>
      <c r="I147" s="11"/>
    </row>
    <row r="148" spans="8:9">
      <c r="H148" s="11"/>
      <c r="I148" s="11"/>
    </row>
    <row r="149" spans="8:9">
      <c r="H149" s="11"/>
      <c r="I149" s="11"/>
    </row>
    <row r="150" spans="8:9">
      <c r="H150" s="11"/>
      <c r="I150" s="11"/>
    </row>
    <row r="151" spans="8:9">
      <c r="H151" s="11"/>
      <c r="I151" s="11"/>
    </row>
    <row r="152" spans="8:9">
      <c r="H152" s="11"/>
      <c r="I152" s="11"/>
    </row>
    <row r="153" spans="8:9">
      <c r="H153" s="11"/>
      <c r="I153" s="11"/>
    </row>
    <row r="154" spans="8:9">
      <c r="H154" s="11"/>
      <c r="I154" s="11"/>
    </row>
    <row r="155" spans="8:9">
      <c r="H155" s="11"/>
      <c r="I155" s="11"/>
    </row>
    <row r="156" spans="8:9">
      <c r="H156" s="11"/>
      <c r="I156" s="11"/>
    </row>
    <row r="157" spans="8:9">
      <c r="H157" s="11"/>
      <c r="I157" s="11"/>
    </row>
    <row r="158" spans="8:9">
      <c r="H158" s="11"/>
      <c r="I158" s="11"/>
    </row>
    <row r="159" spans="8:9">
      <c r="H159" s="11"/>
      <c r="I159" s="11"/>
    </row>
    <row r="160" spans="8:9">
      <c r="H160" s="11"/>
      <c r="I160" s="11"/>
    </row>
    <row r="161" spans="8:9">
      <c r="H161" s="11"/>
      <c r="I161" s="11"/>
    </row>
    <row r="162" spans="8:9">
      <c r="H162" s="11"/>
      <c r="I162" s="11"/>
    </row>
    <row r="163" spans="8:9">
      <c r="H163" s="11"/>
      <c r="I163" s="11"/>
    </row>
    <row r="164" spans="8:9">
      <c r="H164" s="11"/>
      <c r="I164" s="11"/>
    </row>
    <row r="165" spans="8:9">
      <c r="H165" s="11"/>
      <c r="I165" s="11"/>
    </row>
    <row r="166" spans="8:9">
      <c r="H166" s="11"/>
      <c r="I166" s="11"/>
    </row>
    <row r="167" spans="8:9">
      <c r="H167" s="11"/>
      <c r="I167" s="11"/>
    </row>
    <row r="168" spans="8:9">
      <c r="H168" s="11"/>
      <c r="I168" s="11"/>
    </row>
    <row r="169" spans="8:9">
      <c r="H169" s="11"/>
      <c r="I169" s="11"/>
    </row>
    <row r="170" spans="8:9">
      <c r="H170" s="11"/>
      <c r="I170" s="11"/>
    </row>
    <row r="171" spans="8:9">
      <c r="H171" s="11"/>
      <c r="I171" s="11"/>
    </row>
    <row r="172" spans="8:9">
      <c r="H172" s="11"/>
      <c r="I172" s="11"/>
    </row>
    <row r="173" spans="8:9">
      <c r="H173" s="11"/>
      <c r="I173" s="11"/>
    </row>
    <row r="174" spans="8:9">
      <c r="H174" s="11"/>
      <c r="I174" s="11"/>
    </row>
    <row r="175" spans="8:9">
      <c r="H175" s="11"/>
      <c r="I175" s="11"/>
    </row>
    <row r="176" spans="8:9">
      <c r="H176" s="11"/>
      <c r="I176" s="11"/>
    </row>
    <row r="177" spans="8:9">
      <c r="H177" s="11"/>
      <c r="I177" s="11"/>
    </row>
    <row r="178" spans="8:9">
      <c r="H178" s="11"/>
      <c r="I178" s="11"/>
    </row>
    <row r="179" spans="8:9">
      <c r="H179" s="11"/>
      <c r="I179" s="11"/>
    </row>
    <row r="180" spans="8:9">
      <c r="H180" s="11"/>
      <c r="I180" s="11"/>
    </row>
    <row r="181" spans="8:9">
      <c r="H181" s="11"/>
      <c r="I181" s="11"/>
    </row>
    <row r="182" spans="8:9">
      <c r="H182" s="11"/>
      <c r="I182" s="11"/>
    </row>
    <row r="183" spans="8:9">
      <c r="H183" s="11"/>
      <c r="I183" s="11"/>
    </row>
    <row r="184" spans="8:9">
      <c r="H184" s="11"/>
      <c r="I184" s="11"/>
    </row>
    <row r="185" spans="8:9">
      <c r="H185" s="11"/>
      <c r="I185" s="11"/>
    </row>
    <row r="186" spans="8:9">
      <c r="H186" s="11"/>
      <c r="I186" s="11"/>
    </row>
    <row r="187" spans="8:9">
      <c r="H187" s="11"/>
      <c r="I187" s="11"/>
    </row>
    <row r="188" spans="8:9">
      <c r="H188" s="11"/>
      <c r="I188" s="11"/>
    </row>
    <row r="189" spans="8:9">
      <c r="H189" s="11"/>
      <c r="I189" s="11"/>
    </row>
    <row r="190" spans="8:9">
      <c r="H190" s="11"/>
      <c r="I190" s="11"/>
    </row>
    <row r="191" spans="8:9">
      <c r="H191" s="11"/>
      <c r="I191" s="11"/>
    </row>
    <row r="192" spans="8:9">
      <c r="H192" s="11"/>
      <c r="I192" s="11"/>
    </row>
    <row r="193" spans="8:9">
      <c r="H193" s="11"/>
      <c r="I193" s="11"/>
    </row>
    <row r="194" spans="8:9">
      <c r="H194" s="11"/>
      <c r="I194" s="11"/>
    </row>
    <row r="195" spans="8:9">
      <c r="H195" s="11"/>
      <c r="I195" s="11"/>
    </row>
    <row r="196" spans="8:9">
      <c r="H196" s="11"/>
      <c r="I196" s="11"/>
    </row>
    <row r="197" spans="8:9">
      <c r="H197" s="11"/>
      <c r="I197" s="11"/>
    </row>
    <row r="198" spans="8:9">
      <c r="H198" s="11"/>
      <c r="I198" s="11"/>
    </row>
    <row r="199" spans="8:9">
      <c r="H199" s="11"/>
      <c r="I199" s="11"/>
    </row>
    <row r="200" spans="8:9">
      <c r="H200" s="11"/>
      <c r="I200" s="11"/>
    </row>
    <row r="201" spans="8:9">
      <c r="H201" s="11"/>
      <c r="I201" s="11"/>
    </row>
  </sheetData>
  <dataValidations count="2">
    <dataValidation type="list" allowBlank="1"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formula1>"Ingredient,Packaging,Printer,Other"</formula1>
    </dataValidation>
    <dataValidation type="list"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301"/>
  <sheetViews>
    <sheetView showGridLines="0" workbookViewId="0"/>
  </sheetViews>
  <sheetFormatPr defaultRowHeight="14.5"/>
  <cols>
    <col min="1" max="1" width="12" customWidth="1"/>
    <col min="2" max="2" width="26" customWidth="1"/>
    <col min="3" max="3" width="14" customWidth="1"/>
    <col min="4" max="4" width="18" customWidth="1"/>
    <col min="5" max="5" width="24" customWidth="1"/>
    <col min="6" max="6" width="14" customWidth="1"/>
    <col min="7" max="7" width="28" customWidth="1"/>
    <col min="8" max="8" width="18" customWidth="1"/>
    <col min="9" max="9" width="16" customWidth="1"/>
    <col min="10" max="10" width="18" customWidth="1"/>
    <col min="11" max="11" width="24" customWidth="1"/>
    <col min="12" max="12" width="10" customWidth="1"/>
    <col min="13" max="13" width="16" customWidth="1"/>
    <col min="14" max="14" width="12" customWidth="1"/>
  </cols>
  <sheetData>
    <row r="1" spans="1:14">
      <c r="A1" s="14" t="s">
        <v>58</v>
      </c>
      <c r="B1" s="14" t="s">
        <v>59</v>
      </c>
      <c r="C1" s="14" t="s">
        <v>51</v>
      </c>
      <c r="D1" s="14" t="s">
        <v>52</v>
      </c>
      <c r="E1" s="14" t="s">
        <v>53</v>
      </c>
      <c r="F1" s="14" t="s">
        <v>54</v>
      </c>
      <c r="G1" s="14" t="s">
        <v>55</v>
      </c>
      <c r="H1" s="14" t="s">
        <v>60</v>
      </c>
      <c r="I1" s="14" t="s">
        <v>57</v>
      </c>
      <c r="J1" s="14" t="s">
        <v>61</v>
      </c>
      <c r="K1" s="14" t="s">
        <v>28</v>
      </c>
      <c r="L1" s="14" t="s">
        <v>27</v>
      </c>
      <c r="M1" s="14" t="s">
        <v>62</v>
      </c>
      <c r="N1" s="14" t="s">
        <v>63</v>
      </c>
    </row>
    <row r="2" spans="1:14">
      <c r="J2" s="15"/>
      <c r="M2" s="16">
        <f ca="1">IFERROR(SUMIFS('Sales Orders'!L:L,'Sales Orders'!D:D,$A2,'Sales Orders'!B:B,"&gt;="&amp;DATE(YEAR(TODAY()),1,1),'Sales Orders'!B:B,"&lt;="&amp;TODAY()),0)</f>
        <v>0</v>
      </c>
      <c r="N2" s="17">
        <f ca="1">IFERROR(SUMIFS('Sales Orders'!H:H,'Sales Orders'!D:D,$A2,'Sales Orders'!B:B,"&gt;="&amp;DATE(YEAR(TODAY()),1,1),'Sales Orders'!B:B,"&lt;="&amp;TODAY()),0)</f>
        <v>0</v>
      </c>
    </row>
    <row r="3" spans="1:14">
      <c r="J3" s="15"/>
      <c r="M3" s="16">
        <f ca="1">IFERROR(SUMIFS('Sales Orders'!L:L,'Sales Orders'!D:D,$A3,'Sales Orders'!B:B,"&gt;="&amp;DATE(YEAR(TODAY()),1,1),'Sales Orders'!B:B,"&lt;="&amp;TODAY()),0)</f>
        <v>0</v>
      </c>
      <c r="N3" s="17">
        <f ca="1">IFERROR(SUMIFS('Sales Orders'!H:H,'Sales Orders'!D:D,$A3,'Sales Orders'!B:B,"&gt;="&amp;DATE(YEAR(TODAY()),1,1),'Sales Orders'!B:B,"&lt;="&amp;TODAY()),0)</f>
        <v>0</v>
      </c>
    </row>
    <row r="4" spans="1:14">
      <c r="J4" s="15"/>
      <c r="M4" s="16">
        <f ca="1">IFERROR(SUMIFS('Sales Orders'!L:L,'Sales Orders'!D:D,$A4,'Sales Orders'!B:B,"&gt;="&amp;DATE(YEAR(TODAY()),1,1),'Sales Orders'!B:B,"&lt;="&amp;TODAY()),0)</f>
        <v>0</v>
      </c>
      <c r="N4" s="17">
        <f ca="1">IFERROR(SUMIFS('Sales Orders'!H:H,'Sales Orders'!D:D,$A4,'Sales Orders'!B:B,"&gt;="&amp;DATE(YEAR(TODAY()),1,1),'Sales Orders'!B:B,"&lt;="&amp;TODAY()),0)</f>
        <v>0</v>
      </c>
    </row>
    <row r="5" spans="1:14">
      <c r="J5" s="15"/>
      <c r="M5" s="16">
        <f ca="1">IFERROR(SUMIFS('Sales Orders'!L:L,'Sales Orders'!D:D,$A5,'Sales Orders'!B:B,"&gt;="&amp;DATE(YEAR(TODAY()),1,1),'Sales Orders'!B:B,"&lt;="&amp;TODAY()),0)</f>
        <v>0</v>
      </c>
      <c r="N5" s="17">
        <f ca="1">IFERROR(SUMIFS('Sales Orders'!H:H,'Sales Orders'!D:D,$A5,'Sales Orders'!B:B,"&gt;="&amp;DATE(YEAR(TODAY()),1,1),'Sales Orders'!B:B,"&lt;="&amp;TODAY()),0)</f>
        <v>0</v>
      </c>
    </row>
    <row r="6" spans="1:14">
      <c r="J6" s="15"/>
      <c r="M6" s="16">
        <f ca="1">IFERROR(SUMIFS('Sales Orders'!L:L,'Sales Orders'!D:D,$A6,'Sales Orders'!B:B,"&gt;="&amp;DATE(YEAR(TODAY()),1,1),'Sales Orders'!B:B,"&lt;="&amp;TODAY()),0)</f>
        <v>0</v>
      </c>
      <c r="N6" s="17">
        <f ca="1">IFERROR(SUMIFS('Sales Orders'!H:H,'Sales Orders'!D:D,$A6,'Sales Orders'!B:B,"&gt;="&amp;DATE(YEAR(TODAY()),1,1),'Sales Orders'!B:B,"&lt;="&amp;TODAY()),0)</f>
        <v>0</v>
      </c>
    </row>
    <row r="7" spans="1:14">
      <c r="J7" s="15"/>
      <c r="M7" s="16">
        <f ca="1">IFERROR(SUMIFS('Sales Orders'!L:L,'Sales Orders'!D:D,$A7,'Sales Orders'!B:B,"&gt;="&amp;DATE(YEAR(TODAY()),1,1),'Sales Orders'!B:B,"&lt;="&amp;TODAY()),0)</f>
        <v>0</v>
      </c>
      <c r="N7" s="17">
        <f ca="1">IFERROR(SUMIFS('Sales Orders'!H:H,'Sales Orders'!D:D,$A7,'Sales Orders'!B:B,"&gt;="&amp;DATE(YEAR(TODAY()),1,1),'Sales Orders'!B:B,"&lt;="&amp;TODAY()),0)</f>
        <v>0</v>
      </c>
    </row>
    <row r="8" spans="1:14">
      <c r="J8" s="15"/>
      <c r="M8" s="16">
        <f ca="1">IFERROR(SUMIFS('Sales Orders'!L:L,'Sales Orders'!D:D,$A8,'Sales Orders'!B:B,"&gt;="&amp;DATE(YEAR(TODAY()),1,1),'Sales Orders'!B:B,"&lt;="&amp;TODAY()),0)</f>
        <v>0</v>
      </c>
      <c r="N8" s="17">
        <f ca="1">IFERROR(SUMIFS('Sales Orders'!H:H,'Sales Orders'!D:D,$A8,'Sales Orders'!B:B,"&gt;="&amp;DATE(YEAR(TODAY()),1,1),'Sales Orders'!B:B,"&lt;="&amp;TODAY()),0)</f>
        <v>0</v>
      </c>
    </row>
    <row r="9" spans="1:14">
      <c r="J9" s="15"/>
      <c r="M9" s="16">
        <f ca="1">IFERROR(SUMIFS('Sales Orders'!L:L,'Sales Orders'!D:D,$A9,'Sales Orders'!B:B,"&gt;="&amp;DATE(YEAR(TODAY()),1,1),'Sales Orders'!B:B,"&lt;="&amp;TODAY()),0)</f>
        <v>0</v>
      </c>
      <c r="N9" s="17">
        <f ca="1">IFERROR(SUMIFS('Sales Orders'!H:H,'Sales Orders'!D:D,$A9,'Sales Orders'!B:B,"&gt;="&amp;DATE(YEAR(TODAY()),1,1),'Sales Orders'!B:B,"&lt;="&amp;TODAY()),0)</f>
        <v>0</v>
      </c>
    </row>
    <row r="10" spans="1:14">
      <c r="J10" s="15"/>
      <c r="M10" s="16">
        <f ca="1">IFERROR(SUMIFS('Sales Orders'!L:L,'Sales Orders'!D:D,$A10,'Sales Orders'!B:B,"&gt;="&amp;DATE(YEAR(TODAY()),1,1),'Sales Orders'!B:B,"&lt;="&amp;TODAY()),0)</f>
        <v>0</v>
      </c>
      <c r="N10" s="17">
        <f ca="1">IFERROR(SUMIFS('Sales Orders'!H:H,'Sales Orders'!D:D,$A10,'Sales Orders'!B:B,"&gt;="&amp;DATE(YEAR(TODAY()),1,1),'Sales Orders'!B:B,"&lt;="&amp;TODAY()),0)</f>
        <v>0</v>
      </c>
    </row>
    <row r="11" spans="1:14">
      <c r="J11" s="15"/>
      <c r="M11" s="16">
        <f ca="1">IFERROR(SUMIFS('Sales Orders'!L:L,'Sales Orders'!D:D,$A11,'Sales Orders'!B:B,"&gt;="&amp;DATE(YEAR(TODAY()),1,1),'Sales Orders'!B:B,"&lt;="&amp;TODAY()),0)</f>
        <v>0</v>
      </c>
      <c r="N11" s="17">
        <f ca="1">IFERROR(SUMIFS('Sales Orders'!H:H,'Sales Orders'!D:D,$A11,'Sales Orders'!B:B,"&gt;="&amp;DATE(YEAR(TODAY()),1,1),'Sales Orders'!B:B,"&lt;="&amp;TODAY()),0)</f>
        <v>0</v>
      </c>
    </row>
    <row r="12" spans="1:14">
      <c r="J12" s="15"/>
      <c r="M12" s="16">
        <f ca="1">IFERROR(SUMIFS('Sales Orders'!L:L,'Sales Orders'!D:D,$A12,'Sales Orders'!B:B,"&gt;="&amp;DATE(YEAR(TODAY()),1,1),'Sales Orders'!B:B,"&lt;="&amp;TODAY()),0)</f>
        <v>0</v>
      </c>
      <c r="N12" s="17">
        <f ca="1">IFERROR(SUMIFS('Sales Orders'!H:H,'Sales Orders'!D:D,$A12,'Sales Orders'!B:B,"&gt;="&amp;DATE(YEAR(TODAY()),1,1),'Sales Orders'!B:B,"&lt;="&amp;TODAY()),0)</f>
        <v>0</v>
      </c>
    </row>
    <row r="13" spans="1:14">
      <c r="J13" s="15"/>
      <c r="M13" s="16">
        <f ca="1">IFERROR(SUMIFS('Sales Orders'!L:L,'Sales Orders'!D:D,$A13,'Sales Orders'!B:B,"&gt;="&amp;DATE(YEAR(TODAY()),1,1),'Sales Orders'!B:B,"&lt;="&amp;TODAY()),0)</f>
        <v>0</v>
      </c>
      <c r="N13" s="17">
        <f ca="1">IFERROR(SUMIFS('Sales Orders'!H:H,'Sales Orders'!D:D,$A13,'Sales Orders'!B:B,"&gt;="&amp;DATE(YEAR(TODAY()),1,1),'Sales Orders'!B:B,"&lt;="&amp;TODAY()),0)</f>
        <v>0</v>
      </c>
    </row>
    <row r="14" spans="1:14">
      <c r="J14" s="15"/>
      <c r="M14" s="16">
        <f ca="1">IFERROR(SUMIFS('Sales Orders'!L:L,'Sales Orders'!D:D,$A14,'Sales Orders'!B:B,"&gt;="&amp;DATE(YEAR(TODAY()),1,1),'Sales Orders'!B:B,"&lt;="&amp;TODAY()),0)</f>
        <v>0</v>
      </c>
      <c r="N14" s="17">
        <f ca="1">IFERROR(SUMIFS('Sales Orders'!H:H,'Sales Orders'!D:D,$A14,'Sales Orders'!B:B,"&gt;="&amp;DATE(YEAR(TODAY()),1,1),'Sales Orders'!B:B,"&lt;="&amp;TODAY()),0)</f>
        <v>0</v>
      </c>
    </row>
    <row r="15" spans="1:14">
      <c r="J15" s="15"/>
      <c r="M15" s="16">
        <f ca="1">IFERROR(SUMIFS('Sales Orders'!L:L,'Sales Orders'!D:D,$A15,'Sales Orders'!B:B,"&gt;="&amp;DATE(YEAR(TODAY()),1,1),'Sales Orders'!B:B,"&lt;="&amp;TODAY()),0)</f>
        <v>0</v>
      </c>
      <c r="N15" s="17">
        <f ca="1">IFERROR(SUMIFS('Sales Orders'!H:H,'Sales Orders'!D:D,$A15,'Sales Orders'!B:B,"&gt;="&amp;DATE(YEAR(TODAY()),1,1),'Sales Orders'!B:B,"&lt;="&amp;TODAY()),0)</f>
        <v>0</v>
      </c>
    </row>
    <row r="16" spans="1:14">
      <c r="J16" s="15"/>
      <c r="M16" s="16">
        <f ca="1">IFERROR(SUMIFS('Sales Orders'!L:L,'Sales Orders'!D:D,$A16,'Sales Orders'!B:B,"&gt;="&amp;DATE(YEAR(TODAY()),1,1),'Sales Orders'!B:B,"&lt;="&amp;TODAY()),0)</f>
        <v>0</v>
      </c>
      <c r="N16" s="17">
        <f ca="1">IFERROR(SUMIFS('Sales Orders'!H:H,'Sales Orders'!D:D,$A16,'Sales Orders'!B:B,"&gt;="&amp;DATE(YEAR(TODAY()),1,1),'Sales Orders'!B:B,"&lt;="&amp;TODAY()),0)</f>
        <v>0</v>
      </c>
    </row>
    <row r="17" spans="10:14">
      <c r="J17" s="15"/>
      <c r="M17" s="16">
        <f ca="1">IFERROR(SUMIFS('Sales Orders'!L:L,'Sales Orders'!D:D,$A17,'Sales Orders'!B:B,"&gt;="&amp;DATE(YEAR(TODAY()),1,1),'Sales Orders'!B:B,"&lt;="&amp;TODAY()),0)</f>
        <v>0</v>
      </c>
      <c r="N17" s="17">
        <f ca="1">IFERROR(SUMIFS('Sales Orders'!H:H,'Sales Orders'!D:D,$A17,'Sales Orders'!B:B,"&gt;="&amp;DATE(YEAR(TODAY()),1,1),'Sales Orders'!B:B,"&lt;="&amp;TODAY()),0)</f>
        <v>0</v>
      </c>
    </row>
    <row r="18" spans="10:14">
      <c r="J18" s="15"/>
      <c r="M18" s="16">
        <f ca="1">IFERROR(SUMIFS('Sales Orders'!L:L,'Sales Orders'!D:D,$A18,'Sales Orders'!B:B,"&gt;="&amp;DATE(YEAR(TODAY()),1,1),'Sales Orders'!B:B,"&lt;="&amp;TODAY()),0)</f>
        <v>0</v>
      </c>
      <c r="N18" s="17">
        <f ca="1">IFERROR(SUMIFS('Sales Orders'!H:H,'Sales Orders'!D:D,$A18,'Sales Orders'!B:B,"&gt;="&amp;DATE(YEAR(TODAY()),1,1),'Sales Orders'!B:B,"&lt;="&amp;TODAY()),0)</f>
        <v>0</v>
      </c>
    </row>
    <row r="19" spans="10:14">
      <c r="J19" s="15"/>
      <c r="M19" s="16">
        <f ca="1">IFERROR(SUMIFS('Sales Orders'!L:L,'Sales Orders'!D:D,$A19,'Sales Orders'!B:B,"&gt;="&amp;DATE(YEAR(TODAY()),1,1),'Sales Orders'!B:B,"&lt;="&amp;TODAY()),0)</f>
        <v>0</v>
      </c>
      <c r="N19" s="17">
        <f ca="1">IFERROR(SUMIFS('Sales Orders'!H:H,'Sales Orders'!D:D,$A19,'Sales Orders'!B:B,"&gt;="&amp;DATE(YEAR(TODAY()),1,1),'Sales Orders'!B:B,"&lt;="&amp;TODAY()),0)</f>
        <v>0</v>
      </c>
    </row>
    <row r="20" spans="10:14">
      <c r="J20" s="15"/>
      <c r="M20" s="16">
        <f ca="1">IFERROR(SUMIFS('Sales Orders'!L:L,'Sales Orders'!D:D,$A20,'Sales Orders'!B:B,"&gt;="&amp;DATE(YEAR(TODAY()),1,1),'Sales Orders'!B:B,"&lt;="&amp;TODAY()),0)</f>
        <v>0</v>
      </c>
      <c r="N20" s="17">
        <f ca="1">IFERROR(SUMIFS('Sales Orders'!H:H,'Sales Orders'!D:D,$A20,'Sales Orders'!B:B,"&gt;="&amp;DATE(YEAR(TODAY()),1,1),'Sales Orders'!B:B,"&lt;="&amp;TODAY()),0)</f>
        <v>0</v>
      </c>
    </row>
    <row r="21" spans="10:14">
      <c r="J21" s="15"/>
      <c r="M21" s="16">
        <f ca="1">IFERROR(SUMIFS('Sales Orders'!L:L,'Sales Orders'!D:D,$A21,'Sales Orders'!B:B,"&gt;="&amp;DATE(YEAR(TODAY()),1,1),'Sales Orders'!B:B,"&lt;="&amp;TODAY()),0)</f>
        <v>0</v>
      </c>
      <c r="N21" s="17">
        <f ca="1">IFERROR(SUMIFS('Sales Orders'!H:H,'Sales Orders'!D:D,$A21,'Sales Orders'!B:B,"&gt;="&amp;DATE(YEAR(TODAY()),1,1),'Sales Orders'!B:B,"&lt;="&amp;TODAY()),0)</f>
        <v>0</v>
      </c>
    </row>
    <row r="22" spans="10:14">
      <c r="J22" s="15"/>
      <c r="M22" s="16">
        <f ca="1">IFERROR(SUMIFS('Sales Orders'!L:L,'Sales Orders'!D:D,$A22,'Sales Orders'!B:B,"&gt;="&amp;DATE(YEAR(TODAY()),1,1),'Sales Orders'!B:B,"&lt;="&amp;TODAY()),0)</f>
        <v>0</v>
      </c>
      <c r="N22" s="17">
        <f ca="1">IFERROR(SUMIFS('Sales Orders'!H:H,'Sales Orders'!D:D,$A22,'Sales Orders'!B:B,"&gt;="&amp;DATE(YEAR(TODAY()),1,1),'Sales Orders'!B:B,"&lt;="&amp;TODAY()),0)</f>
        <v>0</v>
      </c>
    </row>
    <row r="23" spans="10:14">
      <c r="J23" s="15"/>
      <c r="M23" s="16">
        <f ca="1">IFERROR(SUMIFS('Sales Orders'!L:L,'Sales Orders'!D:D,$A23,'Sales Orders'!B:B,"&gt;="&amp;DATE(YEAR(TODAY()),1,1),'Sales Orders'!B:B,"&lt;="&amp;TODAY()),0)</f>
        <v>0</v>
      </c>
      <c r="N23" s="17">
        <f ca="1">IFERROR(SUMIFS('Sales Orders'!H:H,'Sales Orders'!D:D,$A23,'Sales Orders'!B:B,"&gt;="&amp;DATE(YEAR(TODAY()),1,1),'Sales Orders'!B:B,"&lt;="&amp;TODAY()),0)</f>
        <v>0</v>
      </c>
    </row>
    <row r="24" spans="10:14">
      <c r="J24" s="15"/>
      <c r="M24" s="16">
        <f ca="1">IFERROR(SUMIFS('Sales Orders'!L:L,'Sales Orders'!D:D,$A24,'Sales Orders'!B:B,"&gt;="&amp;DATE(YEAR(TODAY()),1,1),'Sales Orders'!B:B,"&lt;="&amp;TODAY()),0)</f>
        <v>0</v>
      </c>
      <c r="N24" s="17">
        <f ca="1">IFERROR(SUMIFS('Sales Orders'!H:H,'Sales Orders'!D:D,$A24,'Sales Orders'!B:B,"&gt;="&amp;DATE(YEAR(TODAY()),1,1),'Sales Orders'!B:B,"&lt;="&amp;TODAY()),0)</f>
        <v>0</v>
      </c>
    </row>
    <row r="25" spans="10:14">
      <c r="J25" s="15"/>
      <c r="M25" s="16">
        <f ca="1">IFERROR(SUMIFS('Sales Orders'!L:L,'Sales Orders'!D:D,$A25,'Sales Orders'!B:B,"&gt;="&amp;DATE(YEAR(TODAY()),1,1),'Sales Orders'!B:B,"&lt;="&amp;TODAY()),0)</f>
        <v>0</v>
      </c>
      <c r="N25" s="17">
        <f ca="1">IFERROR(SUMIFS('Sales Orders'!H:H,'Sales Orders'!D:D,$A25,'Sales Orders'!B:B,"&gt;="&amp;DATE(YEAR(TODAY()),1,1),'Sales Orders'!B:B,"&lt;="&amp;TODAY()),0)</f>
        <v>0</v>
      </c>
    </row>
    <row r="26" spans="10:14">
      <c r="J26" s="15"/>
      <c r="M26" s="16">
        <f ca="1">IFERROR(SUMIFS('Sales Orders'!L:L,'Sales Orders'!D:D,$A26,'Sales Orders'!B:B,"&gt;="&amp;DATE(YEAR(TODAY()),1,1),'Sales Orders'!B:B,"&lt;="&amp;TODAY()),0)</f>
        <v>0</v>
      </c>
      <c r="N26" s="17">
        <f ca="1">IFERROR(SUMIFS('Sales Orders'!H:H,'Sales Orders'!D:D,$A26,'Sales Orders'!B:B,"&gt;="&amp;DATE(YEAR(TODAY()),1,1),'Sales Orders'!B:B,"&lt;="&amp;TODAY()),0)</f>
        <v>0</v>
      </c>
    </row>
    <row r="27" spans="10:14">
      <c r="J27" s="15"/>
      <c r="M27" s="16">
        <f ca="1">IFERROR(SUMIFS('Sales Orders'!L:L,'Sales Orders'!D:D,$A27,'Sales Orders'!B:B,"&gt;="&amp;DATE(YEAR(TODAY()),1,1),'Sales Orders'!B:B,"&lt;="&amp;TODAY()),0)</f>
        <v>0</v>
      </c>
      <c r="N27" s="17">
        <f ca="1">IFERROR(SUMIFS('Sales Orders'!H:H,'Sales Orders'!D:D,$A27,'Sales Orders'!B:B,"&gt;="&amp;DATE(YEAR(TODAY()),1,1),'Sales Orders'!B:B,"&lt;="&amp;TODAY()),0)</f>
        <v>0</v>
      </c>
    </row>
    <row r="28" spans="10:14">
      <c r="J28" s="15"/>
      <c r="M28" s="16">
        <f ca="1">IFERROR(SUMIFS('Sales Orders'!L:L,'Sales Orders'!D:D,$A28,'Sales Orders'!B:B,"&gt;="&amp;DATE(YEAR(TODAY()),1,1),'Sales Orders'!B:B,"&lt;="&amp;TODAY()),0)</f>
        <v>0</v>
      </c>
      <c r="N28" s="17">
        <f ca="1">IFERROR(SUMIFS('Sales Orders'!H:H,'Sales Orders'!D:D,$A28,'Sales Orders'!B:B,"&gt;="&amp;DATE(YEAR(TODAY()),1,1),'Sales Orders'!B:B,"&lt;="&amp;TODAY()),0)</f>
        <v>0</v>
      </c>
    </row>
    <row r="29" spans="10:14">
      <c r="J29" s="15"/>
      <c r="M29" s="16">
        <f ca="1">IFERROR(SUMIFS('Sales Orders'!L:L,'Sales Orders'!D:D,$A29,'Sales Orders'!B:B,"&gt;="&amp;DATE(YEAR(TODAY()),1,1),'Sales Orders'!B:B,"&lt;="&amp;TODAY()),0)</f>
        <v>0</v>
      </c>
      <c r="N29" s="17">
        <f ca="1">IFERROR(SUMIFS('Sales Orders'!H:H,'Sales Orders'!D:D,$A29,'Sales Orders'!B:B,"&gt;="&amp;DATE(YEAR(TODAY()),1,1),'Sales Orders'!B:B,"&lt;="&amp;TODAY()),0)</f>
        <v>0</v>
      </c>
    </row>
    <row r="30" spans="10:14">
      <c r="J30" s="15"/>
      <c r="M30" s="16">
        <f ca="1">IFERROR(SUMIFS('Sales Orders'!L:L,'Sales Orders'!D:D,$A30,'Sales Orders'!B:B,"&gt;="&amp;DATE(YEAR(TODAY()),1,1),'Sales Orders'!B:B,"&lt;="&amp;TODAY()),0)</f>
        <v>0</v>
      </c>
      <c r="N30" s="17">
        <f ca="1">IFERROR(SUMIFS('Sales Orders'!H:H,'Sales Orders'!D:D,$A30,'Sales Orders'!B:B,"&gt;="&amp;DATE(YEAR(TODAY()),1,1),'Sales Orders'!B:B,"&lt;="&amp;TODAY()),0)</f>
        <v>0</v>
      </c>
    </row>
    <row r="31" spans="10:14">
      <c r="J31" s="15"/>
      <c r="M31" s="16">
        <f ca="1">IFERROR(SUMIFS('Sales Orders'!L:L,'Sales Orders'!D:D,$A31,'Sales Orders'!B:B,"&gt;="&amp;DATE(YEAR(TODAY()),1,1),'Sales Orders'!B:B,"&lt;="&amp;TODAY()),0)</f>
        <v>0</v>
      </c>
      <c r="N31" s="17">
        <f ca="1">IFERROR(SUMIFS('Sales Orders'!H:H,'Sales Orders'!D:D,$A31,'Sales Orders'!B:B,"&gt;="&amp;DATE(YEAR(TODAY()),1,1),'Sales Orders'!B:B,"&lt;="&amp;TODAY()),0)</f>
        <v>0</v>
      </c>
    </row>
    <row r="32" spans="10:14">
      <c r="J32" s="15"/>
      <c r="M32" s="16">
        <f ca="1">IFERROR(SUMIFS('Sales Orders'!L:L,'Sales Orders'!D:D,$A32,'Sales Orders'!B:B,"&gt;="&amp;DATE(YEAR(TODAY()),1,1),'Sales Orders'!B:B,"&lt;="&amp;TODAY()),0)</f>
        <v>0</v>
      </c>
      <c r="N32" s="17">
        <f ca="1">IFERROR(SUMIFS('Sales Orders'!H:H,'Sales Orders'!D:D,$A32,'Sales Orders'!B:B,"&gt;="&amp;DATE(YEAR(TODAY()),1,1),'Sales Orders'!B:B,"&lt;="&amp;TODAY()),0)</f>
        <v>0</v>
      </c>
    </row>
    <row r="33" spans="10:14">
      <c r="J33" s="15"/>
      <c r="M33" s="16">
        <f ca="1">IFERROR(SUMIFS('Sales Orders'!L:L,'Sales Orders'!D:D,$A33,'Sales Orders'!B:B,"&gt;="&amp;DATE(YEAR(TODAY()),1,1),'Sales Orders'!B:B,"&lt;="&amp;TODAY()),0)</f>
        <v>0</v>
      </c>
      <c r="N33" s="17">
        <f ca="1">IFERROR(SUMIFS('Sales Orders'!H:H,'Sales Orders'!D:D,$A33,'Sales Orders'!B:B,"&gt;="&amp;DATE(YEAR(TODAY()),1,1),'Sales Orders'!B:B,"&lt;="&amp;TODAY()),0)</f>
        <v>0</v>
      </c>
    </row>
    <row r="34" spans="10:14">
      <c r="J34" s="15"/>
      <c r="M34" s="16">
        <f ca="1">IFERROR(SUMIFS('Sales Orders'!L:L,'Sales Orders'!D:D,$A34,'Sales Orders'!B:B,"&gt;="&amp;DATE(YEAR(TODAY()),1,1),'Sales Orders'!B:B,"&lt;="&amp;TODAY()),0)</f>
        <v>0</v>
      </c>
      <c r="N34" s="17">
        <f ca="1">IFERROR(SUMIFS('Sales Orders'!H:H,'Sales Orders'!D:D,$A34,'Sales Orders'!B:B,"&gt;="&amp;DATE(YEAR(TODAY()),1,1),'Sales Orders'!B:B,"&lt;="&amp;TODAY()),0)</f>
        <v>0</v>
      </c>
    </row>
    <row r="35" spans="10:14">
      <c r="J35" s="15"/>
      <c r="M35" s="16">
        <f ca="1">IFERROR(SUMIFS('Sales Orders'!L:L,'Sales Orders'!D:D,$A35,'Sales Orders'!B:B,"&gt;="&amp;DATE(YEAR(TODAY()),1,1),'Sales Orders'!B:B,"&lt;="&amp;TODAY()),0)</f>
        <v>0</v>
      </c>
      <c r="N35" s="17">
        <f ca="1">IFERROR(SUMIFS('Sales Orders'!H:H,'Sales Orders'!D:D,$A35,'Sales Orders'!B:B,"&gt;="&amp;DATE(YEAR(TODAY()),1,1),'Sales Orders'!B:B,"&lt;="&amp;TODAY()),0)</f>
        <v>0</v>
      </c>
    </row>
    <row r="36" spans="10:14">
      <c r="J36" s="15"/>
      <c r="M36" s="16">
        <f ca="1">IFERROR(SUMIFS('Sales Orders'!L:L,'Sales Orders'!D:D,$A36,'Sales Orders'!B:B,"&gt;="&amp;DATE(YEAR(TODAY()),1,1),'Sales Orders'!B:B,"&lt;="&amp;TODAY()),0)</f>
        <v>0</v>
      </c>
      <c r="N36" s="17">
        <f ca="1">IFERROR(SUMIFS('Sales Orders'!H:H,'Sales Orders'!D:D,$A36,'Sales Orders'!B:B,"&gt;="&amp;DATE(YEAR(TODAY()),1,1),'Sales Orders'!B:B,"&lt;="&amp;TODAY()),0)</f>
        <v>0</v>
      </c>
    </row>
    <row r="37" spans="10:14">
      <c r="J37" s="15"/>
      <c r="M37" s="16">
        <f ca="1">IFERROR(SUMIFS('Sales Orders'!L:L,'Sales Orders'!D:D,$A37,'Sales Orders'!B:B,"&gt;="&amp;DATE(YEAR(TODAY()),1,1),'Sales Orders'!B:B,"&lt;="&amp;TODAY()),0)</f>
        <v>0</v>
      </c>
      <c r="N37" s="17">
        <f ca="1">IFERROR(SUMIFS('Sales Orders'!H:H,'Sales Orders'!D:D,$A37,'Sales Orders'!B:B,"&gt;="&amp;DATE(YEAR(TODAY()),1,1),'Sales Orders'!B:B,"&lt;="&amp;TODAY()),0)</f>
        <v>0</v>
      </c>
    </row>
    <row r="38" spans="10:14">
      <c r="J38" s="15"/>
      <c r="M38" s="16">
        <f ca="1">IFERROR(SUMIFS('Sales Orders'!L:L,'Sales Orders'!D:D,$A38,'Sales Orders'!B:B,"&gt;="&amp;DATE(YEAR(TODAY()),1,1),'Sales Orders'!B:B,"&lt;="&amp;TODAY()),0)</f>
        <v>0</v>
      </c>
      <c r="N38" s="17">
        <f ca="1">IFERROR(SUMIFS('Sales Orders'!H:H,'Sales Orders'!D:D,$A38,'Sales Orders'!B:B,"&gt;="&amp;DATE(YEAR(TODAY()),1,1),'Sales Orders'!B:B,"&lt;="&amp;TODAY()),0)</f>
        <v>0</v>
      </c>
    </row>
    <row r="39" spans="10:14">
      <c r="J39" s="15"/>
      <c r="M39" s="16">
        <f ca="1">IFERROR(SUMIFS('Sales Orders'!L:L,'Sales Orders'!D:D,$A39,'Sales Orders'!B:B,"&gt;="&amp;DATE(YEAR(TODAY()),1,1),'Sales Orders'!B:B,"&lt;="&amp;TODAY()),0)</f>
        <v>0</v>
      </c>
      <c r="N39" s="17">
        <f ca="1">IFERROR(SUMIFS('Sales Orders'!H:H,'Sales Orders'!D:D,$A39,'Sales Orders'!B:B,"&gt;="&amp;DATE(YEAR(TODAY()),1,1),'Sales Orders'!B:B,"&lt;="&amp;TODAY()),0)</f>
        <v>0</v>
      </c>
    </row>
    <row r="40" spans="10:14">
      <c r="J40" s="15"/>
      <c r="M40" s="16">
        <f ca="1">IFERROR(SUMIFS('Sales Orders'!L:L,'Sales Orders'!D:D,$A40,'Sales Orders'!B:B,"&gt;="&amp;DATE(YEAR(TODAY()),1,1),'Sales Orders'!B:B,"&lt;="&amp;TODAY()),0)</f>
        <v>0</v>
      </c>
      <c r="N40" s="17">
        <f ca="1">IFERROR(SUMIFS('Sales Orders'!H:H,'Sales Orders'!D:D,$A40,'Sales Orders'!B:B,"&gt;="&amp;DATE(YEAR(TODAY()),1,1),'Sales Orders'!B:B,"&lt;="&amp;TODAY()),0)</f>
        <v>0</v>
      </c>
    </row>
    <row r="41" spans="10:14">
      <c r="J41" s="15"/>
      <c r="M41" s="16">
        <f ca="1">IFERROR(SUMIFS('Sales Orders'!L:L,'Sales Orders'!D:D,$A41,'Sales Orders'!B:B,"&gt;="&amp;DATE(YEAR(TODAY()),1,1),'Sales Orders'!B:B,"&lt;="&amp;TODAY()),0)</f>
        <v>0</v>
      </c>
      <c r="N41" s="17">
        <f ca="1">IFERROR(SUMIFS('Sales Orders'!H:H,'Sales Orders'!D:D,$A41,'Sales Orders'!B:B,"&gt;="&amp;DATE(YEAR(TODAY()),1,1),'Sales Orders'!B:B,"&lt;="&amp;TODAY()),0)</f>
        <v>0</v>
      </c>
    </row>
    <row r="42" spans="10:14">
      <c r="J42" s="15"/>
      <c r="M42" s="16">
        <f ca="1">IFERROR(SUMIFS('Sales Orders'!L:L,'Sales Orders'!D:D,$A42,'Sales Orders'!B:B,"&gt;="&amp;DATE(YEAR(TODAY()),1,1),'Sales Orders'!B:B,"&lt;="&amp;TODAY()),0)</f>
        <v>0</v>
      </c>
      <c r="N42" s="17">
        <f ca="1">IFERROR(SUMIFS('Sales Orders'!H:H,'Sales Orders'!D:D,$A42,'Sales Orders'!B:B,"&gt;="&amp;DATE(YEAR(TODAY()),1,1),'Sales Orders'!B:B,"&lt;="&amp;TODAY()),0)</f>
        <v>0</v>
      </c>
    </row>
    <row r="43" spans="10:14">
      <c r="J43" s="15"/>
      <c r="M43" s="16">
        <f ca="1">IFERROR(SUMIFS('Sales Orders'!L:L,'Sales Orders'!D:D,$A43,'Sales Orders'!B:B,"&gt;="&amp;DATE(YEAR(TODAY()),1,1),'Sales Orders'!B:B,"&lt;="&amp;TODAY()),0)</f>
        <v>0</v>
      </c>
      <c r="N43" s="17">
        <f ca="1">IFERROR(SUMIFS('Sales Orders'!H:H,'Sales Orders'!D:D,$A43,'Sales Orders'!B:B,"&gt;="&amp;DATE(YEAR(TODAY()),1,1),'Sales Orders'!B:B,"&lt;="&amp;TODAY()),0)</f>
        <v>0</v>
      </c>
    </row>
    <row r="44" spans="10:14">
      <c r="J44" s="15"/>
      <c r="M44" s="16">
        <f ca="1">IFERROR(SUMIFS('Sales Orders'!L:L,'Sales Orders'!D:D,$A44,'Sales Orders'!B:B,"&gt;="&amp;DATE(YEAR(TODAY()),1,1),'Sales Orders'!B:B,"&lt;="&amp;TODAY()),0)</f>
        <v>0</v>
      </c>
      <c r="N44" s="17">
        <f ca="1">IFERROR(SUMIFS('Sales Orders'!H:H,'Sales Orders'!D:D,$A44,'Sales Orders'!B:B,"&gt;="&amp;DATE(YEAR(TODAY()),1,1),'Sales Orders'!B:B,"&lt;="&amp;TODAY()),0)</f>
        <v>0</v>
      </c>
    </row>
    <row r="45" spans="10:14">
      <c r="J45" s="15"/>
      <c r="M45" s="16">
        <f ca="1">IFERROR(SUMIFS('Sales Orders'!L:L,'Sales Orders'!D:D,$A45,'Sales Orders'!B:B,"&gt;="&amp;DATE(YEAR(TODAY()),1,1),'Sales Orders'!B:B,"&lt;="&amp;TODAY()),0)</f>
        <v>0</v>
      </c>
      <c r="N45" s="17">
        <f ca="1">IFERROR(SUMIFS('Sales Orders'!H:H,'Sales Orders'!D:D,$A45,'Sales Orders'!B:B,"&gt;="&amp;DATE(YEAR(TODAY()),1,1),'Sales Orders'!B:B,"&lt;="&amp;TODAY()),0)</f>
        <v>0</v>
      </c>
    </row>
    <row r="46" spans="10:14">
      <c r="J46" s="15"/>
      <c r="M46" s="16">
        <f ca="1">IFERROR(SUMIFS('Sales Orders'!L:L,'Sales Orders'!D:D,$A46,'Sales Orders'!B:B,"&gt;="&amp;DATE(YEAR(TODAY()),1,1),'Sales Orders'!B:B,"&lt;="&amp;TODAY()),0)</f>
        <v>0</v>
      </c>
      <c r="N46" s="17">
        <f ca="1">IFERROR(SUMIFS('Sales Orders'!H:H,'Sales Orders'!D:D,$A46,'Sales Orders'!B:B,"&gt;="&amp;DATE(YEAR(TODAY()),1,1),'Sales Orders'!B:B,"&lt;="&amp;TODAY()),0)</f>
        <v>0</v>
      </c>
    </row>
    <row r="47" spans="10:14">
      <c r="J47" s="15"/>
      <c r="M47" s="16">
        <f ca="1">IFERROR(SUMIFS('Sales Orders'!L:L,'Sales Orders'!D:D,$A47,'Sales Orders'!B:B,"&gt;="&amp;DATE(YEAR(TODAY()),1,1),'Sales Orders'!B:B,"&lt;="&amp;TODAY()),0)</f>
        <v>0</v>
      </c>
      <c r="N47" s="17">
        <f ca="1">IFERROR(SUMIFS('Sales Orders'!H:H,'Sales Orders'!D:D,$A47,'Sales Orders'!B:B,"&gt;="&amp;DATE(YEAR(TODAY()),1,1),'Sales Orders'!B:B,"&lt;="&amp;TODAY()),0)</f>
        <v>0</v>
      </c>
    </row>
    <row r="48" spans="10:14">
      <c r="J48" s="15"/>
      <c r="M48" s="16">
        <f ca="1">IFERROR(SUMIFS('Sales Orders'!L:L,'Sales Orders'!D:D,$A48,'Sales Orders'!B:B,"&gt;="&amp;DATE(YEAR(TODAY()),1,1),'Sales Orders'!B:B,"&lt;="&amp;TODAY()),0)</f>
        <v>0</v>
      </c>
      <c r="N48" s="17">
        <f ca="1">IFERROR(SUMIFS('Sales Orders'!H:H,'Sales Orders'!D:D,$A48,'Sales Orders'!B:B,"&gt;="&amp;DATE(YEAR(TODAY()),1,1),'Sales Orders'!B:B,"&lt;="&amp;TODAY()),0)</f>
        <v>0</v>
      </c>
    </row>
    <row r="49" spans="10:14">
      <c r="J49" s="15"/>
      <c r="M49" s="16">
        <f ca="1">IFERROR(SUMIFS('Sales Orders'!L:L,'Sales Orders'!D:D,$A49,'Sales Orders'!B:B,"&gt;="&amp;DATE(YEAR(TODAY()),1,1),'Sales Orders'!B:B,"&lt;="&amp;TODAY()),0)</f>
        <v>0</v>
      </c>
      <c r="N49" s="17">
        <f ca="1">IFERROR(SUMIFS('Sales Orders'!H:H,'Sales Orders'!D:D,$A49,'Sales Orders'!B:B,"&gt;="&amp;DATE(YEAR(TODAY()),1,1),'Sales Orders'!B:B,"&lt;="&amp;TODAY()),0)</f>
        <v>0</v>
      </c>
    </row>
    <row r="50" spans="10:14">
      <c r="J50" s="15"/>
      <c r="M50" s="16">
        <f ca="1">IFERROR(SUMIFS('Sales Orders'!L:L,'Sales Orders'!D:D,$A50,'Sales Orders'!B:B,"&gt;="&amp;DATE(YEAR(TODAY()),1,1),'Sales Orders'!B:B,"&lt;="&amp;TODAY()),0)</f>
        <v>0</v>
      </c>
      <c r="N50" s="17">
        <f ca="1">IFERROR(SUMIFS('Sales Orders'!H:H,'Sales Orders'!D:D,$A50,'Sales Orders'!B:B,"&gt;="&amp;DATE(YEAR(TODAY()),1,1),'Sales Orders'!B:B,"&lt;="&amp;TODAY()),0)</f>
        <v>0</v>
      </c>
    </row>
    <row r="51" spans="10:14">
      <c r="J51" s="15"/>
      <c r="M51" s="16">
        <f ca="1">IFERROR(SUMIFS('Sales Orders'!L:L,'Sales Orders'!D:D,$A51,'Sales Orders'!B:B,"&gt;="&amp;DATE(YEAR(TODAY()),1,1),'Sales Orders'!B:B,"&lt;="&amp;TODAY()),0)</f>
        <v>0</v>
      </c>
      <c r="N51" s="17">
        <f ca="1">IFERROR(SUMIFS('Sales Orders'!H:H,'Sales Orders'!D:D,$A51,'Sales Orders'!B:B,"&gt;="&amp;DATE(YEAR(TODAY()),1,1),'Sales Orders'!B:B,"&lt;="&amp;TODAY()),0)</f>
        <v>0</v>
      </c>
    </row>
    <row r="52" spans="10:14">
      <c r="J52" s="15"/>
      <c r="M52" s="16">
        <f ca="1">IFERROR(SUMIFS('Sales Orders'!L:L,'Sales Orders'!D:D,$A52,'Sales Orders'!B:B,"&gt;="&amp;DATE(YEAR(TODAY()),1,1),'Sales Orders'!B:B,"&lt;="&amp;TODAY()),0)</f>
        <v>0</v>
      </c>
      <c r="N52" s="17">
        <f ca="1">IFERROR(SUMIFS('Sales Orders'!H:H,'Sales Orders'!D:D,$A52,'Sales Orders'!B:B,"&gt;="&amp;DATE(YEAR(TODAY()),1,1),'Sales Orders'!B:B,"&lt;="&amp;TODAY()),0)</f>
        <v>0</v>
      </c>
    </row>
    <row r="53" spans="10:14">
      <c r="J53" s="15"/>
      <c r="M53" s="16">
        <f ca="1">IFERROR(SUMIFS('Sales Orders'!L:L,'Sales Orders'!D:D,$A53,'Sales Orders'!B:B,"&gt;="&amp;DATE(YEAR(TODAY()),1,1),'Sales Orders'!B:B,"&lt;="&amp;TODAY()),0)</f>
        <v>0</v>
      </c>
      <c r="N53" s="17">
        <f ca="1">IFERROR(SUMIFS('Sales Orders'!H:H,'Sales Orders'!D:D,$A53,'Sales Orders'!B:B,"&gt;="&amp;DATE(YEAR(TODAY()),1,1),'Sales Orders'!B:B,"&lt;="&amp;TODAY()),0)</f>
        <v>0</v>
      </c>
    </row>
    <row r="54" spans="10:14">
      <c r="J54" s="15"/>
      <c r="M54" s="16">
        <f ca="1">IFERROR(SUMIFS('Sales Orders'!L:L,'Sales Orders'!D:D,$A54,'Sales Orders'!B:B,"&gt;="&amp;DATE(YEAR(TODAY()),1,1),'Sales Orders'!B:B,"&lt;="&amp;TODAY()),0)</f>
        <v>0</v>
      </c>
      <c r="N54" s="17">
        <f ca="1">IFERROR(SUMIFS('Sales Orders'!H:H,'Sales Orders'!D:D,$A54,'Sales Orders'!B:B,"&gt;="&amp;DATE(YEAR(TODAY()),1,1),'Sales Orders'!B:B,"&lt;="&amp;TODAY()),0)</f>
        <v>0</v>
      </c>
    </row>
    <row r="55" spans="10:14">
      <c r="J55" s="15"/>
      <c r="M55" s="16">
        <f ca="1">IFERROR(SUMIFS('Sales Orders'!L:L,'Sales Orders'!D:D,$A55,'Sales Orders'!B:B,"&gt;="&amp;DATE(YEAR(TODAY()),1,1),'Sales Orders'!B:B,"&lt;="&amp;TODAY()),0)</f>
        <v>0</v>
      </c>
      <c r="N55" s="17">
        <f ca="1">IFERROR(SUMIFS('Sales Orders'!H:H,'Sales Orders'!D:D,$A55,'Sales Orders'!B:B,"&gt;="&amp;DATE(YEAR(TODAY()),1,1),'Sales Orders'!B:B,"&lt;="&amp;TODAY()),0)</f>
        <v>0</v>
      </c>
    </row>
    <row r="56" spans="10:14">
      <c r="J56" s="15"/>
      <c r="M56" s="16">
        <f ca="1">IFERROR(SUMIFS('Sales Orders'!L:L,'Sales Orders'!D:D,$A56,'Sales Orders'!B:B,"&gt;="&amp;DATE(YEAR(TODAY()),1,1),'Sales Orders'!B:B,"&lt;="&amp;TODAY()),0)</f>
        <v>0</v>
      </c>
      <c r="N56" s="17">
        <f ca="1">IFERROR(SUMIFS('Sales Orders'!H:H,'Sales Orders'!D:D,$A56,'Sales Orders'!B:B,"&gt;="&amp;DATE(YEAR(TODAY()),1,1),'Sales Orders'!B:B,"&lt;="&amp;TODAY()),0)</f>
        <v>0</v>
      </c>
    </row>
    <row r="57" spans="10:14">
      <c r="J57" s="15"/>
      <c r="M57" s="16">
        <f ca="1">IFERROR(SUMIFS('Sales Orders'!L:L,'Sales Orders'!D:D,$A57,'Sales Orders'!B:B,"&gt;="&amp;DATE(YEAR(TODAY()),1,1),'Sales Orders'!B:B,"&lt;="&amp;TODAY()),0)</f>
        <v>0</v>
      </c>
      <c r="N57" s="17">
        <f ca="1">IFERROR(SUMIFS('Sales Orders'!H:H,'Sales Orders'!D:D,$A57,'Sales Orders'!B:B,"&gt;="&amp;DATE(YEAR(TODAY()),1,1),'Sales Orders'!B:B,"&lt;="&amp;TODAY()),0)</f>
        <v>0</v>
      </c>
    </row>
    <row r="58" spans="10:14">
      <c r="J58" s="15"/>
      <c r="M58" s="16">
        <f ca="1">IFERROR(SUMIFS('Sales Orders'!L:L,'Sales Orders'!D:D,$A58,'Sales Orders'!B:B,"&gt;="&amp;DATE(YEAR(TODAY()),1,1),'Sales Orders'!B:B,"&lt;="&amp;TODAY()),0)</f>
        <v>0</v>
      </c>
      <c r="N58" s="17">
        <f ca="1">IFERROR(SUMIFS('Sales Orders'!H:H,'Sales Orders'!D:D,$A58,'Sales Orders'!B:B,"&gt;="&amp;DATE(YEAR(TODAY()),1,1),'Sales Orders'!B:B,"&lt;="&amp;TODAY()),0)</f>
        <v>0</v>
      </c>
    </row>
    <row r="59" spans="10:14">
      <c r="J59" s="15"/>
      <c r="M59" s="16">
        <f ca="1">IFERROR(SUMIFS('Sales Orders'!L:L,'Sales Orders'!D:D,$A59,'Sales Orders'!B:B,"&gt;="&amp;DATE(YEAR(TODAY()),1,1),'Sales Orders'!B:B,"&lt;="&amp;TODAY()),0)</f>
        <v>0</v>
      </c>
      <c r="N59" s="17">
        <f ca="1">IFERROR(SUMIFS('Sales Orders'!H:H,'Sales Orders'!D:D,$A59,'Sales Orders'!B:B,"&gt;="&amp;DATE(YEAR(TODAY()),1,1),'Sales Orders'!B:B,"&lt;="&amp;TODAY()),0)</f>
        <v>0</v>
      </c>
    </row>
    <row r="60" spans="10:14">
      <c r="J60" s="15"/>
      <c r="M60" s="16">
        <f ca="1">IFERROR(SUMIFS('Sales Orders'!L:L,'Sales Orders'!D:D,$A60,'Sales Orders'!B:B,"&gt;="&amp;DATE(YEAR(TODAY()),1,1),'Sales Orders'!B:B,"&lt;="&amp;TODAY()),0)</f>
        <v>0</v>
      </c>
      <c r="N60" s="17">
        <f ca="1">IFERROR(SUMIFS('Sales Orders'!H:H,'Sales Orders'!D:D,$A60,'Sales Orders'!B:B,"&gt;="&amp;DATE(YEAR(TODAY()),1,1),'Sales Orders'!B:B,"&lt;="&amp;TODAY()),0)</f>
        <v>0</v>
      </c>
    </row>
    <row r="61" spans="10:14">
      <c r="J61" s="15"/>
      <c r="M61" s="16">
        <f ca="1">IFERROR(SUMIFS('Sales Orders'!L:L,'Sales Orders'!D:D,$A61,'Sales Orders'!B:B,"&gt;="&amp;DATE(YEAR(TODAY()),1,1),'Sales Orders'!B:B,"&lt;="&amp;TODAY()),0)</f>
        <v>0</v>
      </c>
      <c r="N61" s="17">
        <f ca="1">IFERROR(SUMIFS('Sales Orders'!H:H,'Sales Orders'!D:D,$A61,'Sales Orders'!B:B,"&gt;="&amp;DATE(YEAR(TODAY()),1,1),'Sales Orders'!B:B,"&lt;="&amp;TODAY()),0)</f>
        <v>0</v>
      </c>
    </row>
    <row r="62" spans="10:14">
      <c r="J62" s="15"/>
      <c r="M62" s="16">
        <f ca="1">IFERROR(SUMIFS('Sales Orders'!L:L,'Sales Orders'!D:D,$A62,'Sales Orders'!B:B,"&gt;="&amp;DATE(YEAR(TODAY()),1,1),'Sales Orders'!B:B,"&lt;="&amp;TODAY()),0)</f>
        <v>0</v>
      </c>
      <c r="N62" s="17">
        <f ca="1">IFERROR(SUMIFS('Sales Orders'!H:H,'Sales Orders'!D:D,$A62,'Sales Orders'!B:B,"&gt;="&amp;DATE(YEAR(TODAY()),1,1),'Sales Orders'!B:B,"&lt;="&amp;TODAY()),0)</f>
        <v>0</v>
      </c>
    </row>
    <row r="63" spans="10:14">
      <c r="J63" s="15"/>
      <c r="M63" s="16">
        <f ca="1">IFERROR(SUMIFS('Sales Orders'!L:L,'Sales Orders'!D:D,$A63,'Sales Orders'!B:B,"&gt;="&amp;DATE(YEAR(TODAY()),1,1),'Sales Orders'!B:B,"&lt;="&amp;TODAY()),0)</f>
        <v>0</v>
      </c>
      <c r="N63" s="17">
        <f ca="1">IFERROR(SUMIFS('Sales Orders'!H:H,'Sales Orders'!D:D,$A63,'Sales Orders'!B:B,"&gt;="&amp;DATE(YEAR(TODAY()),1,1),'Sales Orders'!B:B,"&lt;="&amp;TODAY()),0)</f>
        <v>0</v>
      </c>
    </row>
    <row r="64" spans="10:14">
      <c r="J64" s="15"/>
      <c r="M64" s="16">
        <f ca="1">IFERROR(SUMIFS('Sales Orders'!L:L,'Sales Orders'!D:D,$A64,'Sales Orders'!B:B,"&gt;="&amp;DATE(YEAR(TODAY()),1,1),'Sales Orders'!B:B,"&lt;="&amp;TODAY()),0)</f>
        <v>0</v>
      </c>
      <c r="N64" s="17">
        <f ca="1">IFERROR(SUMIFS('Sales Orders'!H:H,'Sales Orders'!D:D,$A64,'Sales Orders'!B:B,"&gt;="&amp;DATE(YEAR(TODAY()),1,1),'Sales Orders'!B:B,"&lt;="&amp;TODAY()),0)</f>
        <v>0</v>
      </c>
    </row>
    <row r="65" spans="10:14">
      <c r="J65" s="15"/>
      <c r="M65" s="16">
        <f ca="1">IFERROR(SUMIFS('Sales Orders'!L:L,'Sales Orders'!D:D,$A65,'Sales Orders'!B:B,"&gt;="&amp;DATE(YEAR(TODAY()),1,1),'Sales Orders'!B:B,"&lt;="&amp;TODAY()),0)</f>
        <v>0</v>
      </c>
      <c r="N65" s="17">
        <f ca="1">IFERROR(SUMIFS('Sales Orders'!H:H,'Sales Orders'!D:D,$A65,'Sales Orders'!B:B,"&gt;="&amp;DATE(YEAR(TODAY()),1,1),'Sales Orders'!B:B,"&lt;="&amp;TODAY()),0)</f>
        <v>0</v>
      </c>
    </row>
    <row r="66" spans="10:14">
      <c r="J66" s="15"/>
      <c r="M66" s="16">
        <f ca="1">IFERROR(SUMIFS('Sales Orders'!L:L,'Sales Orders'!D:D,$A66,'Sales Orders'!B:B,"&gt;="&amp;DATE(YEAR(TODAY()),1,1),'Sales Orders'!B:B,"&lt;="&amp;TODAY()),0)</f>
        <v>0</v>
      </c>
      <c r="N66" s="17">
        <f ca="1">IFERROR(SUMIFS('Sales Orders'!H:H,'Sales Orders'!D:D,$A66,'Sales Orders'!B:B,"&gt;="&amp;DATE(YEAR(TODAY()),1,1),'Sales Orders'!B:B,"&lt;="&amp;TODAY()),0)</f>
        <v>0</v>
      </c>
    </row>
    <row r="67" spans="10:14">
      <c r="J67" s="15"/>
      <c r="M67" s="16">
        <f ca="1">IFERROR(SUMIFS('Sales Orders'!L:L,'Sales Orders'!D:D,$A67,'Sales Orders'!B:B,"&gt;="&amp;DATE(YEAR(TODAY()),1,1),'Sales Orders'!B:B,"&lt;="&amp;TODAY()),0)</f>
        <v>0</v>
      </c>
      <c r="N67" s="17">
        <f ca="1">IFERROR(SUMIFS('Sales Orders'!H:H,'Sales Orders'!D:D,$A67,'Sales Orders'!B:B,"&gt;="&amp;DATE(YEAR(TODAY()),1,1),'Sales Orders'!B:B,"&lt;="&amp;TODAY()),0)</f>
        <v>0</v>
      </c>
    </row>
    <row r="68" spans="10:14">
      <c r="J68" s="15"/>
      <c r="M68" s="16">
        <f ca="1">IFERROR(SUMIFS('Sales Orders'!L:L,'Sales Orders'!D:D,$A68,'Sales Orders'!B:B,"&gt;="&amp;DATE(YEAR(TODAY()),1,1),'Sales Orders'!B:B,"&lt;="&amp;TODAY()),0)</f>
        <v>0</v>
      </c>
      <c r="N68" s="17">
        <f ca="1">IFERROR(SUMIFS('Sales Orders'!H:H,'Sales Orders'!D:D,$A68,'Sales Orders'!B:B,"&gt;="&amp;DATE(YEAR(TODAY()),1,1),'Sales Orders'!B:B,"&lt;="&amp;TODAY()),0)</f>
        <v>0</v>
      </c>
    </row>
    <row r="69" spans="10:14">
      <c r="J69" s="15"/>
      <c r="M69" s="16">
        <f ca="1">IFERROR(SUMIFS('Sales Orders'!L:L,'Sales Orders'!D:D,$A69,'Sales Orders'!B:B,"&gt;="&amp;DATE(YEAR(TODAY()),1,1),'Sales Orders'!B:B,"&lt;="&amp;TODAY()),0)</f>
        <v>0</v>
      </c>
      <c r="N69" s="17">
        <f ca="1">IFERROR(SUMIFS('Sales Orders'!H:H,'Sales Orders'!D:D,$A69,'Sales Orders'!B:B,"&gt;="&amp;DATE(YEAR(TODAY()),1,1),'Sales Orders'!B:B,"&lt;="&amp;TODAY()),0)</f>
        <v>0</v>
      </c>
    </row>
    <row r="70" spans="10:14">
      <c r="J70" s="15"/>
      <c r="M70" s="16">
        <f ca="1">IFERROR(SUMIFS('Sales Orders'!L:L,'Sales Orders'!D:D,$A70,'Sales Orders'!B:B,"&gt;="&amp;DATE(YEAR(TODAY()),1,1),'Sales Orders'!B:B,"&lt;="&amp;TODAY()),0)</f>
        <v>0</v>
      </c>
      <c r="N70" s="17">
        <f ca="1">IFERROR(SUMIFS('Sales Orders'!H:H,'Sales Orders'!D:D,$A70,'Sales Orders'!B:B,"&gt;="&amp;DATE(YEAR(TODAY()),1,1),'Sales Orders'!B:B,"&lt;="&amp;TODAY()),0)</f>
        <v>0</v>
      </c>
    </row>
    <row r="71" spans="10:14">
      <c r="J71" s="15"/>
      <c r="M71" s="16">
        <f ca="1">IFERROR(SUMIFS('Sales Orders'!L:L,'Sales Orders'!D:D,$A71,'Sales Orders'!B:B,"&gt;="&amp;DATE(YEAR(TODAY()),1,1),'Sales Orders'!B:B,"&lt;="&amp;TODAY()),0)</f>
        <v>0</v>
      </c>
      <c r="N71" s="17">
        <f ca="1">IFERROR(SUMIFS('Sales Orders'!H:H,'Sales Orders'!D:D,$A71,'Sales Orders'!B:B,"&gt;="&amp;DATE(YEAR(TODAY()),1,1),'Sales Orders'!B:B,"&lt;="&amp;TODAY()),0)</f>
        <v>0</v>
      </c>
    </row>
    <row r="72" spans="10:14">
      <c r="J72" s="15"/>
      <c r="M72" s="16">
        <f ca="1">IFERROR(SUMIFS('Sales Orders'!L:L,'Sales Orders'!D:D,$A72,'Sales Orders'!B:B,"&gt;="&amp;DATE(YEAR(TODAY()),1,1),'Sales Orders'!B:B,"&lt;="&amp;TODAY()),0)</f>
        <v>0</v>
      </c>
      <c r="N72" s="17">
        <f ca="1">IFERROR(SUMIFS('Sales Orders'!H:H,'Sales Orders'!D:D,$A72,'Sales Orders'!B:B,"&gt;="&amp;DATE(YEAR(TODAY()),1,1),'Sales Orders'!B:B,"&lt;="&amp;TODAY()),0)</f>
        <v>0</v>
      </c>
    </row>
    <row r="73" spans="10:14">
      <c r="J73" s="15"/>
      <c r="M73" s="16">
        <f ca="1">IFERROR(SUMIFS('Sales Orders'!L:L,'Sales Orders'!D:D,$A73,'Sales Orders'!B:B,"&gt;="&amp;DATE(YEAR(TODAY()),1,1),'Sales Orders'!B:B,"&lt;="&amp;TODAY()),0)</f>
        <v>0</v>
      </c>
      <c r="N73" s="17">
        <f ca="1">IFERROR(SUMIFS('Sales Orders'!H:H,'Sales Orders'!D:D,$A73,'Sales Orders'!B:B,"&gt;="&amp;DATE(YEAR(TODAY()),1,1),'Sales Orders'!B:B,"&lt;="&amp;TODAY()),0)</f>
        <v>0</v>
      </c>
    </row>
    <row r="74" spans="10:14">
      <c r="J74" s="15"/>
      <c r="M74" s="16">
        <f ca="1">IFERROR(SUMIFS('Sales Orders'!L:L,'Sales Orders'!D:D,$A74,'Sales Orders'!B:B,"&gt;="&amp;DATE(YEAR(TODAY()),1,1),'Sales Orders'!B:B,"&lt;="&amp;TODAY()),0)</f>
        <v>0</v>
      </c>
      <c r="N74" s="17">
        <f ca="1">IFERROR(SUMIFS('Sales Orders'!H:H,'Sales Orders'!D:D,$A74,'Sales Orders'!B:B,"&gt;="&amp;DATE(YEAR(TODAY()),1,1),'Sales Orders'!B:B,"&lt;="&amp;TODAY()),0)</f>
        <v>0</v>
      </c>
    </row>
    <row r="75" spans="10:14">
      <c r="J75" s="15"/>
      <c r="M75" s="16">
        <f ca="1">IFERROR(SUMIFS('Sales Orders'!L:L,'Sales Orders'!D:D,$A75,'Sales Orders'!B:B,"&gt;="&amp;DATE(YEAR(TODAY()),1,1),'Sales Orders'!B:B,"&lt;="&amp;TODAY()),0)</f>
        <v>0</v>
      </c>
      <c r="N75" s="17">
        <f ca="1">IFERROR(SUMIFS('Sales Orders'!H:H,'Sales Orders'!D:D,$A75,'Sales Orders'!B:B,"&gt;="&amp;DATE(YEAR(TODAY()),1,1),'Sales Orders'!B:B,"&lt;="&amp;TODAY()),0)</f>
        <v>0</v>
      </c>
    </row>
    <row r="76" spans="10:14">
      <c r="J76" s="15"/>
      <c r="M76" s="16">
        <f ca="1">IFERROR(SUMIFS('Sales Orders'!L:L,'Sales Orders'!D:D,$A76,'Sales Orders'!B:B,"&gt;="&amp;DATE(YEAR(TODAY()),1,1),'Sales Orders'!B:B,"&lt;="&amp;TODAY()),0)</f>
        <v>0</v>
      </c>
      <c r="N76" s="17">
        <f ca="1">IFERROR(SUMIFS('Sales Orders'!H:H,'Sales Orders'!D:D,$A76,'Sales Orders'!B:B,"&gt;="&amp;DATE(YEAR(TODAY()),1,1),'Sales Orders'!B:B,"&lt;="&amp;TODAY()),0)</f>
        <v>0</v>
      </c>
    </row>
    <row r="77" spans="10:14">
      <c r="J77" s="15"/>
      <c r="M77" s="16">
        <f ca="1">IFERROR(SUMIFS('Sales Orders'!L:L,'Sales Orders'!D:D,$A77,'Sales Orders'!B:B,"&gt;="&amp;DATE(YEAR(TODAY()),1,1),'Sales Orders'!B:B,"&lt;="&amp;TODAY()),0)</f>
        <v>0</v>
      </c>
      <c r="N77" s="17">
        <f ca="1">IFERROR(SUMIFS('Sales Orders'!H:H,'Sales Orders'!D:D,$A77,'Sales Orders'!B:B,"&gt;="&amp;DATE(YEAR(TODAY()),1,1),'Sales Orders'!B:B,"&lt;="&amp;TODAY()),0)</f>
        <v>0</v>
      </c>
    </row>
    <row r="78" spans="10:14">
      <c r="J78" s="15"/>
      <c r="M78" s="16">
        <f ca="1">IFERROR(SUMIFS('Sales Orders'!L:L,'Sales Orders'!D:D,$A78,'Sales Orders'!B:B,"&gt;="&amp;DATE(YEAR(TODAY()),1,1),'Sales Orders'!B:B,"&lt;="&amp;TODAY()),0)</f>
        <v>0</v>
      </c>
      <c r="N78" s="17">
        <f ca="1">IFERROR(SUMIFS('Sales Orders'!H:H,'Sales Orders'!D:D,$A78,'Sales Orders'!B:B,"&gt;="&amp;DATE(YEAR(TODAY()),1,1),'Sales Orders'!B:B,"&lt;="&amp;TODAY()),0)</f>
        <v>0</v>
      </c>
    </row>
    <row r="79" spans="10:14">
      <c r="J79" s="15"/>
      <c r="M79" s="16">
        <f ca="1">IFERROR(SUMIFS('Sales Orders'!L:L,'Sales Orders'!D:D,$A79,'Sales Orders'!B:B,"&gt;="&amp;DATE(YEAR(TODAY()),1,1),'Sales Orders'!B:B,"&lt;="&amp;TODAY()),0)</f>
        <v>0</v>
      </c>
      <c r="N79" s="17">
        <f ca="1">IFERROR(SUMIFS('Sales Orders'!H:H,'Sales Orders'!D:D,$A79,'Sales Orders'!B:B,"&gt;="&amp;DATE(YEAR(TODAY()),1,1),'Sales Orders'!B:B,"&lt;="&amp;TODAY()),0)</f>
        <v>0</v>
      </c>
    </row>
    <row r="80" spans="10:14">
      <c r="J80" s="15"/>
      <c r="M80" s="16">
        <f ca="1">IFERROR(SUMIFS('Sales Orders'!L:L,'Sales Orders'!D:D,$A80,'Sales Orders'!B:B,"&gt;="&amp;DATE(YEAR(TODAY()),1,1),'Sales Orders'!B:B,"&lt;="&amp;TODAY()),0)</f>
        <v>0</v>
      </c>
      <c r="N80" s="17">
        <f ca="1">IFERROR(SUMIFS('Sales Orders'!H:H,'Sales Orders'!D:D,$A80,'Sales Orders'!B:B,"&gt;="&amp;DATE(YEAR(TODAY()),1,1),'Sales Orders'!B:B,"&lt;="&amp;TODAY()),0)</f>
        <v>0</v>
      </c>
    </row>
    <row r="81" spans="10:14">
      <c r="J81" s="15"/>
      <c r="M81" s="16">
        <f ca="1">IFERROR(SUMIFS('Sales Orders'!L:L,'Sales Orders'!D:D,$A81,'Sales Orders'!B:B,"&gt;="&amp;DATE(YEAR(TODAY()),1,1),'Sales Orders'!B:B,"&lt;="&amp;TODAY()),0)</f>
        <v>0</v>
      </c>
      <c r="N81" s="17">
        <f ca="1">IFERROR(SUMIFS('Sales Orders'!H:H,'Sales Orders'!D:D,$A81,'Sales Orders'!B:B,"&gt;="&amp;DATE(YEAR(TODAY()),1,1),'Sales Orders'!B:B,"&lt;="&amp;TODAY()),0)</f>
        <v>0</v>
      </c>
    </row>
    <row r="82" spans="10:14">
      <c r="J82" s="15"/>
      <c r="M82" s="16">
        <f ca="1">IFERROR(SUMIFS('Sales Orders'!L:L,'Sales Orders'!D:D,$A82,'Sales Orders'!B:B,"&gt;="&amp;DATE(YEAR(TODAY()),1,1),'Sales Orders'!B:B,"&lt;="&amp;TODAY()),0)</f>
        <v>0</v>
      </c>
      <c r="N82" s="17">
        <f ca="1">IFERROR(SUMIFS('Sales Orders'!H:H,'Sales Orders'!D:D,$A82,'Sales Orders'!B:B,"&gt;="&amp;DATE(YEAR(TODAY()),1,1),'Sales Orders'!B:B,"&lt;="&amp;TODAY()),0)</f>
        <v>0</v>
      </c>
    </row>
    <row r="83" spans="10:14">
      <c r="J83" s="15"/>
      <c r="M83" s="16">
        <f ca="1">IFERROR(SUMIFS('Sales Orders'!L:L,'Sales Orders'!D:D,$A83,'Sales Orders'!B:B,"&gt;="&amp;DATE(YEAR(TODAY()),1,1),'Sales Orders'!B:B,"&lt;="&amp;TODAY()),0)</f>
        <v>0</v>
      </c>
      <c r="N83" s="17">
        <f ca="1">IFERROR(SUMIFS('Sales Orders'!H:H,'Sales Orders'!D:D,$A83,'Sales Orders'!B:B,"&gt;="&amp;DATE(YEAR(TODAY()),1,1),'Sales Orders'!B:B,"&lt;="&amp;TODAY()),0)</f>
        <v>0</v>
      </c>
    </row>
    <row r="84" spans="10:14">
      <c r="J84" s="15"/>
      <c r="M84" s="16">
        <f ca="1">IFERROR(SUMIFS('Sales Orders'!L:L,'Sales Orders'!D:D,$A84,'Sales Orders'!B:B,"&gt;="&amp;DATE(YEAR(TODAY()),1,1),'Sales Orders'!B:B,"&lt;="&amp;TODAY()),0)</f>
        <v>0</v>
      </c>
      <c r="N84" s="17">
        <f ca="1">IFERROR(SUMIFS('Sales Orders'!H:H,'Sales Orders'!D:D,$A84,'Sales Orders'!B:B,"&gt;="&amp;DATE(YEAR(TODAY()),1,1),'Sales Orders'!B:B,"&lt;="&amp;TODAY()),0)</f>
        <v>0</v>
      </c>
    </row>
    <row r="85" spans="10:14">
      <c r="J85" s="15"/>
      <c r="M85" s="16">
        <f ca="1">IFERROR(SUMIFS('Sales Orders'!L:L,'Sales Orders'!D:D,$A85,'Sales Orders'!B:B,"&gt;="&amp;DATE(YEAR(TODAY()),1,1),'Sales Orders'!B:B,"&lt;="&amp;TODAY()),0)</f>
        <v>0</v>
      </c>
      <c r="N85" s="17">
        <f ca="1">IFERROR(SUMIFS('Sales Orders'!H:H,'Sales Orders'!D:D,$A85,'Sales Orders'!B:B,"&gt;="&amp;DATE(YEAR(TODAY()),1,1),'Sales Orders'!B:B,"&lt;="&amp;TODAY()),0)</f>
        <v>0</v>
      </c>
    </row>
    <row r="86" spans="10:14">
      <c r="J86" s="15"/>
      <c r="M86" s="16">
        <f ca="1">IFERROR(SUMIFS('Sales Orders'!L:L,'Sales Orders'!D:D,$A86,'Sales Orders'!B:B,"&gt;="&amp;DATE(YEAR(TODAY()),1,1),'Sales Orders'!B:B,"&lt;="&amp;TODAY()),0)</f>
        <v>0</v>
      </c>
      <c r="N86" s="17">
        <f ca="1">IFERROR(SUMIFS('Sales Orders'!H:H,'Sales Orders'!D:D,$A86,'Sales Orders'!B:B,"&gt;="&amp;DATE(YEAR(TODAY()),1,1),'Sales Orders'!B:B,"&lt;="&amp;TODAY()),0)</f>
        <v>0</v>
      </c>
    </row>
    <row r="87" spans="10:14">
      <c r="J87" s="15"/>
      <c r="M87" s="16">
        <f ca="1">IFERROR(SUMIFS('Sales Orders'!L:L,'Sales Orders'!D:D,$A87,'Sales Orders'!B:B,"&gt;="&amp;DATE(YEAR(TODAY()),1,1),'Sales Orders'!B:B,"&lt;="&amp;TODAY()),0)</f>
        <v>0</v>
      </c>
      <c r="N87" s="17">
        <f ca="1">IFERROR(SUMIFS('Sales Orders'!H:H,'Sales Orders'!D:D,$A87,'Sales Orders'!B:B,"&gt;="&amp;DATE(YEAR(TODAY()),1,1),'Sales Orders'!B:B,"&lt;="&amp;TODAY()),0)</f>
        <v>0</v>
      </c>
    </row>
    <row r="88" spans="10:14">
      <c r="J88" s="15"/>
      <c r="M88" s="16">
        <f ca="1">IFERROR(SUMIFS('Sales Orders'!L:L,'Sales Orders'!D:D,$A88,'Sales Orders'!B:B,"&gt;="&amp;DATE(YEAR(TODAY()),1,1),'Sales Orders'!B:B,"&lt;="&amp;TODAY()),0)</f>
        <v>0</v>
      </c>
      <c r="N88" s="17">
        <f ca="1">IFERROR(SUMIFS('Sales Orders'!H:H,'Sales Orders'!D:D,$A88,'Sales Orders'!B:B,"&gt;="&amp;DATE(YEAR(TODAY()),1,1),'Sales Orders'!B:B,"&lt;="&amp;TODAY()),0)</f>
        <v>0</v>
      </c>
    </row>
    <row r="89" spans="10:14">
      <c r="J89" s="15"/>
      <c r="M89" s="16">
        <f ca="1">IFERROR(SUMIFS('Sales Orders'!L:L,'Sales Orders'!D:D,$A89,'Sales Orders'!B:B,"&gt;="&amp;DATE(YEAR(TODAY()),1,1),'Sales Orders'!B:B,"&lt;="&amp;TODAY()),0)</f>
        <v>0</v>
      </c>
      <c r="N89" s="17">
        <f ca="1">IFERROR(SUMIFS('Sales Orders'!H:H,'Sales Orders'!D:D,$A89,'Sales Orders'!B:B,"&gt;="&amp;DATE(YEAR(TODAY()),1,1),'Sales Orders'!B:B,"&lt;="&amp;TODAY()),0)</f>
        <v>0</v>
      </c>
    </row>
    <row r="90" spans="10:14">
      <c r="J90" s="15"/>
      <c r="M90" s="16">
        <f ca="1">IFERROR(SUMIFS('Sales Orders'!L:L,'Sales Orders'!D:D,$A90,'Sales Orders'!B:B,"&gt;="&amp;DATE(YEAR(TODAY()),1,1),'Sales Orders'!B:B,"&lt;="&amp;TODAY()),0)</f>
        <v>0</v>
      </c>
      <c r="N90" s="17">
        <f ca="1">IFERROR(SUMIFS('Sales Orders'!H:H,'Sales Orders'!D:D,$A90,'Sales Orders'!B:B,"&gt;="&amp;DATE(YEAR(TODAY()),1,1),'Sales Orders'!B:B,"&lt;="&amp;TODAY()),0)</f>
        <v>0</v>
      </c>
    </row>
    <row r="91" spans="10:14">
      <c r="J91" s="15"/>
      <c r="M91" s="16">
        <f ca="1">IFERROR(SUMIFS('Sales Orders'!L:L,'Sales Orders'!D:D,$A91,'Sales Orders'!B:B,"&gt;="&amp;DATE(YEAR(TODAY()),1,1),'Sales Orders'!B:B,"&lt;="&amp;TODAY()),0)</f>
        <v>0</v>
      </c>
      <c r="N91" s="17">
        <f ca="1">IFERROR(SUMIFS('Sales Orders'!H:H,'Sales Orders'!D:D,$A91,'Sales Orders'!B:B,"&gt;="&amp;DATE(YEAR(TODAY()),1,1),'Sales Orders'!B:B,"&lt;="&amp;TODAY()),0)</f>
        <v>0</v>
      </c>
    </row>
    <row r="92" spans="10:14">
      <c r="J92" s="15"/>
      <c r="M92" s="16">
        <f ca="1">IFERROR(SUMIFS('Sales Orders'!L:L,'Sales Orders'!D:D,$A92,'Sales Orders'!B:B,"&gt;="&amp;DATE(YEAR(TODAY()),1,1),'Sales Orders'!B:B,"&lt;="&amp;TODAY()),0)</f>
        <v>0</v>
      </c>
      <c r="N92" s="17">
        <f ca="1">IFERROR(SUMIFS('Sales Orders'!H:H,'Sales Orders'!D:D,$A92,'Sales Orders'!B:B,"&gt;="&amp;DATE(YEAR(TODAY()),1,1),'Sales Orders'!B:B,"&lt;="&amp;TODAY()),0)</f>
        <v>0</v>
      </c>
    </row>
    <row r="93" spans="10:14">
      <c r="J93" s="15"/>
      <c r="M93" s="16">
        <f ca="1">IFERROR(SUMIFS('Sales Orders'!L:L,'Sales Orders'!D:D,$A93,'Sales Orders'!B:B,"&gt;="&amp;DATE(YEAR(TODAY()),1,1),'Sales Orders'!B:B,"&lt;="&amp;TODAY()),0)</f>
        <v>0</v>
      </c>
      <c r="N93" s="17">
        <f ca="1">IFERROR(SUMIFS('Sales Orders'!H:H,'Sales Orders'!D:D,$A93,'Sales Orders'!B:B,"&gt;="&amp;DATE(YEAR(TODAY()),1,1),'Sales Orders'!B:B,"&lt;="&amp;TODAY()),0)</f>
        <v>0</v>
      </c>
    </row>
    <row r="94" spans="10:14">
      <c r="J94" s="15"/>
      <c r="M94" s="16">
        <f ca="1">IFERROR(SUMIFS('Sales Orders'!L:L,'Sales Orders'!D:D,$A94,'Sales Orders'!B:B,"&gt;="&amp;DATE(YEAR(TODAY()),1,1),'Sales Orders'!B:B,"&lt;="&amp;TODAY()),0)</f>
        <v>0</v>
      </c>
      <c r="N94" s="17">
        <f ca="1">IFERROR(SUMIFS('Sales Orders'!H:H,'Sales Orders'!D:D,$A94,'Sales Orders'!B:B,"&gt;="&amp;DATE(YEAR(TODAY()),1,1),'Sales Orders'!B:B,"&lt;="&amp;TODAY()),0)</f>
        <v>0</v>
      </c>
    </row>
    <row r="95" spans="10:14">
      <c r="J95" s="15"/>
      <c r="M95" s="16">
        <f ca="1">IFERROR(SUMIFS('Sales Orders'!L:L,'Sales Orders'!D:D,$A95,'Sales Orders'!B:B,"&gt;="&amp;DATE(YEAR(TODAY()),1,1),'Sales Orders'!B:B,"&lt;="&amp;TODAY()),0)</f>
        <v>0</v>
      </c>
      <c r="N95" s="17">
        <f ca="1">IFERROR(SUMIFS('Sales Orders'!H:H,'Sales Orders'!D:D,$A95,'Sales Orders'!B:B,"&gt;="&amp;DATE(YEAR(TODAY()),1,1),'Sales Orders'!B:B,"&lt;="&amp;TODAY()),0)</f>
        <v>0</v>
      </c>
    </row>
    <row r="96" spans="10:14">
      <c r="J96" s="15"/>
      <c r="M96" s="16">
        <f ca="1">IFERROR(SUMIFS('Sales Orders'!L:L,'Sales Orders'!D:D,$A96,'Sales Orders'!B:B,"&gt;="&amp;DATE(YEAR(TODAY()),1,1),'Sales Orders'!B:B,"&lt;="&amp;TODAY()),0)</f>
        <v>0</v>
      </c>
      <c r="N96" s="17">
        <f ca="1">IFERROR(SUMIFS('Sales Orders'!H:H,'Sales Orders'!D:D,$A96,'Sales Orders'!B:B,"&gt;="&amp;DATE(YEAR(TODAY()),1,1),'Sales Orders'!B:B,"&lt;="&amp;TODAY()),0)</f>
        <v>0</v>
      </c>
    </row>
    <row r="97" spans="10:14">
      <c r="J97" s="15"/>
      <c r="M97" s="16">
        <f ca="1">IFERROR(SUMIFS('Sales Orders'!L:L,'Sales Orders'!D:D,$A97,'Sales Orders'!B:B,"&gt;="&amp;DATE(YEAR(TODAY()),1,1),'Sales Orders'!B:B,"&lt;="&amp;TODAY()),0)</f>
        <v>0</v>
      </c>
      <c r="N97" s="17">
        <f ca="1">IFERROR(SUMIFS('Sales Orders'!H:H,'Sales Orders'!D:D,$A97,'Sales Orders'!B:B,"&gt;="&amp;DATE(YEAR(TODAY()),1,1),'Sales Orders'!B:B,"&lt;="&amp;TODAY()),0)</f>
        <v>0</v>
      </c>
    </row>
    <row r="98" spans="10:14">
      <c r="J98" s="15"/>
      <c r="M98" s="16">
        <f ca="1">IFERROR(SUMIFS('Sales Orders'!L:L,'Sales Orders'!D:D,$A98,'Sales Orders'!B:B,"&gt;="&amp;DATE(YEAR(TODAY()),1,1),'Sales Orders'!B:B,"&lt;="&amp;TODAY()),0)</f>
        <v>0</v>
      </c>
      <c r="N98" s="17">
        <f ca="1">IFERROR(SUMIFS('Sales Orders'!H:H,'Sales Orders'!D:D,$A98,'Sales Orders'!B:B,"&gt;="&amp;DATE(YEAR(TODAY()),1,1),'Sales Orders'!B:B,"&lt;="&amp;TODAY()),0)</f>
        <v>0</v>
      </c>
    </row>
    <row r="99" spans="10:14">
      <c r="J99" s="15"/>
      <c r="M99" s="16">
        <f ca="1">IFERROR(SUMIFS('Sales Orders'!L:L,'Sales Orders'!D:D,$A99,'Sales Orders'!B:B,"&gt;="&amp;DATE(YEAR(TODAY()),1,1),'Sales Orders'!B:B,"&lt;="&amp;TODAY()),0)</f>
        <v>0</v>
      </c>
      <c r="N99" s="17">
        <f ca="1">IFERROR(SUMIFS('Sales Orders'!H:H,'Sales Orders'!D:D,$A99,'Sales Orders'!B:B,"&gt;="&amp;DATE(YEAR(TODAY()),1,1),'Sales Orders'!B:B,"&lt;="&amp;TODAY()),0)</f>
        <v>0</v>
      </c>
    </row>
    <row r="100" spans="10:14">
      <c r="J100" s="15"/>
      <c r="M100" s="16">
        <f ca="1">IFERROR(SUMIFS('Sales Orders'!L:L,'Sales Orders'!D:D,$A100,'Sales Orders'!B:B,"&gt;="&amp;DATE(YEAR(TODAY()),1,1),'Sales Orders'!B:B,"&lt;="&amp;TODAY()),0)</f>
        <v>0</v>
      </c>
      <c r="N100" s="17">
        <f ca="1">IFERROR(SUMIFS('Sales Orders'!H:H,'Sales Orders'!D:D,$A100,'Sales Orders'!B:B,"&gt;="&amp;DATE(YEAR(TODAY()),1,1),'Sales Orders'!B:B,"&lt;="&amp;TODAY()),0)</f>
        <v>0</v>
      </c>
    </row>
    <row r="101" spans="10:14">
      <c r="J101" s="15"/>
      <c r="M101" s="16">
        <f ca="1">IFERROR(SUMIFS('Sales Orders'!L:L,'Sales Orders'!D:D,$A101,'Sales Orders'!B:B,"&gt;="&amp;DATE(YEAR(TODAY()),1,1),'Sales Orders'!B:B,"&lt;="&amp;TODAY()),0)</f>
        <v>0</v>
      </c>
      <c r="N101" s="17">
        <f ca="1">IFERROR(SUMIFS('Sales Orders'!H:H,'Sales Orders'!D:D,$A101,'Sales Orders'!B:B,"&gt;="&amp;DATE(YEAR(TODAY()),1,1),'Sales Orders'!B:B,"&lt;="&amp;TODAY()),0)</f>
        <v>0</v>
      </c>
    </row>
    <row r="102" spans="10:14">
      <c r="J102" s="15"/>
      <c r="M102" s="16">
        <f ca="1">IFERROR(SUMIFS('Sales Orders'!L:L,'Sales Orders'!D:D,$A102,'Sales Orders'!B:B,"&gt;="&amp;DATE(YEAR(TODAY()),1,1),'Sales Orders'!B:B,"&lt;="&amp;TODAY()),0)</f>
        <v>0</v>
      </c>
      <c r="N102" s="17">
        <f ca="1">IFERROR(SUMIFS('Sales Orders'!H:H,'Sales Orders'!D:D,$A102,'Sales Orders'!B:B,"&gt;="&amp;DATE(YEAR(TODAY()),1,1),'Sales Orders'!B:B,"&lt;="&amp;TODAY()),0)</f>
        <v>0</v>
      </c>
    </row>
    <row r="103" spans="10:14">
      <c r="J103" s="15"/>
      <c r="M103" s="16">
        <f ca="1">IFERROR(SUMIFS('Sales Orders'!L:L,'Sales Orders'!D:D,$A103,'Sales Orders'!B:B,"&gt;="&amp;DATE(YEAR(TODAY()),1,1),'Sales Orders'!B:B,"&lt;="&amp;TODAY()),0)</f>
        <v>0</v>
      </c>
      <c r="N103" s="17">
        <f ca="1">IFERROR(SUMIFS('Sales Orders'!H:H,'Sales Orders'!D:D,$A103,'Sales Orders'!B:B,"&gt;="&amp;DATE(YEAR(TODAY()),1,1),'Sales Orders'!B:B,"&lt;="&amp;TODAY()),0)</f>
        <v>0</v>
      </c>
    </row>
    <row r="104" spans="10:14">
      <c r="J104" s="15"/>
      <c r="M104" s="16">
        <f ca="1">IFERROR(SUMIFS('Sales Orders'!L:L,'Sales Orders'!D:D,$A104,'Sales Orders'!B:B,"&gt;="&amp;DATE(YEAR(TODAY()),1,1),'Sales Orders'!B:B,"&lt;="&amp;TODAY()),0)</f>
        <v>0</v>
      </c>
      <c r="N104" s="17">
        <f ca="1">IFERROR(SUMIFS('Sales Orders'!H:H,'Sales Orders'!D:D,$A104,'Sales Orders'!B:B,"&gt;="&amp;DATE(YEAR(TODAY()),1,1),'Sales Orders'!B:B,"&lt;="&amp;TODAY()),0)</f>
        <v>0</v>
      </c>
    </row>
    <row r="105" spans="10:14">
      <c r="J105" s="15"/>
      <c r="M105" s="16">
        <f ca="1">IFERROR(SUMIFS('Sales Orders'!L:L,'Sales Orders'!D:D,$A105,'Sales Orders'!B:B,"&gt;="&amp;DATE(YEAR(TODAY()),1,1),'Sales Orders'!B:B,"&lt;="&amp;TODAY()),0)</f>
        <v>0</v>
      </c>
      <c r="N105" s="17">
        <f ca="1">IFERROR(SUMIFS('Sales Orders'!H:H,'Sales Orders'!D:D,$A105,'Sales Orders'!B:B,"&gt;="&amp;DATE(YEAR(TODAY()),1,1),'Sales Orders'!B:B,"&lt;="&amp;TODAY()),0)</f>
        <v>0</v>
      </c>
    </row>
    <row r="106" spans="10:14">
      <c r="J106" s="15"/>
      <c r="M106" s="16">
        <f ca="1">IFERROR(SUMIFS('Sales Orders'!L:L,'Sales Orders'!D:D,$A106,'Sales Orders'!B:B,"&gt;="&amp;DATE(YEAR(TODAY()),1,1),'Sales Orders'!B:B,"&lt;="&amp;TODAY()),0)</f>
        <v>0</v>
      </c>
      <c r="N106" s="17">
        <f ca="1">IFERROR(SUMIFS('Sales Orders'!H:H,'Sales Orders'!D:D,$A106,'Sales Orders'!B:B,"&gt;="&amp;DATE(YEAR(TODAY()),1,1),'Sales Orders'!B:B,"&lt;="&amp;TODAY()),0)</f>
        <v>0</v>
      </c>
    </row>
    <row r="107" spans="10:14">
      <c r="J107" s="15"/>
      <c r="M107" s="16">
        <f ca="1">IFERROR(SUMIFS('Sales Orders'!L:L,'Sales Orders'!D:D,$A107,'Sales Orders'!B:B,"&gt;="&amp;DATE(YEAR(TODAY()),1,1),'Sales Orders'!B:B,"&lt;="&amp;TODAY()),0)</f>
        <v>0</v>
      </c>
      <c r="N107" s="17">
        <f ca="1">IFERROR(SUMIFS('Sales Orders'!H:H,'Sales Orders'!D:D,$A107,'Sales Orders'!B:B,"&gt;="&amp;DATE(YEAR(TODAY()),1,1),'Sales Orders'!B:B,"&lt;="&amp;TODAY()),0)</f>
        <v>0</v>
      </c>
    </row>
    <row r="108" spans="10:14">
      <c r="J108" s="15"/>
      <c r="M108" s="16">
        <f ca="1">IFERROR(SUMIFS('Sales Orders'!L:L,'Sales Orders'!D:D,$A108,'Sales Orders'!B:B,"&gt;="&amp;DATE(YEAR(TODAY()),1,1),'Sales Orders'!B:B,"&lt;="&amp;TODAY()),0)</f>
        <v>0</v>
      </c>
      <c r="N108" s="17">
        <f ca="1">IFERROR(SUMIFS('Sales Orders'!H:H,'Sales Orders'!D:D,$A108,'Sales Orders'!B:B,"&gt;="&amp;DATE(YEAR(TODAY()),1,1),'Sales Orders'!B:B,"&lt;="&amp;TODAY()),0)</f>
        <v>0</v>
      </c>
    </row>
    <row r="109" spans="10:14">
      <c r="J109" s="15"/>
      <c r="M109" s="16">
        <f ca="1">IFERROR(SUMIFS('Sales Orders'!L:L,'Sales Orders'!D:D,$A109,'Sales Orders'!B:B,"&gt;="&amp;DATE(YEAR(TODAY()),1,1),'Sales Orders'!B:B,"&lt;="&amp;TODAY()),0)</f>
        <v>0</v>
      </c>
      <c r="N109" s="17">
        <f ca="1">IFERROR(SUMIFS('Sales Orders'!H:H,'Sales Orders'!D:D,$A109,'Sales Orders'!B:B,"&gt;="&amp;DATE(YEAR(TODAY()),1,1),'Sales Orders'!B:B,"&lt;="&amp;TODAY()),0)</f>
        <v>0</v>
      </c>
    </row>
    <row r="110" spans="10:14">
      <c r="J110" s="15"/>
      <c r="M110" s="16">
        <f ca="1">IFERROR(SUMIFS('Sales Orders'!L:L,'Sales Orders'!D:D,$A110,'Sales Orders'!B:B,"&gt;="&amp;DATE(YEAR(TODAY()),1,1),'Sales Orders'!B:B,"&lt;="&amp;TODAY()),0)</f>
        <v>0</v>
      </c>
      <c r="N110" s="17">
        <f ca="1">IFERROR(SUMIFS('Sales Orders'!H:H,'Sales Orders'!D:D,$A110,'Sales Orders'!B:B,"&gt;="&amp;DATE(YEAR(TODAY()),1,1),'Sales Orders'!B:B,"&lt;="&amp;TODAY()),0)</f>
        <v>0</v>
      </c>
    </row>
    <row r="111" spans="10:14">
      <c r="J111" s="15"/>
      <c r="M111" s="16">
        <f ca="1">IFERROR(SUMIFS('Sales Orders'!L:L,'Sales Orders'!D:D,$A111,'Sales Orders'!B:B,"&gt;="&amp;DATE(YEAR(TODAY()),1,1),'Sales Orders'!B:B,"&lt;="&amp;TODAY()),0)</f>
        <v>0</v>
      </c>
      <c r="N111" s="17">
        <f ca="1">IFERROR(SUMIFS('Sales Orders'!H:H,'Sales Orders'!D:D,$A111,'Sales Orders'!B:B,"&gt;="&amp;DATE(YEAR(TODAY()),1,1),'Sales Orders'!B:B,"&lt;="&amp;TODAY()),0)</f>
        <v>0</v>
      </c>
    </row>
    <row r="112" spans="10:14">
      <c r="J112" s="15"/>
      <c r="M112" s="16">
        <f ca="1">IFERROR(SUMIFS('Sales Orders'!L:L,'Sales Orders'!D:D,$A112,'Sales Orders'!B:B,"&gt;="&amp;DATE(YEAR(TODAY()),1,1),'Sales Orders'!B:B,"&lt;="&amp;TODAY()),0)</f>
        <v>0</v>
      </c>
      <c r="N112" s="17">
        <f ca="1">IFERROR(SUMIFS('Sales Orders'!H:H,'Sales Orders'!D:D,$A112,'Sales Orders'!B:B,"&gt;="&amp;DATE(YEAR(TODAY()),1,1),'Sales Orders'!B:B,"&lt;="&amp;TODAY()),0)</f>
        <v>0</v>
      </c>
    </row>
    <row r="113" spans="10:14">
      <c r="J113" s="15"/>
      <c r="M113" s="16">
        <f ca="1">IFERROR(SUMIFS('Sales Orders'!L:L,'Sales Orders'!D:D,$A113,'Sales Orders'!B:B,"&gt;="&amp;DATE(YEAR(TODAY()),1,1),'Sales Orders'!B:B,"&lt;="&amp;TODAY()),0)</f>
        <v>0</v>
      </c>
      <c r="N113" s="17">
        <f ca="1">IFERROR(SUMIFS('Sales Orders'!H:H,'Sales Orders'!D:D,$A113,'Sales Orders'!B:B,"&gt;="&amp;DATE(YEAR(TODAY()),1,1),'Sales Orders'!B:B,"&lt;="&amp;TODAY()),0)</f>
        <v>0</v>
      </c>
    </row>
    <row r="114" spans="10:14">
      <c r="J114" s="15"/>
      <c r="M114" s="16">
        <f ca="1">IFERROR(SUMIFS('Sales Orders'!L:L,'Sales Orders'!D:D,$A114,'Sales Orders'!B:B,"&gt;="&amp;DATE(YEAR(TODAY()),1,1),'Sales Orders'!B:B,"&lt;="&amp;TODAY()),0)</f>
        <v>0</v>
      </c>
      <c r="N114" s="17">
        <f ca="1">IFERROR(SUMIFS('Sales Orders'!H:H,'Sales Orders'!D:D,$A114,'Sales Orders'!B:B,"&gt;="&amp;DATE(YEAR(TODAY()),1,1),'Sales Orders'!B:B,"&lt;="&amp;TODAY()),0)</f>
        <v>0</v>
      </c>
    </row>
    <row r="115" spans="10:14">
      <c r="J115" s="15"/>
      <c r="M115" s="16">
        <f ca="1">IFERROR(SUMIFS('Sales Orders'!L:L,'Sales Orders'!D:D,$A115,'Sales Orders'!B:B,"&gt;="&amp;DATE(YEAR(TODAY()),1,1),'Sales Orders'!B:B,"&lt;="&amp;TODAY()),0)</f>
        <v>0</v>
      </c>
      <c r="N115" s="17">
        <f ca="1">IFERROR(SUMIFS('Sales Orders'!H:H,'Sales Orders'!D:D,$A115,'Sales Orders'!B:B,"&gt;="&amp;DATE(YEAR(TODAY()),1,1),'Sales Orders'!B:B,"&lt;="&amp;TODAY()),0)</f>
        <v>0</v>
      </c>
    </row>
    <row r="116" spans="10:14">
      <c r="J116" s="15"/>
      <c r="M116" s="16">
        <f ca="1">IFERROR(SUMIFS('Sales Orders'!L:L,'Sales Orders'!D:D,$A116,'Sales Orders'!B:B,"&gt;="&amp;DATE(YEAR(TODAY()),1,1),'Sales Orders'!B:B,"&lt;="&amp;TODAY()),0)</f>
        <v>0</v>
      </c>
      <c r="N116" s="17">
        <f ca="1">IFERROR(SUMIFS('Sales Orders'!H:H,'Sales Orders'!D:D,$A116,'Sales Orders'!B:B,"&gt;="&amp;DATE(YEAR(TODAY()),1,1),'Sales Orders'!B:B,"&lt;="&amp;TODAY()),0)</f>
        <v>0</v>
      </c>
    </row>
    <row r="117" spans="10:14">
      <c r="J117" s="15"/>
      <c r="M117" s="16">
        <f ca="1">IFERROR(SUMIFS('Sales Orders'!L:L,'Sales Orders'!D:D,$A117,'Sales Orders'!B:B,"&gt;="&amp;DATE(YEAR(TODAY()),1,1),'Sales Orders'!B:B,"&lt;="&amp;TODAY()),0)</f>
        <v>0</v>
      </c>
      <c r="N117" s="17">
        <f ca="1">IFERROR(SUMIFS('Sales Orders'!H:H,'Sales Orders'!D:D,$A117,'Sales Orders'!B:B,"&gt;="&amp;DATE(YEAR(TODAY()),1,1),'Sales Orders'!B:B,"&lt;="&amp;TODAY()),0)</f>
        <v>0</v>
      </c>
    </row>
    <row r="118" spans="10:14">
      <c r="J118" s="15"/>
      <c r="M118" s="16">
        <f ca="1">IFERROR(SUMIFS('Sales Orders'!L:L,'Sales Orders'!D:D,$A118,'Sales Orders'!B:B,"&gt;="&amp;DATE(YEAR(TODAY()),1,1),'Sales Orders'!B:B,"&lt;="&amp;TODAY()),0)</f>
        <v>0</v>
      </c>
      <c r="N118" s="17">
        <f ca="1">IFERROR(SUMIFS('Sales Orders'!H:H,'Sales Orders'!D:D,$A118,'Sales Orders'!B:B,"&gt;="&amp;DATE(YEAR(TODAY()),1,1),'Sales Orders'!B:B,"&lt;="&amp;TODAY()),0)</f>
        <v>0</v>
      </c>
    </row>
    <row r="119" spans="10:14">
      <c r="J119" s="15"/>
      <c r="M119" s="16">
        <f ca="1">IFERROR(SUMIFS('Sales Orders'!L:L,'Sales Orders'!D:D,$A119,'Sales Orders'!B:B,"&gt;="&amp;DATE(YEAR(TODAY()),1,1),'Sales Orders'!B:B,"&lt;="&amp;TODAY()),0)</f>
        <v>0</v>
      </c>
      <c r="N119" s="17">
        <f ca="1">IFERROR(SUMIFS('Sales Orders'!H:H,'Sales Orders'!D:D,$A119,'Sales Orders'!B:B,"&gt;="&amp;DATE(YEAR(TODAY()),1,1),'Sales Orders'!B:B,"&lt;="&amp;TODAY()),0)</f>
        <v>0</v>
      </c>
    </row>
    <row r="120" spans="10:14">
      <c r="J120" s="15"/>
      <c r="M120" s="16">
        <f ca="1">IFERROR(SUMIFS('Sales Orders'!L:L,'Sales Orders'!D:D,$A120,'Sales Orders'!B:B,"&gt;="&amp;DATE(YEAR(TODAY()),1,1),'Sales Orders'!B:B,"&lt;="&amp;TODAY()),0)</f>
        <v>0</v>
      </c>
      <c r="N120" s="17">
        <f ca="1">IFERROR(SUMIFS('Sales Orders'!H:H,'Sales Orders'!D:D,$A120,'Sales Orders'!B:B,"&gt;="&amp;DATE(YEAR(TODAY()),1,1),'Sales Orders'!B:B,"&lt;="&amp;TODAY()),0)</f>
        <v>0</v>
      </c>
    </row>
    <row r="121" spans="10:14">
      <c r="J121" s="15"/>
      <c r="M121" s="16">
        <f ca="1">IFERROR(SUMIFS('Sales Orders'!L:L,'Sales Orders'!D:D,$A121,'Sales Orders'!B:B,"&gt;="&amp;DATE(YEAR(TODAY()),1,1),'Sales Orders'!B:B,"&lt;="&amp;TODAY()),0)</f>
        <v>0</v>
      </c>
      <c r="N121" s="17">
        <f ca="1">IFERROR(SUMIFS('Sales Orders'!H:H,'Sales Orders'!D:D,$A121,'Sales Orders'!B:B,"&gt;="&amp;DATE(YEAR(TODAY()),1,1),'Sales Orders'!B:B,"&lt;="&amp;TODAY()),0)</f>
        <v>0</v>
      </c>
    </row>
    <row r="122" spans="10:14">
      <c r="J122" s="15"/>
      <c r="M122" s="16">
        <f ca="1">IFERROR(SUMIFS('Sales Orders'!L:L,'Sales Orders'!D:D,$A122,'Sales Orders'!B:B,"&gt;="&amp;DATE(YEAR(TODAY()),1,1),'Sales Orders'!B:B,"&lt;="&amp;TODAY()),0)</f>
        <v>0</v>
      </c>
      <c r="N122" s="17">
        <f ca="1">IFERROR(SUMIFS('Sales Orders'!H:H,'Sales Orders'!D:D,$A122,'Sales Orders'!B:B,"&gt;="&amp;DATE(YEAR(TODAY()),1,1),'Sales Orders'!B:B,"&lt;="&amp;TODAY()),0)</f>
        <v>0</v>
      </c>
    </row>
    <row r="123" spans="10:14">
      <c r="J123" s="15"/>
      <c r="M123" s="16">
        <f ca="1">IFERROR(SUMIFS('Sales Orders'!L:L,'Sales Orders'!D:D,$A123,'Sales Orders'!B:B,"&gt;="&amp;DATE(YEAR(TODAY()),1,1),'Sales Orders'!B:B,"&lt;="&amp;TODAY()),0)</f>
        <v>0</v>
      </c>
      <c r="N123" s="17">
        <f ca="1">IFERROR(SUMIFS('Sales Orders'!H:H,'Sales Orders'!D:D,$A123,'Sales Orders'!B:B,"&gt;="&amp;DATE(YEAR(TODAY()),1,1),'Sales Orders'!B:B,"&lt;="&amp;TODAY()),0)</f>
        <v>0</v>
      </c>
    </row>
    <row r="124" spans="10:14">
      <c r="J124" s="15"/>
      <c r="M124" s="16">
        <f ca="1">IFERROR(SUMIFS('Sales Orders'!L:L,'Sales Orders'!D:D,$A124,'Sales Orders'!B:B,"&gt;="&amp;DATE(YEAR(TODAY()),1,1),'Sales Orders'!B:B,"&lt;="&amp;TODAY()),0)</f>
        <v>0</v>
      </c>
      <c r="N124" s="17">
        <f ca="1">IFERROR(SUMIFS('Sales Orders'!H:H,'Sales Orders'!D:D,$A124,'Sales Orders'!B:B,"&gt;="&amp;DATE(YEAR(TODAY()),1,1),'Sales Orders'!B:B,"&lt;="&amp;TODAY()),0)</f>
        <v>0</v>
      </c>
    </row>
    <row r="125" spans="10:14">
      <c r="J125" s="15"/>
      <c r="M125" s="16">
        <f ca="1">IFERROR(SUMIFS('Sales Orders'!L:L,'Sales Orders'!D:D,$A125,'Sales Orders'!B:B,"&gt;="&amp;DATE(YEAR(TODAY()),1,1),'Sales Orders'!B:B,"&lt;="&amp;TODAY()),0)</f>
        <v>0</v>
      </c>
      <c r="N125" s="17">
        <f ca="1">IFERROR(SUMIFS('Sales Orders'!H:H,'Sales Orders'!D:D,$A125,'Sales Orders'!B:B,"&gt;="&amp;DATE(YEAR(TODAY()),1,1),'Sales Orders'!B:B,"&lt;="&amp;TODAY()),0)</f>
        <v>0</v>
      </c>
    </row>
    <row r="126" spans="10:14">
      <c r="J126" s="15"/>
      <c r="M126" s="16">
        <f ca="1">IFERROR(SUMIFS('Sales Orders'!L:L,'Sales Orders'!D:D,$A126,'Sales Orders'!B:B,"&gt;="&amp;DATE(YEAR(TODAY()),1,1),'Sales Orders'!B:B,"&lt;="&amp;TODAY()),0)</f>
        <v>0</v>
      </c>
      <c r="N126" s="17">
        <f ca="1">IFERROR(SUMIFS('Sales Orders'!H:H,'Sales Orders'!D:D,$A126,'Sales Orders'!B:B,"&gt;="&amp;DATE(YEAR(TODAY()),1,1),'Sales Orders'!B:B,"&lt;="&amp;TODAY()),0)</f>
        <v>0</v>
      </c>
    </row>
    <row r="127" spans="10:14">
      <c r="J127" s="15"/>
      <c r="M127" s="16">
        <f ca="1">IFERROR(SUMIFS('Sales Orders'!L:L,'Sales Orders'!D:D,$A127,'Sales Orders'!B:B,"&gt;="&amp;DATE(YEAR(TODAY()),1,1),'Sales Orders'!B:B,"&lt;="&amp;TODAY()),0)</f>
        <v>0</v>
      </c>
      <c r="N127" s="17">
        <f ca="1">IFERROR(SUMIFS('Sales Orders'!H:H,'Sales Orders'!D:D,$A127,'Sales Orders'!B:B,"&gt;="&amp;DATE(YEAR(TODAY()),1,1),'Sales Orders'!B:B,"&lt;="&amp;TODAY()),0)</f>
        <v>0</v>
      </c>
    </row>
    <row r="128" spans="10:14">
      <c r="J128" s="15"/>
      <c r="M128" s="16">
        <f ca="1">IFERROR(SUMIFS('Sales Orders'!L:L,'Sales Orders'!D:D,$A128,'Sales Orders'!B:B,"&gt;="&amp;DATE(YEAR(TODAY()),1,1),'Sales Orders'!B:B,"&lt;="&amp;TODAY()),0)</f>
        <v>0</v>
      </c>
      <c r="N128" s="17">
        <f ca="1">IFERROR(SUMIFS('Sales Orders'!H:H,'Sales Orders'!D:D,$A128,'Sales Orders'!B:B,"&gt;="&amp;DATE(YEAR(TODAY()),1,1),'Sales Orders'!B:B,"&lt;="&amp;TODAY()),0)</f>
        <v>0</v>
      </c>
    </row>
    <row r="129" spans="10:14">
      <c r="J129" s="15"/>
      <c r="M129" s="16">
        <f ca="1">IFERROR(SUMIFS('Sales Orders'!L:L,'Sales Orders'!D:D,$A129,'Sales Orders'!B:B,"&gt;="&amp;DATE(YEAR(TODAY()),1,1),'Sales Orders'!B:B,"&lt;="&amp;TODAY()),0)</f>
        <v>0</v>
      </c>
      <c r="N129" s="17">
        <f ca="1">IFERROR(SUMIFS('Sales Orders'!H:H,'Sales Orders'!D:D,$A129,'Sales Orders'!B:B,"&gt;="&amp;DATE(YEAR(TODAY()),1,1),'Sales Orders'!B:B,"&lt;="&amp;TODAY()),0)</f>
        <v>0</v>
      </c>
    </row>
    <row r="130" spans="10:14">
      <c r="J130" s="15"/>
      <c r="M130" s="16">
        <f ca="1">IFERROR(SUMIFS('Sales Orders'!L:L,'Sales Orders'!D:D,$A130,'Sales Orders'!B:B,"&gt;="&amp;DATE(YEAR(TODAY()),1,1),'Sales Orders'!B:B,"&lt;="&amp;TODAY()),0)</f>
        <v>0</v>
      </c>
      <c r="N130" s="17">
        <f ca="1">IFERROR(SUMIFS('Sales Orders'!H:H,'Sales Orders'!D:D,$A130,'Sales Orders'!B:B,"&gt;="&amp;DATE(YEAR(TODAY()),1,1),'Sales Orders'!B:B,"&lt;="&amp;TODAY()),0)</f>
        <v>0</v>
      </c>
    </row>
    <row r="131" spans="10:14">
      <c r="J131" s="15"/>
      <c r="M131" s="16">
        <f ca="1">IFERROR(SUMIFS('Sales Orders'!L:L,'Sales Orders'!D:D,$A131,'Sales Orders'!B:B,"&gt;="&amp;DATE(YEAR(TODAY()),1,1),'Sales Orders'!B:B,"&lt;="&amp;TODAY()),0)</f>
        <v>0</v>
      </c>
      <c r="N131" s="17">
        <f ca="1">IFERROR(SUMIFS('Sales Orders'!H:H,'Sales Orders'!D:D,$A131,'Sales Orders'!B:B,"&gt;="&amp;DATE(YEAR(TODAY()),1,1),'Sales Orders'!B:B,"&lt;="&amp;TODAY()),0)</f>
        <v>0</v>
      </c>
    </row>
    <row r="132" spans="10:14">
      <c r="J132" s="15"/>
      <c r="M132" s="16">
        <f ca="1">IFERROR(SUMIFS('Sales Orders'!L:L,'Sales Orders'!D:D,$A132,'Sales Orders'!B:B,"&gt;="&amp;DATE(YEAR(TODAY()),1,1),'Sales Orders'!B:B,"&lt;="&amp;TODAY()),0)</f>
        <v>0</v>
      </c>
      <c r="N132" s="17">
        <f ca="1">IFERROR(SUMIFS('Sales Orders'!H:H,'Sales Orders'!D:D,$A132,'Sales Orders'!B:B,"&gt;="&amp;DATE(YEAR(TODAY()),1,1),'Sales Orders'!B:B,"&lt;="&amp;TODAY()),0)</f>
        <v>0</v>
      </c>
    </row>
    <row r="133" spans="10:14">
      <c r="J133" s="15"/>
      <c r="M133" s="16">
        <f ca="1">IFERROR(SUMIFS('Sales Orders'!L:L,'Sales Orders'!D:D,$A133,'Sales Orders'!B:B,"&gt;="&amp;DATE(YEAR(TODAY()),1,1),'Sales Orders'!B:B,"&lt;="&amp;TODAY()),0)</f>
        <v>0</v>
      </c>
      <c r="N133" s="17">
        <f ca="1">IFERROR(SUMIFS('Sales Orders'!H:H,'Sales Orders'!D:D,$A133,'Sales Orders'!B:B,"&gt;="&amp;DATE(YEAR(TODAY()),1,1),'Sales Orders'!B:B,"&lt;="&amp;TODAY()),0)</f>
        <v>0</v>
      </c>
    </row>
    <row r="134" spans="10:14">
      <c r="J134" s="15"/>
      <c r="M134" s="16">
        <f ca="1">IFERROR(SUMIFS('Sales Orders'!L:L,'Sales Orders'!D:D,$A134,'Sales Orders'!B:B,"&gt;="&amp;DATE(YEAR(TODAY()),1,1),'Sales Orders'!B:B,"&lt;="&amp;TODAY()),0)</f>
        <v>0</v>
      </c>
      <c r="N134" s="17">
        <f ca="1">IFERROR(SUMIFS('Sales Orders'!H:H,'Sales Orders'!D:D,$A134,'Sales Orders'!B:B,"&gt;="&amp;DATE(YEAR(TODAY()),1,1),'Sales Orders'!B:B,"&lt;="&amp;TODAY()),0)</f>
        <v>0</v>
      </c>
    </row>
    <row r="135" spans="10:14">
      <c r="J135" s="15"/>
      <c r="M135" s="16">
        <f ca="1">IFERROR(SUMIFS('Sales Orders'!L:L,'Sales Orders'!D:D,$A135,'Sales Orders'!B:B,"&gt;="&amp;DATE(YEAR(TODAY()),1,1),'Sales Orders'!B:B,"&lt;="&amp;TODAY()),0)</f>
        <v>0</v>
      </c>
      <c r="N135" s="17">
        <f ca="1">IFERROR(SUMIFS('Sales Orders'!H:H,'Sales Orders'!D:D,$A135,'Sales Orders'!B:B,"&gt;="&amp;DATE(YEAR(TODAY()),1,1),'Sales Orders'!B:B,"&lt;="&amp;TODAY()),0)</f>
        <v>0</v>
      </c>
    </row>
    <row r="136" spans="10:14">
      <c r="J136" s="15"/>
      <c r="M136" s="16">
        <f ca="1">IFERROR(SUMIFS('Sales Orders'!L:L,'Sales Orders'!D:D,$A136,'Sales Orders'!B:B,"&gt;="&amp;DATE(YEAR(TODAY()),1,1),'Sales Orders'!B:B,"&lt;="&amp;TODAY()),0)</f>
        <v>0</v>
      </c>
      <c r="N136" s="17">
        <f ca="1">IFERROR(SUMIFS('Sales Orders'!H:H,'Sales Orders'!D:D,$A136,'Sales Orders'!B:B,"&gt;="&amp;DATE(YEAR(TODAY()),1,1),'Sales Orders'!B:B,"&lt;="&amp;TODAY()),0)</f>
        <v>0</v>
      </c>
    </row>
    <row r="137" spans="10:14">
      <c r="J137" s="15"/>
      <c r="M137" s="16">
        <f ca="1">IFERROR(SUMIFS('Sales Orders'!L:L,'Sales Orders'!D:D,$A137,'Sales Orders'!B:B,"&gt;="&amp;DATE(YEAR(TODAY()),1,1),'Sales Orders'!B:B,"&lt;="&amp;TODAY()),0)</f>
        <v>0</v>
      </c>
      <c r="N137" s="17">
        <f ca="1">IFERROR(SUMIFS('Sales Orders'!H:H,'Sales Orders'!D:D,$A137,'Sales Orders'!B:B,"&gt;="&amp;DATE(YEAR(TODAY()),1,1),'Sales Orders'!B:B,"&lt;="&amp;TODAY()),0)</f>
        <v>0</v>
      </c>
    </row>
    <row r="138" spans="10:14">
      <c r="J138" s="15"/>
      <c r="M138" s="16">
        <f ca="1">IFERROR(SUMIFS('Sales Orders'!L:L,'Sales Orders'!D:D,$A138,'Sales Orders'!B:B,"&gt;="&amp;DATE(YEAR(TODAY()),1,1),'Sales Orders'!B:B,"&lt;="&amp;TODAY()),0)</f>
        <v>0</v>
      </c>
      <c r="N138" s="17">
        <f ca="1">IFERROR(SUMIFS('Sales Orders'!H:H,'Sales Orders'!D:D,$A138,'Sales Orders'!B:B,"&gt;="&amp;DATE(YEAR(TODAY()),1,1),'Sales Orders'!B:B,"&lt;="&amp;TODAY()),0)</f>
        <v>0</v>
      </c>
    </row>
    <row r="139" spans="10:14">
      <c r="J139" s="15"/>
      <c r="M139" s="16">
        <f ca="1">IFERROR(SUMIFS('Sales Orders'!L:L,'Sales Orders'!D:D,$A139,'Sales Orders'!B:B,"&gt;="&amp;DATE(YEAR(TODAY()),1,1),'Sales Orders'!B:B,"&lt;="&amp;TODAY()),0)</f>
        <v>0</v>
      </c>
      <c r="N139" s="17">
        <f ca="1">IFERROR(SUMIFS('Sales Orders'!H:H,'Sales Orders'!D:D,$A139,'Sales Orders'!B:B,"&gt;="&amp;DATE(YEAR(TODAY()),1,1),'Sales Orders'!B:B,"&lt;="&amp;TODAY()),0)</f>
        <v>0</v>
      </c>
    </row>
    <row r="140" spans="10:14">
      <c r="J140" s="15"/>
      <c r="M140" s="16">
        <f ca="1">IFERROR(SUMIFS('Sales Orders'!L:L,'Sales Orders'!D:D,$A140,'Sales Orders'!B:B,"&gt;="&amp;DATE(YEAR(TODAY()),1,1),'Sales Orders'!B:B,"&lt;="&amp;TODAY()),0)</f>
        <v>0</v>
      </c>
      <c r="N140" s="17">
        <f ca="1">IFERROR(SUMIFS('Sales Orders'!H:H,'Sales Orders'!D:D,$A140,'Sales Orders'!B:B,"&gt;="&amp;DATE(YEAR(TODAY()),1,1),'Sales Orders'!B:B,"&lt;="&amp;TODAY()),0)</f>
        <v>0</v>
      </c>
    </row>
    <row r="141" spans="10:14">
      <c r="J141" s="15"/>
      <c r="M141" s="16">
        <f ca="1">IFERROR(SUMIFS('Sales Orders'!L:L,'Sales Orders'!D:D,$A141,'Sales Orders'!B:B,"&gt;="&amp;DATE(YEAR(TODAY()),1,1),'Sales Orders'!B:B,"&lt;="&amp;TODAY()),0)</f>
        <v>0</v>
      </c>
      <c r="N141" s="17">
        <f ca="1">IFERROR(SUMIFS('Sales Orders'!H:H,'Sales Orders'!D:D,$A141,'Sales Orders'!B:B,"&gt;="&amp;DATE(YEAR(TODAY()),1,1),'Sales Orders'!B:B,"&lt;="&amp;TODAY()),0)</f>
        <v>0</v>
      </c>
    </row>
    <row r="142" spans="10:14">
      <c r="J142" s="15"/>
      <c r="M142" s="16">
        <f ca="1">IFERROR(SUMIFS('Sales Orders'!L:L,'Sales Orders'!D:D,$A142,'Sales Orders'!B:B,"&gt;="&amp;DATE(YEAR(TODAY()),1,1),'Sales Orders'!B:B,"&lt;="&amp;TODAY()),0)</f>
        <v>0</v>
      </c>
      <c r="N142" s="17">
        <f ca="1">IFERROR(SUMIFS('Sales Orders'!H:H,'Sales Orders'!D:D,$A142,'Sales Orders'!B:B,"&gt;="&amp;DATE(YEAR(TODAY()),1,1),'Sales Orders'!B:B,"&lt;="&amp;TODAY()),0)</f>
        <v>0</v>
      </c>
    </row>
    <row r="143" spans="10:14">
      <c r="J143" s="15"/>
      <c r="M143" s="16">
        <f ca="1">IFERROR(SUMIFS('Sales Orders'!L:L,'Sales Orders'!D:D,$A143,'Sales Orders'!B:B,"&gt;="&amp;DATE(YEAR(TODAY()),1,1),'Sales Orders'!B:B,"&lt;="&amp;TODAY()),0)</f>
        <v>0</v>
      </c>
      <c r="N143" s="17">
        <f ca="1">IFERROR(SUMIFS('Sales Orders'!H:H,'Sales Orders'!D:D,$A143,'Sales Orders'!B:B,"&gt;="&amp;DATE(YEAR(TODAY()),1,1),'Sales Orders'!B:B,"&lt;="&amp;TODAY()),0)</f>
        <v>0</v>
      </c>
    </row>
    <row r="144" spans="10:14">
      <c r="J144" s="15"/>
      <c r="M144" s="16">
        <f ca="1">IFERROR(SUMIFS('Sales Orders'!L:L,'Sales Orders'!D:D,$A144,'Sales Orders'!B:B,"&gt;="&amp;DATE(YEAR(TODAY()),1,1),'Sales Orders'!B:B,"&lt;="&amp;TODAY()),0)</f>
        <v>0</v>
      </c>
      <c r="N144" s="17">
        <f ca="1">IFERROR(SUMIFS('Sales Orders'!H:H,'Sales Orders'!D:D,$A144,'Sales Orders'!B:B,"&gt;="&amp;DATE(YEAR(TODAY()),1,1),'Sales Orders'!B:B,"&lt;="&amp;TODAY()),0)</f>
        <v>0</v>
      </c>
    </row>
    <row r="145" spans="10:14">
      <c r="J145" s="15"/>
      <c r="M145" s="16">
        <f ca="1">IFERROR(SUMIFS('Sales Orders'!L:L,'Sales Orders'!D:D,$A145,'Sales Orders'!B:B,"&gt;="&amp;DATE(YEAR(TODAY()),1,1),'Sales Orders'!B:B,"&lt;="&amp;TODAY()),0)</f>
        <v>0</v>
      </c>
      <c r="N145" s="17">
        <f ca="1">IFERROR(SUMIFS('Sales Orders'!H:H,'Sales Orders'!D:D,$A145,'Sales Orders'!B:B,"&gt;="&amp;DATE(YEAR(TODAY()),1,1),'Sales Orders'!B:B,"&lt;="&amp;TODAY()),0)</f>
        <v>0</v>
      </c>
    </row>
    <row r="146" spans="10:14">
      <c r="J146" s="15"/>
      <c r="M146" s="16">
        <f ca="1">IFERROR(SUMIFS('Sales Orders'!L:L,'Sales Orders'!D:D,$A146,'Sales Orders'!B:B,"&gt;="&amp;DATE(YEAR(TODAY()),1,1),'Sales Orders'!B:B,"&lt;="&amp;TODAY()),0)</f>
        <v>0</v>
      </c>
      <c r="N146" s="17">
        <f ca="1">IFERROR(SUMIFS('Sales Orders'!H:H,'Sales Orders'!D:D,$A146,'Sales Orders'!B:B,"&gt;="&amp;DATE(YEAR(TODAY()),1,1),'Sales Orders'!B:B,"&lt;="&amp;TODAY()),0)</f>
        <v>0</v>
      </c>
    </row>
    <row r="147" spans="10:14">
      <c r="J147" s="15"/>
      <c r="M147" s="16">
        <f ca="1">IFERROR(SUMIFS('Sales Orders'!L:L,'Sales Orders'!D:D,$A147,'Sales Orders'!B:B,"&gt;="&amp;DATE(YEAR(TODAY()),1,1),'Sales Orders'!B:B,"&lt;="&amp;TODAY()),0)</f>
        <v>0</v>
      </c>
      <c r="N147" s="17">
        <f ca="1">IFERROR(SUMIFS('Sales Orders'!H:H,'Sales Orders'!D:D,$A147,'Sales Orders'!B:B,"&gt;="&amp;DATE(YEAR(TODAY()),1,1),'Sales Orders'!B:B,"&lt;="&amp;TODAY()),0)</f>
        <v>0</v>
      </c>
    </row>
    <row r="148" spans="10:14">
      <c r="J148" s="15"/>
      <c r="M148" s="16">
        <f ca="1">IFERROR(SUMIFS('Sales Orders'!L:L,'Sales Orders'!D:D,$A148,'Sales Orders'!B:B,"&gt;="&amp;DATE(YEAR(TODAY()),1,1),'Sales Orders'!B:B,"&lt;="&amp;TODAY()),0)</f>
        <v>0</v>
      </c>
      <c r="N148" s="17">
        <f ca="1">IFERROR(SUMIFS('Sales Orders'!H:H,'Sales Orders'!D:D,$A148,'Sales Orders'!B:B,"&gt;="&amp;DATE(YEAR(TODAY()),1,1),'Sales Orders'!B:B,"&lt;="&amp;TODAY()),0)</f>
        <v>0</v>
      </c>
    </row>
    <row r="149" spans="10:14">
      <c r="J149" s="15"/>
      <c r="M149" s="16">
        <f ca="1">IFERROR(SUMIFS('Sales Orders'!L:L,'Sales Orders'!D:D,$A149,'Sales Orders'!B:B,"&gt;="&amp;DATE(YEAR(TODAY()),1,1),'Sales Orders'!B:B,"&lt;="&amp;TODAY()),0)</f>
        <v>0</v>
      </c>
      <c r="N149" s="17">
        <f ca="1">IFERROR(SUMIFS('Sales Orders'!H:H,'Sales Orders'!D:D,$A149,'Sales Orders'!B:B,"&gt;="&amp;DATE(YEAR(TODAY()),1,1),'Sales Orders'!B:B,"&lt;="&amp;TODAY()),0)</f>
        <v>0</v>
      </c>
    </row>
    <row r="150" spans="10:14">
      <c r="J150" s="15"/>
      <c r="M150" s="16">
        <f ca="1">IFERROR(SUMIFS('Sales Orders'!L:L,'Sales Orders'!D:D,$A150,'Sales Orders'!B:B,"&gt;="&amp;DATE(YEAR(TODAY()),1,1),'Sales Orders'!B:B,"&lt;="&amp;TODAY()),0)</f>
        <v>0</v>
      </c>
      <c r="N150" s="17">
        <f ca="1">IFERROR(SUMIFS('Sales Orders'!H:H,'Sales Orders'!D:D,$A150,'Sales Orders'!B:B,"&gt;="&amp;DATE(YEAR(TODAY()),1,1),'Sales Orders'!B:B,"&lt;="&amp;TODAY()),0)</f>
        <v>0</v>
      </c>
    </row>
    <row r="151" spans="10:14">
      <c r="J151" s="15"/>
      <c r="M151" s="16">
        <f ca="1">IFERROR(SUMIFS('Sales Orders'!L:L,'Sales Orders'!D:D,$A151,'Sales Orders'!B:B,"&gt;="&amp;DATE(YEAR(TODAY()),1,1),'Sales Orders'!B:B,"&lt;="&amp;TODAY()),0)</f>
        <v>0</v>
      </c>
      <c r="N151" s="17">
        <f ca="1">IFERROR(SUMIFS('Sales Orders'!H:H,'Sales Orders'!D:D,$A151,'Sales Orders'!B:B,"&gt;="&amp;DATE(YEAR(TODAY()),1,1),'Sales Orders'!B:B,"&lt;="&amp;TODAY()),0)</f>
        <v>0</v>
      </c>
    </row>
    <row r="152" spans="10:14">
      <c r="J152" s="15"/>
      <c r="M152" s="16">
        <f ca="1">IFERROR(SUMIFS('Sales Orders'!L:L,'Sales Orders'!D:D,$A152,'Sales Orders'!B:B,"&gt;="&amp;DATE(YEAR(TODAY()),1,1),'Sales Orders'!B:B,"&lt;="&amp;TODAY()),0)</f>
        <v>0</v>
      </c>
      <c r="N152" s="17">
        <f ca="1">IFERROR(SUMIFS('Sales Orders'!H:H,'Sales Orders'!D:D,$A152,'Sales Orders'!B:B,"&gt;="&amp;DATE(YEAR(TODAY()),1,1),'Sales Orders'!B:B,"&lt;="&amp;TODAY()),0)</f>
        <v>0</v>
      </c>
    </row>
    <row r="153" spans="10:14">
      <c r="J153" s="15"/>
      <c r="M153" s="16">
        <f ca="1">IFERROR(SUMIFS('Sales Orders'!L:L,'Sales Orders'!D:D,$A153,'Sales Orders'!B:B,"&gt;="&amp;DATE(YEAR(TODAY()),1,1),'Sales Orders'!B:B,"&lt;="&amp;TODAY()),0)</f>
        <v>0</v>
      </c>
      <c r="N153" s="17">
        <f ca="1">IFERROR(SUMIFS('Sales Orders'!H:H,'Sales Orders'!D:D,$A153,'Sales Orders'!B:B,"&gt;="&amp;DATE(YEAR(TODAY()),1,1),'Sales Orders'!B:B,"&lt;="&amp;TODAY()),0)</f>
        <v>0</v>
      </c>
    </row>
    <row r="154" spans="10:14">
      <c r="J154" s="15"/>
      <c r="M154" s="16">
        <f ca="1">IFERROR(SUMIFS('Sales Orders'!L:L,'Sales Orders'!D:D,$A154,'Sales Orders'!B:B,"&gt;="&amp;DATE(YEAR(TODAY()),1,1),'Sales Orders'!B:B,"&lt;="&amp;TODAY()),0)</f>
        <v>0</v>
      </c>
      <c r="N154" s="17">
        <f ca="1">IFERROR(SUMIFS('Sales Orders'!H:H,'Sales Orders'!D:D,$A154,'Sales Orders'!B:B,"&gt;="&amp;DATE(YEAR(TODAY()),1,1),'Sales Orders'!B:B,"&lt;="&amp;TODAY()),0)</f>
        <v>0</v>
      </c>
    </row>
    <row r="155" spans="10:14">
      <c r="J155" s="15"/>
      <c r="M155" s="16">
        <f ca="1">IFERROR(SUMIFS('Sales Orders'!L:L,'Sales Orders'!D:D,$A155,'Sales Orders'!B:B,"&gt;="&amp;DATE(YEAR(TODAY()),1,1),'Sales Orders'!B:B,"&lt;="&amp;TODAY()),0)</f>
        <v>0</v>
      </c>
      <c r="N155" s="17">
        <f ca="1">IFERROR(SUMIFS('Sales Orders'!H:H,'Sales Orders'!D:D,$A155,'Sales Orders'!B:B,"&gt;="&amp;DATE(YEAR(TODAY()),1,1),'Sales Orders'!B:B,"&lt;="&amp;TODAY()),0)</f>
        <v>0</v>
      </c>
    </row>
    <row r="156" spans="10:14">
      <c r="J156" s="15"/>
      <c r="M156" s="16">
        <f ca="1">IFERROR(SUMIFS('Sales Orders'!L:L,'Sales Orders'!D:D,$A156,'Sales Orders'!B:B,"&gt;="&amp;DATE(YEAR(TODAY()),1,1),'Sales Orders'!B:B,"&lt;="&amp;TODAY()),0)</f>
        <v>0</v>
      </c>
      <c r="N156" s="17">
        <f ca="1">IFERROR(SUMIFS('Sales Orders'!H:H,'Sales Orders'!D:D,$A156,'Sales Orders'!B:B,"&gt;="&amp;DATE(YEAR(TODAY()),1,1),'Sales Orders'!B:B,"&lt;="&amp;TODAY()),0)</f>
        <v>0</v>
      </c>
    </row>
    <row r="157" spans="10:14">
      <c r="J157" s="15"/>
      <c r="M157" s="16">
        <f ca="1">IFERROR(SUMIFS('Sales Orders'!L:L,'Sales Orders'!D:D,$A157,'Sales Orders'!B:B,"&gt;="&amp;DATE(YEAR(TODAY()),1,1),'Sales Orders'!B:B,"&lt;="&amp;TODAY()),0)</f>
        <v>0</v>
      </c>
      <c r="N157" s="17">
        <f ca="1">IFERROR(SUMIFS('Sales Orders'!H:H,'Sales Orders'!D:D,$A157,'Sales Orders'!B:B,"&gt;="&amp;DATE(YEAR(TODAY()),1,1),'Sales Orders'!B:B,"&lt;="&amp;TODAY()),0)</f>
        <v>0</v>
      </c>
    </row>
    <row r="158" spans="10:14">
      <c r="J158" s="15"/>
      <c r="M158" s="16">
        <f ca="1">IFERROR(SUMIFS('Sales Orders'!L:L,'Sales Orders'!D:D,$A158,'Sales Orders'!B:B,"&gt;="&amp;DATE(YEAR(TODAY()),1,1),'Sales Orders'!B:B,"&lt;="&amp;TODAY()),0)</f>
        <v>0</v>
      </c>
      <c r="N158" s="17">
        <f ca="1">IFERROR(SUMIFS('Sales Orders'!H:H,'Sales Orders'!D:D,$A158,'Sales Orders'!B:B,"&gt;="&amp;DATE(YEAR(TODAY()),1,1),'Sales Orders'!B:B,"&lt;="&amp;TODAY()),0)</f>
        <v>0</v>
      </c>
    </row>
    <row r="159" spans="10:14">
      <c r="J159" s="15"/>
      <c r="M159" s="16">
        <f ca="1">IFERROR(SUMIFS('Sales Orders'!L:L,'Sales Orders'!D:D,$A159,'Sales Orders'!B:B,"&gt;="&amp;DATE(YEAR(TODAY()),1,1),'Sales Orders'!B:B,"&lt;="&amp;TODAY()),0)</f>
        <v>0</v>
      </c>
      <c r="N159" s="17">
        <f ca="1">IFERROR(SUMIFS('Sales Orders'!H:H,'Sales Orders'!D:D,$A159,'Sales Orders'!B:B,"&gt;="&amp;DATE(YEAR(TODAY()),1,1),'Sales Orders'!B:B,"&lt;="&amp;TODAY()),0)</f>
        <v>0</v>
      </c>
    </row>
    <row r="160" spans="10:14">
      <c r="J160" s="15"/>
      <c r="M160" s="16">
        <f ca="1">IFERROR(SUMIFS('Sales Orders'!L:L,'Sales Orders'!D:D,$A160,'Sales Orders'!B:B,"&gt;="&amp;DATE(YEAR(TODAY()),1,1),'Sales Orders'!B:B,"&lt;="&amp;TODAY()),0)</f>
        <v>0</v>
      </c>
      <c r="N160" s="17">
        <f ca="1">IFERROR(SUMIFS('Sales Orders'!H:H,'Sales Orders'!D:D,$A160,'Sales Orders'!B:B,"&gt;="&amp;DATE(YEAR(TODAY()),1,1),'Sales Orders'!B:B,"&lt;="&amp;TODAY()),0)</f>
        <v>0</v>
      </c>
    </row>
    <row r="161" spans="10:14">
      <c r="J161" s="15"/>
      <c r="M161" s="16">
        <f ca="1">IFERROR(SUMIFS('Sales Orders'!L:L,'Sales Orders'!D:D,$A161,'Sales Orders'!B:B,"&gt;="&amp;DATE(YEAR(TODAY()),1,1),'Sales Orders'!B:B,"&lt;="&amp;TODAY()),0)</f>
        <v>0</v>
      </c>
      <c r="N161" s="17">
        <f ca="1">IFERROR(SUMIFS('Sales Orders'!H:H,'Sales Orders'!D:D,$A161,'Sales Orders'!B:B,"&gt;="&amp;DATE(YEAR(TODAY()),1,1),'Sales Orders'!B:B,"&lt;="&amp;TODAY()),0)</f>
        <v>0</v>
      </c>
    </row>
    <row r="162" spans="10:14">
      <c r="J162" s="15"/>
      <c r="M162" s="16">
        <f ca="1">IFERROR(SUMIFS('Sales Orders'!L:L,'Sales Orders'!D:D,$A162,'Sales Orders'!B:B,"&gt;="&amp;DATE(YEAR(TODAY()),1,1),'Sales Orders'!B:B,"&lt;="&amp;TODAY()),0)</f>
        <v>0</v>
      </c>
      <c r="N162" s="17">
        <f ca="1">IFERROR(SUMIFS('Sales Orders'!H:H,'Sales Orders'!D:D,$A162,'Sales Orders'!B:B,"&gt;="&amp;DATE(YEAR(TODAY()),1,1),'Sales Orders'!B:B,"&lt;="&amp;TODAY()),0)</f>
        <v>0</v>
      </c>
    </row>
    <row r="163" spans="10:14">
      <c r="J163" s="15"/>
      <c r="M163" s="16">
        <f ca="1">IFERROR(SUMIFS('Sales Orders'!L:L,'Sales Orders'!D:D,$A163,'Sales Orders'!B:B,"&gt;="&amp;DATE(YEAR(TODAY()),1,1),'Sales Orders'!B:B,"&lt;="&amp;TODAY()),0)</f>
        <v>0</v>
      </c>
      <c r="N163" s="17">
        <f ca="1">IFERROR(SUMIFS('Sales Orders'!H:H,'Sales Orders'!D:D,$A163,'Sales Orders'!B:B,"&gt;="&amp;DATE(YEAR(TODAY()),1,1),'Sales Orders'!B:B,"&lt;="&amp;TODAY()),0)</f>
        <v>0</v>
      </c>
    </row>
    <row r="164" spans="10:14">
      <c r="J164" s="15"/>
      <c r="M164" s="16">
        <f ca="1">IFERROR(SUMIFS('Sales Orders'!L:L,'Sales Orders'!D:D,$A164,'Sales Orders'!B:B,"&gt;="&amp;DATE(YEAR(TODAY()),1,1),'Sales Orders'!B:B,"&lt;="&amp;TODAY()),0)</f>
        <v>0</v>
      </c>
      <c r="N164" s="17">
        <f ca="1">IFERROR(SUMIFS('Sales Orders'!H:H,'Sales Orders'!D:D,$A164,'Sales Orders'!B:B,"&gt;="&amp;DATE(YEAR(TODAY()),1,1),'Sales Orders'!B:B,"&lt;="&amp;TODAY()),0)</f>
        <v>0</v>
      </c>
    </row>
    <row r="165" spans="10:14">
      <c r="J165" s="15"/>
      <c r="M165" s="16">
        <f ca="1">IFERROR(SUMIFS('Sales Orders'!L:L,'Sales Orders'!D:D,$A165,'Sales Orders'!B:B,"&gt;="&amp;DATE(YEAR(TODAY()),1,1),'Sales Orders'!B:B,"&lt;="&amp;TODAY()),0)</f>
        <v>0</v>
      </c>
      <c r="N165" s="17">
        <f ca="1">IFERROR(SUMIFS('Sales Orders'!H:H,'Sales Orders'!D:D,$A165,'Sales Orders'!B:B,"&gt;="&amp;DATE(YEAR(TODAY()),1,1),'Sales Orders'!B:B,"&lt;="&amp;TODAY()),0)</f>
        <v>0</v>
      </c>
    </row>
    <row r="166" spans="10:14">
      <c r="J166" s="15"/>
      <c r="M166" s="16">
        <f ca="1">IFERROR(SUMIFS('Sales Orders'!L:L,'Sales Orders'!D:D,$A166,'Sales Orders'!B:B,"&gt;="&amp;DATE(YEAR(TODAY()),1,1),'Sales Orders'!B:B,"&lt;="&amp;TODAY()),0)</f>
        <v>0</v>
      </c>
      <c r="N166" s="17">
        <f ca="1">IFERROR(SUMIFS('Sales Orders'!H:H,'Sales Orders'!D:D,$A166,'Sales Orders'!B:B,"&gt;="&amp;DATE(YEAR(TODAY()),1,1),'Sales Orders'!B:B,"&lt;="&amp;TODAY()),0)</f>
        <v>0</v>
      </c>
    </row>
    <row r="167" spans="10:14">
      <c r="J167" s="15"/>
      <c r="M167" s="16">
        <f ca="1">IFERROR(SUMIFS('Sales Orders'!L:L,'Sales Orders'!D:D,$A167,'Sales Orders'!B:B,"&gt;="&amp;DATE(YEAR(TODAY()),1,1),'Sales Orders'!B:B,"&lt;="&amp;TODAY()),0)</f>
        <v>0</v>
      </c>
      <c r="N167" s="17">
        <f ca="1">IFERROR(SUMIFS('Sales Orders'!H:H,'Sales Orders'!D:D,$A167,'Sales Orders'!B:B,"&gt;="&amp;DATE(YEAR(TODAY()),1,1),'Sales Orders'!B:B,"&lt;="&amp;TODAY()),0)</f>
        <v>0</v>
      </c>
    </row>
    <row r="168" spans="10:14">
      <c r="J168" s="15"/>
      <c r="M168" s="16">
        <f ca="1">IFERROR(SUMIFS('Sales Orders'!L:L,'Sales Orders'!D:D,$A168,'Sales Orders'!B:B,"&gt;="&amp;DATE(YEAR(TODAY()),1,1),'Sales Orders'!B:B,"&lt;="&amp;TODAY()),0)</f>
        <v>0</v>
      </c>
      <c r="N168" s="17">
        <f ca="1">IFERROR(SUMIFS('Sales Orders'!H:H,'Sales Orders'!D:D,$A168,'Sales Orders'!B:B,"&gt;="&amp;DATE(YEAR(TODAY()),1,1),'Sales Orders'!B:B,"&lt;="&amp;TODAY()),0)</f>
        <v>0</v>
      </c>
    </row>
    <row r="169" spans="10:14">
      <c r="J169" s="15"/>
      <c r="M169" s="16">
        <f ca="1">IFERROR(SUMIFS('Sales Orders'!L:L,'Sales Orders'!D:D,$A169,'Sales Orders'!B:B,"&gt;="&amp;DATE(YEAR(TODAY()),1,1),'Sales Orders'!B:B,"&lt;="&amp;TODAY()),0)</f>
        <v>0</v>
      </c>
      <c r="N169" s="17">
        <f ca="1">IFERROR(SUMIFS('Sales Orders'!H:H,'Sales Orders'!D:D,$A169,'Sales Orders'!B:B,"&gt;="&amp;DATE(YEAR(TODAY()),1,1),'Sales Orders'!B:B,"&lt;="&amp;TODAY()),0)</f>
        <v>0</v>
      </c>
    </row>
    <row r="170" spans="10:14">
      <c r="J170" s="15"/>
      <c r="M170" s="16">
        <f ca="1">IFERROR(SUMIFS('Sales Orders'!L:L,'Sales Orders'!D:D,$A170,'Sales Orders'!B:B,"&gt;="&amp;DATE(YEAR(TODAY()),1,1),'Sales Orders'!B:B,"&lt;="&amp;TODAY()),0)</f>
        <v>0</v>
      </c>
      <c r="N170" s="17">
        <f ca="1">IFERROR(SUMIFS('Sales Orders'!H:H,'Sales Orders'!D:D,$A170,'Sales Orders'!B:B,"&gt;="&amp;DATE(YEAR(TODAY()),1,1),'Sales Orders'!B:B,"&lt;="&amp;TODAY()),0)</f>
        <v>0</v>
      </c>
    </row>
    <row r="171" spans="10:14">
      <c r="J171" s="15"/>
      <c r="M171" s="16">
        <f ca="1">IFERROR(SUMIFS('Sales Orders'!L:L,'Sales Orders'!D:D,$A171,'Sales Orders'!B:B,"&gt;="&amp;DATE(YEAR(TODAY()),1,1),'Sales Orders'!B:B,"&lt;="&amp;TODAY()),0)</f>
        <v>0</v>
      </c>
      <c r="N171" s="17">
        <f ca="1">IFERROR(SUMIFS('Sales Orders'!H:H,'Sales Orders'!D:D,$A171,'Sales Orders'!B:B,"&gt;="&amp;DATE(YEAR(TODAY()),1,1),'Sales Orders'!B:B,"&lt;="&amp;TODAY()),0)</f>
        <v>0</v>
      </c>
    </row>
    <row r="172" spans="10:14">
      <c r="J172" s="15"/>
      <c r="M172" s="16">
        <f ca="1">IFERROR(SUMIFS('Sales Orders'!L:L,'Sales Orders'!D:D,$A172,'Sales Orders'!B:B,"&gt;="&amp;DATE(YEAR(TODAY()),1,1),'Sales Orders'!B:B,"&lt;="&amp;TODAY()),0)</f>
        <v>0</v>
      </c>
      <c r="N172" s="17">
        <f ca="1">IFERROR(SUMIFS('Sales Orders'!H:H,'Sales Orders'!D:D,$A172,'Sales Orders'!B:B,"&gt;="&amp;DATE(YEAR(TODAY()),1,1),'Sales Orders'!B:B,"&lt;="&amp;TODAY()),0)</f>
        <v>0</v>
      </c>
    </row>
    <row r="173" spans="10:14">
      <c r="J173" s="15"/>
      <c r="M173" s="16">
        <f ca="1">IFERROR(SUMIFS('Sales Orders'!L:L,'Sales Orders'!D:D,$A173,'Sales Orders'!B:B,"&gt;="&amp;DATE(YEAR(TODAY()),1,1),'Sales Orders'!B:B,"&lt;="&amp;TODAY()),0)</f>
        <v>0</v>
      </c>
      <c r="N173" s="17">
        <f ca="1">IFERROR(SUMIFS('Sales Orders'!H:H,'Sales Orders'!D:D,$A173,'Sales Orders'!B:B,"&gt;="&amp;DATE(YEAR(TODAY()),1,1),'Sales Orders'!B:B,"&lt;="&amp;TODAY()),0)</f>
        <v>0</v>
      </c>
    </row>
    <row r="174" spans="10:14">
      <c r="J174" s="15"/>
      <c r="M174" s="16">
        <f ca="1">IFERROR(SUMIFS('Sales Orders'!L:L,'Sales Orders'!D:D,$A174,'Sales Orders'!B:B,"&gt;="&amp;DATE(YEAR(TODAY()),1,1),'Sales Orders'!B:B,"&lt;="&amp;TODAY()),0)</f>
        <v>0</v>
      </c>
      <c r="N174" s="17">
        <f ca="1">IFERROR(SUMIFS('Sales Orders'!H:H,'Sales Orders'!D:D,$A174,'Sales Orders'!B:B,"&gt;="&amp;DATE(YEAR(TODAY()),1,1),'Sales Orders'!B:B,"&lt;="&amp;TODAY()),0)</f>
        <v>0</v>
      </c>
    </row>
    <row r="175" spans="10:14">
      <c r="J175" s="15"/>
      <c r="M175" s="16">
        <f ca="1">IFERROR(SUMIFS('Sales Orders'!L:L,'Sales Orders'!D:D,$A175,'Sales Orders'!B:B,"&gt;="&amp;DATE(YEAR(TODAY()),1,1),'Sales Orders'!B:B,"&lt;="&amp;TODAY()),0)</f>
        <v>0</v>
      </c>
      <c r="N175" s="17">
        <f ca="1">IFERROR(SUMIFS('Sales Orders'!H:H,'Sales Orders'!D:D,$A175,'Sales Orders'!B:B,"&gt;="&amp;DATE(YEAR(TODAY()),1,1),'Sales Orders'!B:B,"&lt;="&amp;TODAY()),0)</f>
        <v>0</v>
      </c>
    </row>
    <row r="176" spans="10:14">
      <c r="J176" s="15"/>
      <c r="M176" s="16">
        <f ca="1">IFERROR(SUMIFS('Sales Orders'!L:L,'Sales Orders'!D:D,$A176,'Sales Orders'!B:B,"&gt;="&amp;DATE(YEAR(TODAY()),1,1),'Sales Orders'!B:B,"&lt;="&amp;TODAY()),0)</f>
        <v>0</v>
      </c>
      <c r="N176" s="17">
        <f ca="1">IFERROR(SUMIFS('Sales Orders'!H:H,'Sales Orders'!D:D,$A176,'Sales Orders'!B:B,"&gt;="&amp;DATE(YEAR(TODAY()),1,1),'Sales Orders'!B:B,"&lt;="&amp;TODAY()),0)</f>
        <v>0</v>
      </c>
    </row>
    <row r="177" spans="10:14">
      <c r="J177" s="15"/>
      <c r="M177" s="16">
        <f ca="1">IFERROR(SUMIFS('Sales Orders'!L:L,'Sales Orders'!D:D,$A177,'Sales Orders'!B:B,"&gt;="&amp;DATE(YEAR(TODAY()),1,1),'Sales Orders'!B:B,"&lt;="&amp;TODAY()),0)</f>
        <v>0</v>
      </c>
      <c r="N177" s="17">
        <f ca="1">IFERROR(SUMIFS('Sales Orders'!H:H,'Sales Orders'!D:D,$A177,'Sales Orders'!B:B,"&gt;="&amp;DATE(YEAR(TODAY()),1,1),'Sales Orders'!B:B,"&lt;="&amp;TODAY()),0)</f>
        <v>0</v>
      </c>
    </row>
    <row r="178" spans="10:14">
      <c r="J178" s="15"/>
      <c r="M178" s="16">
        <f ca="1">IFERROR(SUMIFS('Sales Orders'!L:L,'Sales Orders'!D:D,$A178,'Sales Orders'!B:B,"&gt;="&amp;DATE(YEAR(TODAY()),1,1),'Sales Orders'!B:B,"&lt;="&amp;TODAY()),0)</f>
        <v>0</v>
      </c>
      <c r="N178" s="17">
        <f ca="1">IFERROR(SUMIFS('Sales Orders'!H:H,'Sales Orders'!D:D,$A178,'Sales Orders'!B:B,"&gt;="&amp;DATE(YEAR(TODAY()),1,1),'Sales Orders'!B:B,"&lt;="&amp;TODAY()),0)</f>
        <v>0</v>
      </c>
    </row>
    <row r="179" spans="10:14">
      <c r="J179" s="15"/>
      <c r="M179" s="16">
        <f ca="1">IFERROR(SUMIFS('Sales Orders'!L:L,'Sales Orders'!D:D,$A179,'Sales Orders'!B:B,"&gt;="&amp;DATE(YEAR(TODAY()),1,1),'Sales Orders'!B:B,"&lt;="&amp;TODAY()),0)</f>
        <v>0</v>
      </c>
      <c r="N179" s="17">
        <f ca="1">IFERROR(SUMIFS('Sales Orders'!H:H,'Sales Orders'!D:D,$A179,'Sales Orders'!B:B,"&gt;="&amp;DATE(YEAR(TODAY()),1,1),'Sales Orders'!B:B,"&lt;="&amp;TODAY()),0)</f>
        <v>0</v>
      </c>
    </row>
    <row r="180" spans="10:14">
      <c r="J180" s="15"/>
      <c r="M180" s="16">
        <f ca="1">IFERROR(SUMIFS('Sales Orders'!L:L,'Sales Orders'!D:D,$A180,'Sales Orders'!B:B,"&gt;="&amp;DATE(YEAR(TODAY()),1,1),'Sales Orders'!B:B,"&lt;="&amp;TODAY()),0)</f>
        <v>0</v>
      </c>
      <c r="N180" s="17">
        <f ca="1">IFERROR(SUMIFS('Sales Orders'!H:H,'Sales Orders'!D:D,$A180,'Sales Orders'!B:B,"&gt;="&amp;DATE(YEAR(TODAY()),1,1),'Sales Orders'!B:B,"&lt;="&amp;TODAY()),0)</f>
        <v>0</v>
      </c>
    </row>
    <row r="181" spans="10:14">
      <c r="J181" s="15"/>
      <c r="M181" s="16">
        <f ca="1">IFERROR(SUMIFS('Sales Orders'!L:L,'Sales Orders'!D:D,$A181,'Sales Orders'!B:B,"&gt;="&amp;DATE(YEAR(TODAY()),1,1),'Sales Orders'!B:B,"&lt;="&amp;TODAY()),0)</f>
        <v>0</v>
      </c>
      <c r="N181" s="17">
        <f ca="1">IFERROR(SUMIFS('Sales Orders'!H:H,'Sales Orders'!D:D,$A181,'Sales Orders'!B:B,"&gt;="&amp;DATE(YEAR(TODAY()),1,1),'Sales Orders'!B:B,"&lt;="&amp;TODAY()),0)</f>
        <v>0</v>
      </c>
    </row>
    <row r="182" spans="10:14">
      <c r="J182" s="15"/>
      <c r="M182" s="16">
        <f ca="1">IFERROR(SUMIFS('Sales Orders'!L:L,'Sales Orders'!D:D,$A182,'Sales Orders'!B:B,"&gt;="&amp;DATE(YEAR(TODAY()),1,1),'Sales Orders'!B:B,"&lt;="&amp;TODAY()),0)</f>
        <v>0</v>
      </c>
      <c r="N182" s="17">
        <f ca="1">IFERROR(SUMIFS('Sales Orders'!H:H,'Sales Orders'!D:D,$A182,'Sales Orders'!B:B,"&gt;="&amp;DATE(YEAR(TODAY()),1,1),'Sales Orders'!B:B,"&lt;="&amp;TODAY()),0)</f>
        <v>0</v>
      </c>
    </row>
    <row r="183" spans="10:14">
      <c r="J183" s="15"/>
      <c r="M183" s="16">
        <f ca="1">IFERROR(SUMIFS('Sales Orders'!L:L,'Sales Orders'!D:D,$A183,'Sales Orders'!B:B,"&gt;="&amp;DATE(YEAR(TODAY()),1,1),'Sales Orders'!B:B,"&lt;="&amp;TODAY()),0)</f>
        <v>0</v>
      </c>
      <c r="N183" s="17">
        <f ca="1">IFERROR(SUMIFS('Sales Orders'!H:H,'Sales Orders'!D:D,$A183,'Sales Orders'!B:B,"&gt;="&amp;DATE(YEAR(TODAY()),1,1),'Sales Orders'!B:B,"&lt;="&amp;TODAY()),0)</f>
        <v>0</v>
      </c>
    </row>
    <row r="184" spans="10:14">
      <c r="J184" s="15"/>
      <c r="M184" s="16">
        <f ca="1">IFERROR(SUMIFS('Sales Orders'!L:L,'Sales Orders'!D:D,$A184,'Sales Orders'!B:B,"&gt;="&amp;DATE(YEAR(TODAY()),1,1),'Sales Orders'!B:B,"&lt;="&amp;TODAY()),0)</f>
        <v>0</v>
      </c>
      <c r="N184" s="17">
        <f ca="1">IFERROR(SUMIFS('Sales Orders'!H:H,'Sales Orders'!D:D,$A184,'Sales Orders'!B:B,"&gt;="&amp;DATE(YEAR(TODAY()),1,1),'Sales Orders'!B:B,"&lt;="&amp;TODAY()),0)</f>
        <v>0</v>
      </c>
    </row>
    <row r="185" spans="10:14">
      <c r="J185" s="15"/>
      <c r="M185" s="16">
        <f ca="1">IFERROR(SUMIFS('Sales Orders'!L:L,'Sales Orders'!D:D,$A185,'Sales Orders'!B:B,"&gt;="&amp;DATE(YEAR(TODAY()),1,1),'Sales Orders'!B:B,"&lt;="&amp;TODAY()),0)</f>
        <v>0</v>
      </c>
      <c r="N185" s="17">
        <f ca="1">IFERROR(SUMIFS('Sales Orders'!H:H,'Sales Orders'!D:D,$A185,'Sales Orders'!B:B,"&gt;="&amp;DATE(YEAR(TODAY()),1,1),'Sales Orders'!B:B,"&lt;="&amp;TODAY()),0)</f>
        <v>0</v>
      </c>
    </row>
    <row r="186" spans="10:14">
      <c r="J186" s="15"/>
      <c r="M186" s="16">
        <f ca="1">IFERROR(SUMIFS('Sales Orders'!L:L,'Sales Orders'!D:D,$A186,'Sales Orders'!B:B,"&gt;="&amp;DATE(YEAR(TODAY()),1,1),'Sales Orders'!B:B,"&lt;="&amp;TODAY()),0)</f>
        <v>0</v>
      </c>
      <c r="N186" s="17">
        <f ca="1">IFERROR(SUMIFS('Sales Orders'!H:H,'Sales Orders'!D:D,$A186,'Sales Orders'!B:B,"&gt;="&amp;DATE(YEAR(TODAY()),1,1),'Sales Orders'!B:B,"&lt;="&amp;TODAY()),0)</f>
        <v>0</v>
      </c>
    </row>
    <row r="187" spans="10:14">
      <c r="J187" s="15"/>
      <c r="M187" s="16">
        <f ca="1">IFERROR(SUMIFS('Sales Orders'!L:L,'Sales Orders'!D:D,$A187,'Sales Orders'!B:B,"&gt;="&amp;DATE(YEAR(TODAY()),1,1),'Sales Orders'!B:B,"&lt;="&amp;TODAY()),0)</f>
        <v>0</v>
      </c>
      <c r="N187" s="17">
        <f ca="1">IFERROR(SUMIFS('Sales Orders'!H:H,'Sales Orders'!D:D,$A187,'Sales Orders'!B:B,"&gt;="&amp;DATE(YEAR(TODAY()),1,1),'Sales Orders'!B:B,"&lt;="&amp;TODAY()),0)</f>
        <v>0</v>
      </c>
    </row>
    <row r="188" spans="10:14">
      <c r="J188" s="15"/>
      <c r="M188" s="16">
        <f ca="1">IFERROR(SUMIFS('Sales Orders'!L:L,'Sales Orders'!D:D,$A188,'Sales Orders'!B:B,"&gt;="&amp;DATE(YEAR(TODAY()),1,1),'Sales Orders'!B:B,"&lt;="&amp;TODAY()),0)</f>
        <v>0</v>
      </c>
      <c r="N188" s="17">
        <f ca="1">IFERROR(SUMIFS('Sales Orders'!H:H,'Sales Orders'!D:D,$A188,'Sales Orders'!B:B,"&gt;="&amp;DATE(YEAR(TODAY()),1,1),'Sales Orders'!B:B,"&lt;="&amp;TODAY()),0)</f>
        <v>0</v>
      </c>
    </row>
    <row r="189" spans="10:14">
      <c r="J189" s="15"/>
      <c r="M189" s="16">
        <f ca="1">IFERROR(SUMIFS('Sales Orders'!L:L,'Sales Orders'!D:D,$A189,'Sales Orders'!B:B,"&gt;="&amp;DATE(YEAR(TODAY()),1,1),'Sales Orders'!B:B,"&lt;="&amp;TODAY()),0)</f>
        <v>0</v>
      </c>
      <c r="N189" s="17">
        <f ca="1">IFERROR(SUMIFS('Sales Orders'!H:H,'Sales Orders'!D:D,$A189,'Sales Orders'!B:B,"&gt;="&amp;DATE(YEAR(TODAY()),1,1),'Sales Orders'!B:B,"&lt;="&amp;TODAY()),0)</f>
        <v>0</v>
      </c>
    </row>
    <row r="190" spans="10:14">
      <c r="J190" s="15"/>
      <c r="M190" s="16">
        <f ca="1">IFERROR(SUMIFS('Sales Orders'!L:L,'Sales Orders'!D:D,$A190,'Sales Orders'!B:B,"&gt;="&amp;DATE(YEAR(TODAY()),1,1),'Sales Orders'!B:B,"&lt;="&amp;TODAY()),0)</f>
        <v>0</v>
      </c>
      <c r="N190" s="17">
        <f ca="1">IFERROR(SUMIFS('Sales Orders'!H:H,'Sales Orders'!D:D,$A190,'Sales Orders'!B:B,"&gt;="&amp;DATE(YEAR(TODAY()),1,1),'Sales Orders'!B:B,"&lt;="&amp;TODAY()),0)</f>
        <v>0</v>
      </c>
    </row>
    <row r="191" spans="10:14">
      <c r="J191" s="15"/>
      <c r="M191" s="16">
        <f ca="1">IFERROR(SUMIFS('Sales Orders'!L:L,'Sales Orders'!D:D,$A191,'Sales Orders'!B:B,"&gt;="&amp;DATE(YEAR(TODAY()),1,1),'Sales Orders'!B:B,"&lt;="&amp;TODAY()),0)</f>
        <v>0</v>
      </c>
      <c r="N191" s="17">
        <f ca="1">IFERROR(SUMIFS('Sales Orders'!H:H,'Sales Orders'!D:D,$A191,'Sales Orders'!B:B,"&gt;="&amp;DATE(YEAR(TODAY()),1,1),'Sales Orders'!B:B,"&lt;="&amp;TODAY()),0)</f>
        <v>0</v>
      </c>
    </row>
    <row r="192" spans="10:14">
      <c r="J192" s="15"/>
      <c r="M192" s="16">
        <f ca="1">IFERROR(SUMIFS('Sales Orders'!L:L,'Sales Orders'!D:D,$A192,'Sales Orders'!B:B,"&gt;="&amp;DATE(YEAR(TODAY()),1,1),'Sales Orders'!B:B,"&lt;="&amp;TODAY()),0)</f>
        <v>0</v>
      </c>
      <c r="N192" s="17">
        <f ca="1">IFERROR(SUMIFS('Sales Orders'!H:H,'Sales Orders'!D:D,$A192,'Sales Orders'!B:B,"&gt;="&amp;DATE(YEAR(TODAY()),1,1),'Sales Orders'!B:B,"&lt;="&amp;TODAY()),0)</f>
        <v>0</v>
      </c>
    </row>
    <row r="193" spans="10:14">
      <c r="J193" s="15"/>
      <c r="M193" s="16">
        <f ca="1">IFERROR(SUMIFS('Sales Orders'!L:L,'Sales Orders'!D:D,$A193,'Sales Orders'!B:B,"&gt;="&amp;DATE(YEAR(TODAY()),1,1),'Sales Orders'!B:B,"&lt;="&amp;TODAY()),0)</f>
        <v>0</v>
      </c>
      <c r="N193" s="17">
        <f ca="1">IFERROR(SUMIFS('Sales Orders'!H:H,'Sales Orders'!D:D,$A193,'Sales Orders'!B:B,"&gt;="&amp;DATE(YEAR(TODAY()),1,1),'Sales Orders'!B:B,"&lt;="&amp;TODAY()),0)</f>
        <v>0</v>
      </c>
    </row>
    <row r="194" spans="10:14">
      <c r="J194" s="15"/>
      <c r="M194" s="16">
        <f ca="1">IFERROR(SUMIFS('Sales Orders'!L:L,'Sales Orders'!D:D,$A194,'Sales Orders'!B:B,"&gt;="&amp;DATE(YEAR(TODAY()),1,1),'Sales Orders'!B:B,"&lt;="&amp;TODAY()),0)</f>
        <v>0</v>
      </c>
      <c r="N194" s="17">
        <f ca="1">IFERROR(SUMIFS('Sales Orders'!H:H,'Sales Orders'!D:D,$A194,'Sales Orders'!B:B,"&gt;="&amp;DATE(YEAR(TODAY()),1,1),'Sales Orders'!B:B,"&lt;="&amp;TODAY()),0)</f>
        <v>0</v>
      </c>
    </row>
    <row r="195" spans="10:14">
      <c r="J195" s="15"/>
      <c r="M195" s="16">
        <f ca="1">IFERROR(SUMIFS('Sales Orders'!L:L,'Sales Orders'!D:D,$A195,'Sales Orders'!B:B,"&gt;="&amp;DATE(YEAR(TODAY()),1,1),'Sales Orders'!B:B,"&lt;="&amp;TODAY()),0)</f>
        <v>0</v>
      </c>
      <c r="N195" s="17">
        <f ca="1">IFERROR(SUMIFS('Sales Orders'!H:H,'Sales Orders'!D:D,$A195,'Sales Orders'!B:B,"&gt;="&amp;DATE(YEAR(TODAY()),1,1),'Sales Orders'!B:B,"&lt;="&amp;TODAY()),0)</f>
        <v>0</v>
      </c>
    </row>
    <row r="196" spans="10:14">
      <c r="J196" s="15"/>
      <c r="M196" s="16">
        <f ca="1">IFERROR(SUMIFS('Sales Orders'!L:L,'Sales Orders'!D:D,$A196,'Sales Orders'!B:B,"&gt;="&amp;DATE(YEAR(TODAY()),1,1),'Sales Orders'!B:B,"&lt;="&amp;TODAY()),0)</f>
        <v>0</v>
      </c>
      <c r="N196" s="17">
        <f ca="1">IFERROR(SUMIFS('Sales Orders'!H:H,'Sales Orders'!D:D,$A196,'Sales Orders'!B:B,"&gt;="&amp;DATE(YEAR(TODAY()),1,1),'Sales Orders'!B:B,"&lt;="&amp;TODAY()),0)</f>
        <v>0</v>
      </c>
    </row>
    <row r="197" spans="10:14">
      <c r="J197" s="15"/>
      <c r="M197" s="16">
        <f ca="1">IFERROR(SUMIFS('Sales Orders'!L:L,'Sales Orders'!D:D,$A197,'Sales Orders'!B:B,"&gt;="&amp;DATE(YEAR(TODAY()),1,1),'Sales Orders'!B:B,"&lt;="&amp;TODAY()),0)</f>
        <v>0</v>
      </c>
      <c r="N197" s="17">
        <f ca="1">IFERROR(SUMIFS('Sales Orders'!H:H,'Sales Orders'!D:D,$A197,'Sales Orders'!B:B,"&gt;="&amp;DATE(YEAR(TODAY()),1,1),'Sales Orders'!B:B,"&lt;="&amp;TODAY()),0)</f>
        <v>0</v>
      </c>
    </row>
    <row r="198" spans="10:14">
      <c r="J198" s="15"/>
      <c r="M198" s="16">
        <f ca="1">IFERROR(SUMIFS('Sales Orders'!L:L,'Sales Orders'!D:D,$A198,'Sales Orders'!B:B,"&gt;="&amp;DATE(YEAR(TODAY()),1,1),'Sales Orders'!B:B,"&lt;="&amp;TODAY()),0)</f>
        <v>0</v>
      </c>
      <c r="N198" s="17">
        <f ca="1">IFERROR(SUMIFS('Sales Orders'!H:H,'Sales Orders'!D:D,$A198,'Sales Orders'!B:B,"&gt;="&amp;DATE(YEAR(TODAY()),1,1),'Sales Orders'!B:B,"&lt;="&amp;TODAY()),0)</f>
        <v>0</v>
      </c>
    </row>
    <row r="199" spans="10:14">
      <c r="J199" s="15"/>
      <c r="M199" s="16">
        <f ca="1">IFERROR(SUMIFS('Sales Orders'!L:L,'Sales Orders'!D:D,$A199,'Sales Orders'!B:B,"&gt;="&amp;DATE(YEAR(TODAY()),1,1),'Sales Orders'!B:B,"&lt;="&amp;TODAY()),0)</f>
        <v>0</v>
      </c>
      <c r="N199" s="17">
        <f ca="1">IFERROR(SUMIFS('Sales Orders'!H:H,'Sales Orders'!D:D,$A199,'Sales Orders'!B:B,"&gt;="&amp;DATE(YEAR(TODAY()),1,1),'Sales Orders'!B:B,"&lt;="&amp;TODAY()),0)</f>
        <v>0</v>
      </c>
    </row>
    <row r="200" spans="10:14">
      <c r="J200" s="15"/>
      <c r="M200" s="16">
        <f ca="1">IFERROR(SUMIFS('Sales Orders'!L:L,'Sales Orders'!D:D,$A200,'Sales Orders'!B:B,"&gt;="&amp;DATE(YEAR(TODAY()),1,1),'Sales Orders'!B:B,"&lt;="&amp;TODAY()),0)</f>
        <v>0</v>
      </c>
      <c r="N200" s="17">
        <f ca="1">IFERROR(SUMIFS('Sales Orders'!H:H,'Sales Orders'!D:D,$A200,'Sales Orders'!B:B,"&gt;="&amp;DATE(YEAR(TODAY()),1,1),'Sales Orders'!B:B,"&lt;="&amp;TODAY()),0)</f>
        <v>0</v>
      </c>
    </row>
    <row r="201" spans="10:14">
      <c r="J201" s="15"/>
      <c r="M201" s="16">
        <f ca="1">IFERROR(SUMIFS('Sales Orders'!L:L,'Sales Orders'!D:D,$A201,'Sales Orders'!B:B,"&gt;="&amp;DATE(YEAR(TODAY()),1,1),'Sales Orders'!B:B,"&lt;="&amp;TODAY()),0)</f>
        <v>0</v>
      </c>
      <c r="N201" s="17">
        <f ca="1">IFERROR(SUMIFS('Sales Orders'!H:H,'Sales Orders'!D:D,$A201,'Sales Orders'!B:B,"&gt;="&amp;DATE(YEAR(TODAY()),1,1),'Sales Orders'!B:B,"&lt;="&amp;TODAY()),0)</f>
        <v>0</v>
      </c>
    </row>
    <row r="202" spans="10:14">
      <c r="J202" s="15"/>
      <c r="M202" s="16">
        <f ca="1">IFERROR(SUMIFS('Sales Orders'!L:L,'Sales Orders'!D:D,$A202,'Sales Orders'!B:B,"&gt;="&amp;DATE(YEAR(TODAY()),1,1),'Sales Orders'!B:B,"&lt;="&amp;TODAY()),0)</f>
        <v>0</v>
      </c>
      <c r="N202" s="17">
        <f ca="1">IFERROR(SUMIFS('Sales Orders'!H:H,'Sales Orders'!D:D,$A202,'Sales Orders'!B:B,"&gt;="&amp;DATE(YEAR(TODAY()),1,1),'Sales Orders'!B:B,"&lt;="&amp;TODAY()),0)</f>
        <v>0</v>
      </c>
    </row>
    <row r="203" spans="10:14">
      <c r="J203" s="15"/>
      <c r="M203" s="16">
        <f ca="1">IFERROR(SUMIFS('Sales Orders'!L:L,'Sales Orders'!D:D,$A203,'Sales Orders'!B:B,"&gt;="&amp;DATE(YEAR(TODAY()),1,1),'Sales Orders'!B:B,"&lt;="&amp;TODAY()),0)</f>
        <v>0</v>
      </c>
      <c r="N203" s="17">
        <f ca="1">IFERROR(SUMIFS('Sales Orders'!H:H,'Sales Orders'!D:D,$A203,'Sales Orders'!B:B,"&gt;="&amp;DATE(YEAR(TODAY()),1,1),'Sales Orders'!B:B,"&lt;="&amp;TODAY()),0)</f>
        <v>0</v>
      </c>
    </row>
    <row r="204" spans="10:14">
      <c r="J204" s="15"/>
      <c r="M204" s="16">
        <f ca="1">IFERROR(SUMIFS('Sales Orders'!L:L,'Sales Orders'!D:D,$A204,'Sales Orders'!B:B,"&gt;="&amp;DATE(YEAR(TODAY()),1,1),'Sales Orders'!B:B,"&lt;="&amp;TODAY()),0)</f>
        <v>0</v>
      </c>
      <c r="N204" s="17">
        <f ca="1">IFERROR(SUMIFS('Sales Orders'!H:H,'Sales Orders'!D:D,$A204,'Sales Orders'!B:B,"&gt;="&amp;DATE(YEAR(TODAY()),1,1),'Sales Orders'!B:B,"&lt;="&amp;TODAY()),0)</f>
        <v>0</v>
      </c>
    </row>
    <row r="205" spans="10:14">
      <c r="J205" s="15"/>
      <c r="M205" s="16">
        <f ca="1">IFERROR(SUMIFS('Sales Orders'!L:L,'Sales Orders'!D:D,$A205,'Sales Orders'!B:B,"&gt;="&amp;DATE(YEAR(TODAY()),1,1),'Sales Orders'!B:B,"&lt;="&amp;TODAY()),0)</f>
        <v>0</v>
      </c>
      <c r="N205" s="17">
        <f ca="1">IFERROR(SUMIFS('Sales Orders'!H:H,'Sales Orders'!D:D,$A205,'Sales Orders'!B:B,"&gt;="&amp;DATE(YEAR(TODAY()),1,1),'Sales Orders'!B:B,"&lt;="&amp;TODAY()),0)</f>
        <v>0</v>
      </c>
    </row>
    <row r="206" spans="10:14">
      <c r="J206" s="15"/>
      <c r="M206" s="16">
        <f ca="1">IFERROR(SUMIFS('Sales Orders'!L:L,'Sales Orders'!D:D,$A206,'Sales Orders'!B:B,"&gt;="&amp;DATE(YEAR(TODAY()),1,1),'Sales Orders'!B:B,"&lt;="&amp;TODAY()),0)</f>
        <v>0</v>
      </c>
      <c r="N206" s="17">
        <f ca="1">IFERROR(SUMIFS('Sales Orders'!H:H,'Sales Orders'!D:D,$A206,'Sales Orders'!B:B,"&gt;="&amp;DATE(YEAR(TODAY()),1,1),'Sales Orders'!B:B,"&lt;="&amp;TODAY()),0)</f>
        <v>0</v>
      </c>
    </row>
    <row r="207" spans="10:14">
      <c r="J207" s="15"/>
      <c r="M207" s="16">
        <f ca="1">IFERROR(SUMIFS('Sales Orders'!L:L,'Sales Orders'!D:D,$A207,'Sales Orders'!B:B,"&gt;="&amp;DATE(YEAR(TODAY()),1,1),'Sales Orders'!B:B,"&lt;="&amp;TODAY()),0)</f>
        <v>0</v>
      </c>
      <c r="N207" s="17">
        <f ca="1">IFERROR(SUMIFS('Sales Orders'!H:H,'Sales Orders'!D:D,$A207,'Sales Orders'!B:B,"&gt;="&amp;DATE(YEAR(TODAY()),1,1),'Sales Orders'!B:B,"&lt;="&amp;TODAY()),0)</f>
        <v>0</v>
      </c>
    </row>
    <row r="208" spans="10:14">
      <c r="J208" s="15"/>
      <c r="M208" s="16">
        <f ca="1">IFERROR(SUMIFS('Sales Orders'!L:L,'Sales Orders'!D:D,$A208,'Sales Orders'!B:B,"&gt;="&amp;DATE(YEAR(TODAY()),1,1),'Sales Orders'!B:B,"&lt;="&amp;TODAY()),0)</f>
        <v>0</v>
      </c>
      <c r="N208" s="17">
        <f ca="1">IFERROR(SUMIFS('Sales Orders'!H:H,'Sales Orders'!D:D,$A208,'Sales Orders'!B:B,"&gt;="&amp;DATE(YEAR(TODAY()),1,1),'Sales Orders'!B:B,"&lt;="&amp;TODAY()),0)</f>
        <v>0</v>
      </c>
    </row>
    <row r="209" spans="10:14">
      <c r="J209" s="15"/>
      <c r="M209" s="16">
        <f ca="1">IFERROR(SUMIFS('Sales Orders'!L:L,'Sales Orders'!D:D,$A209,'Sales Orders'!B:B,"&gt;="&amp;DATE(YEAR(TODAY()),1,1),'Sales Orders'!B:B,"&lt;="&amp;TODAY()),0)</f>
        <v>0</v>
      </c>
      <c r="N209" s="17">
        <f ca="1">IFERROR(SUMIFS('Sales Orders'!H:H,'Sales Orders'!D:D,$A209,'Sales Orders'!B:B,"&gt;="&amp;DATE(YEAR(TODAY()),1,1),'Sales Orders'!B:B,"&lt;="&amp;TODAY()),0)</f>
        <v>0</v>
      </c>
    </row>
    <row r="210" spans="10:14">
      <c r="J210" s="15"/>
      <c r="M210" s="16">
        <f ca="1">IFERROR(SUMIFS('Sales Orders'!L:L,'Sales Orders'!D:D,$A210,'Sales Orders'!B:B,"&gt;="&amp;DATE(YEAR(TODAY()),1,1),'Sales Orders'!B:B,"&lt;="&amp;TODAY()),0)</f>
        <v>0</v>
      </c>
      <c r="N210" s="17">
        <f ca="1">IFERROR(SUMIFS('Sales Orders'!H:H,'Sales Orders'!D:D,$A210,'Sales Orders'!B:B,"&gt;="&amp;DATE(YEAR(TODAY()),1,1),'Sales Orders'!B:B,"&lt;="&amp;TODAY()),0)</f>
        <v>0</v>
      </c>
    </row>
    <row r="211" spans="10:14">
      <c r="J211" s="15"/>
      <c r="M211" s="16">
        <f ca="1">IFERROR(SUMIFS('Sales Orders'!L:L,'Sales Orders'!D:D,$A211,'Sales Orders'!B:B,"&gt;="&amp;DATE(YEAR(TODAY()),1,1),'Sales Orders'!B:B,"&lt;="&amp;TODAY()),0)</f>
        <v>0</v>
      </c>
      <c r="N211" s="17">
        <f ca="1">IFERROR(SUMIFS('Sales Orders'!H:H,'Sales Orders'!D:D,$A211,'Sales Orders'!B:B,"&gt;="&amp;DATE(YEAR(TODAY()),1,1),'Sales Orders'!B:B,"&lt;="&amp;TODAY()),0)</f>
        <v>0</v>
      </c>
    </row>
    <row r="212" spans="10:14">
      <c r="J212" s="15"/>
      <c r="M212" s="16">
        <f ca="1">IFERROR(SUMIFS('Sales Orders'!L:L,'Sales Orders'!D:D,$A212,'Sales Orders'!B:B,"&gt;="&amp;DATE(YEAR(TODAY()),1,1),'Sales Orders'!B:B,"&lt;="&amp;TODAY()),0)</f>
        <v>0</v>
      </c>
      <c r="N212" s="17">
        <f ca="1">IFERROR(SUMIFS('Sales Orders'!H:H,'Sales Orders'!D:D,$A212,'Sales Orders'!B:B,"&gt;="&amp;DATE(YEAR(TODAY()),1,1),'Sales Orders'!B:B,"&lt;="&amp;TODAY()),0)</f>
        <v>0</v>
      </c>
    </row>
    <row r="213" spans="10:14">
      <c r="J213" s="15"/>
      <c r="M213" s="16">
        <f ca="1">IFERROR(SUMIFS('Sales Orders'!L:L,'Sales Orders'!D:D,$A213,'Sales Orders'!B:B,"&gt;="&amp;DATE(YEAR(TODAY()),1,1),'Sales Orders'!B:B,"&lt;="&amp;TODAY()),0)</f>
        <v>0</v>
      </c>
      <c r="N213" s="17">
        <f ca="1">IFERROR(SUMIFS('Sales Orders'!H:H,'Sales Orders'!D:D,$A213,'Sales Orders'!B:B,"&gt;="&amp;DATE(YEAR(TODAY()),1,1),'Sales Orders'!B:B,"&lt;="&amp;TODAY()),0)</f>
        <v>0</v>
      </c>
    </row>
    <row r="214" spans="10:14">
      <c r="J214" s="15"/>
      <c r="M214" s="16">
        <f ca="1">IFERROR(SUMIFS('Sales Orders'!L:L,'Sales Orders'!D:D,$A214,'Sales Orders'!B:B,"&gt;="&amp;DATE(YEAR(TODAY()),1,1),'Sales Orders'!B:B,"&lt;="&amp;TODAY()),0)</f>
        <v>0</v>
      </c>
      <c r="N214" s="17">
        <f ca="1">IFERROR(SUMIFS('Sales Orders'!H:H,'Sales Orders'!D:D,$A214,'Sales Orders'!B:B,"&gt;="&amp;DATE(YEAR(TODAY()),1,1),'Sales Orders'!B:B,"&lt;="&amp;TODAY()),0)</f>
        <v>0</v>
      </c>
    </row>
    <row r="215" spans="10:14">
      <c r="J215" s="15"/>
      <c r="M215" s="16">
        <f ca="1">IFERROR(SUMIFS('Sales Orders'!L:L,'Sales Orders'!D:D,$A215,'Sales Orders'!B:B,"&gt;="&amp;DATE(YEAR(TODAY()),1,1),'Sales Orders'!B:B,"&lt;="&amp;TODAY()),0)</f>
        <v>0</v>
      </c>
      <c r="N215" s="17">
        <f ca="1">IFERROR(SUMIFS('Sales Orders'!H:H,'Sales Orders'!D:D,$A215,'Sales Orders'!B:B,"&gt;="&amp;DATE(YEAR(TODAY()),1,1),'Sales Orders'!B:B,"&lt;="&amp;TODAY()),0)</f>
        <v>0</v>
      </c>
    </row>
    <row r="216" spans="10:14">
      <c r="J216" s="15"/>
      <c r="M216" s="16">
        <f ca="1">IFERROR(SUMIFS('Sales Orders'!L:L,'Sales Orders'!D:D,$A216,'Sales Orders'!B:B,"&gt;="&amp;DATE(YEAR(TODAY()),1,1),'Sales Orders'!B:B,"&lt;="&amp;TODAY()),0)</f>
        <v>0</v>
      </c>
      <c r="N216" s="17">
        <f ca="1">IFERROR(SUMIFS('Sales Orders'!H:H,'Sales Orders'!D:D,$A216,'Sales Orders'!B:B,"&gt;="&amp;DATE(YEAR(TODAY()),1,1),'Sales Orders'!B:B,"&lt;="&amp;TODAY()),0)</f>
        <v>0</v>
      </c>
    </row>
    <row r="217" spans="10:14">
      <c r="J217" s="15"/>
      <c r="M217" s="16">
        <f ca="1">IFERROR(SUMIFS('Sales Orders'!L:L,'Sales Orders'!D:D,$A217,'Sales Orders'!B:B,"&gt;="&amp;DATE(YEAR(TODAY()),1,1),'Sales Orders'!B:B,"&lt;="&amp;TODAY()),0)</f>
        <v>0</v>
      </c>
      <c r="N217" s="17">
        <f ca="1">IFERROR(SUMIFS('Sales Orders'!H:H,'Sales Orders'!D:D,$A217,'Sales Orders'!B:B,"&gt;="&amp;DATE(YEAR(TODAY()),1,1),'Sales Orders'!B:B,"&lt;="&amp;TODAY()),0)</f>
        <v>0</v>
      </c>
    </row>
    <row r="218" spans="10:14">
      <c r="J218" s="15"/>
      <c r="M218" s="16">
        <f ca="1">IFERROR(SUMIFS('Sales Orders'!L:L,'Sales Orders'!D:D,$A218,'Sales Orders'!B:B,"&gt;="&amp;DATE(YEAR(TODAY()),1,1),'Sales Orders'!B:B,"&lt;="&amp;TODAY()),0)</f>
        <v>0</v>
      </c>
      <c r="N218" s="17">
        <f ca="1">IFERROR(SUMIFS('Sales Orders'!H:H,'Sales Orders'!D:D,$A218,'Sales Orders'!B:B,"&gt;="&amp;DATE(YEAR(TODAY()),1,1),'Sales Orders'!B:B,"&lt;="&amp;TODAY()),0)</f>
        <v>0</v>
      </c>
    </row>
    <row r="219" spans="10:14">
      <c r="J219" s="15"/>
      <c r="M219" s="16">
        <f ca="1">IFERROR(SUMIFS('Sales Orders'!L:L,'Sales Orders'!D:D,$A219,'Sales Orders'!B:B,"&gt;="&amp;DATE(YEAR(TODAY()),1,1),'Sales Orders'!B:B,"&lt;="&amp;TODAY()),0)</f>
        <v>0</v>
      </c>
      <c r="N219" s="17">
        <f ca="1">IFERROR(SUMIFS('Sales Orders'!H:H,'Sales Orders'!D:D,$A219,'Sales Orders'!B:B,"&gt;="&amp;DATE(YEAR(TODAY()),1,1),'Sales Orders'!B:B,"&lt;="&amp;TODAY()),0)</f>
        <v>0</v>
      </c>
    </row>
    <row r="220" spans="10:14">
      <c r="J220" s="15"/>
      <c r="M220" s="16">
        <f ca="1">IFERROR(SUMIFS('Sales Orders'!L:L,'Sales Orders'!D:D,$A220,'Sales Orders'!B:B,"&gt;="&amp;DATE(YEAR(TODAY()),1,1),'Sales Orders'!B:B,"&lt;="&amp;TODAY()),0)</f>
        <v>0</v>
      </c>
      <c r="N220" s="17">
        <f ca="1">IFERROR(SUMIFS('Sales Orders'!H:H,'Sales Orders'!D:D,$A220,'Sales Orders'!B:B,"&gt;="&amp;DATE(YEAR(TODAY()),1,1),'Sales Orders'!B:B,"&lt;="&amp;TODAY()),0)</f>
        <v>0</v>
      </c>
    </row>
    <row r="221" spans="10:14">
      <c r="J221" s="15"/>
      <c r="M221" s="16">
        <f ca="1">IFERROR(SUMIFS('Sales Orders'!L:L,'Sales Orders'!D:D,$A221,'Sales Orders'!B:B,"&gt;="&amp;DATE(YEAR(TODAY()),1,1),'Sales Orders'!B:B,"&lt;="&amp;TODAY()),0)</f>
        <v>0</v>
      </c>
      <c r="N221" s="17">
        <f ca="1">IFERROR(SUMIFS('Sales Orders'!H:H,'Sales Orders'!D:D,$A221,'Sales Orders'!B:B,"&gt;="&amp;DATE(YEAR(TODAY()),1,1),'Sales Orders'!B:B,"&lt;="&amp;TODAY()),0)</f>
        <v>0</v>
      </c>
    </row>
    <row r="222" spans="10:14">
      <c r="J222" s="15"/>
      <c r="M222" s="16">
        <f ca="1">IFERROR(SUMIFS('Sales Orders'!L:L,'Sales Orders'!D:D,$A222,'Sales Orders'!B:B,"&gt;="&amp;DATE(YEAR(TODAY()),1,1),'Sales Orders'!B:B,"&lt;="&amp;TODAY()),0)</f>
        <v>0</v>
      </c>
      <c r="N222" s="17">
        <f ca="1">IFERROR(SUMIFS('Sales Orders'!H:H,'Sales Orders'!D:D,$A222,'Sales Orders'!B:B,"&gt;="&amp;DATE(YEAR(TODAY()),1,1),'Sales Orders'!B:B,"&lt;="&amp;TODAY()),0)</f>
        <v>0</v>
      </c>
    </row>
    <row r="223" spans="10:14">
      <c r="J223" s="15"/>
      <c r="M223" s="16">
        <f ca="1">IFERROR(SUMIFS('Sales Orders'!L:L,'Sales Orders'!D:D,$A223,'Sales Orders'!B:B,"&gt;="&amp;DATE(YEAR(TODAY()),1,1),'Sales Orders'!B:B,"&lt;="&amp;TODAY()),0)</f>
        <v>0</v>
      </c>
      <c r="N223" s="17">
        <f ca="1">IFERROR(SUMIFS('Sales Orders'!H:H,'Sales Orders'!D:D,$A223,'Sales Orders'!B:B,"&gt;="&amp;DATE(YEAR(TODAY()),1,1),'Sales Orders'!B:B,"&lt;="&amp;TODAY()),0)</f>
        <v>0</v>
      </c>
    </row>
    <row r="224" spans="10:14">
      <c r="J224" s="15"/>
      <c r="M224" s="16">
        <f ca="1">IFERROR(SUMIFS('Sales Orders'!L:L,'Sales Orders'!D:D,$A224,'Sales Orders'!B:B,"&gt;="&amp;DATE(YEAR(TODAY()),1,1),'Sales Orders'!B:B,"&lt;="&amp;TODAY()),0)</f>
        <v>0</v>
      </c>
      <c r="N224" s="17">
        <f ca="1">IFERROR(SUMIFS('Sales Orders'!H:H,'Sales Orders'!D:D,$A224,'Sales Orders'!B:B,"&gt;="&amp;DATE(YEAR(TODAY()),1,1),'Sales Orders'!B:B,"&lt;="&amp;TODAY()),0)</f>
        <v>0</v>
      </c>
    </row>
    <row r="225" spans="10:14">
      <c r="J225" s="15"/>
      <c r="M225" s="16">
        <f ca="1">IFERROR(SUMIFS('Sales Orders'!L:L,'Sales Orders'!D:D,$A225,'Sales Orders'!B:B,"&gt;="&amp;DATE(YEAR(TODAY()),1,1),'Sales Orders'!B:B,"&lt;="&amp;TODAY()),0)</f>
        <v>0</v>
      </c>
      <c r="N225" s="17">
        <f ca="1">IFERROR(SUMIFS('Sales Orders'!H:H,'Sales Orders'!D:D,$A225,'Sales Orders'!B:B,"&gt;="&amp;DATE(YEAR(TODAY()),1,1),'Sales Orders'!B:B,"&lt;="&amp;TODAY()),0)</f>
        <v>0</v>
      </c>
    </row>
    <row r="226" spans="10:14">
      <c r="J226" s="15"/>
      <c r="M226" s="16">
        <f ca="1">IFERROR(SUMIFS('Sales Orders'!L:L,'Sales Orders'!D:D,$A226,'Sales Orders'!B:B,"&gt;="&amp;DATE(YEAR(TODAY()),1,1),'Sales Orders'!B:B,"&lt;="&amp;TODAY()),0)</f>
        <v>0</v>
      </c>
      <c r="N226" s="17">
        <f ca="1">IFERROR(SUMIFS('Sales Orders'!H:H,'Sales Orders'!D:D,$A226,'Sales Orders'!B:B,"&gt;="&amp;DATE(YEAR(TODAY()),1,1),'Sales Orders'!B:B,"&lt;="&amp;TODAY()),0)</f>
        <v>0</v>
      </c>
    </row>
    <row r="227" spans="10:14">
      <c r="J227" s="15"/>
      <c r="M227" s="16">
        <f ca="1">IFERROR(SUMIFS('Sales Orders'!L:L,'Sales Orders'!D:D,$A227,'Sales Orders'!B:B,"&gt;="&amp;DATE(YEAR(TODAY()),1,1),'Sales Orders'!B:B,"&lt;="&amp;TODAY()),0)</f>
        <v>0</v>
      </c>
      <c r="N227" s="17">
        <f ca="1">IFERROR(SUMIFS('Sales Orders'!H:H,'Sales Orders'!D:D,$A227,'Sales Orders'!B:B,"&gt;="&amp;DATE(YEAR(TODAY()),1,1),'Sales Orders'!B:B,"&lt;="&amp;TODAY()),0)</f>
        <v>0</v>
      </c>
    </row>
    <row r="228" spans="10:14">
      <c r="J228" s="15"/>
      <c r="M228" s="16">
        <f ca="1">IFERROR(SUMIFS('Sales Orders'!L:L,'Sales Orders'!D:D,$A228,'Sales Orders'!B:B,"&gt;="&amp;DATE(YEAR(TODAY()),1,1),'Sales Orders'!B:B,"&lt;="&amp;TODAY()),0)</f>
        <v>0</v>
      </c>
      <c r="N228" s="17">
        <f ca="1">IFERROR(SUMIFS('Sales Orders'!H:H,'Sales Orders'!D:D,$A228,'Sales Orders'!B:B,"&gt;="&amp;DATE(YEAR(TODAY()),1,1),'Sales Orders'!B:B,"&lt;="&amp;TODAY()),0)</f>
        <v>0</v>
      </c>
    </row>
    <row r="229" spans="10:14">
      <c r="J229" s="15"/>
      <c r="M229" s="16">
        <f ca="1">IFERROR(SUMIFS('Sales Orders'!L:L,'Sales Orders'!D:D,$A229,'Sales Orders'!B:B,"&gt;="&amp;DATE(YEAR(TODAY()),1,1),'Sales Orders'!B:B,"&lt;="&amp;TODAY()),0)</f>
        <v>0</v>
      </c>
      <c r="N229" s="17">
        <f ca="1">IFERROR(SUMIFS('Sales Orders'!H:H,'Sales Orders'!D:D,$A229,'Sales Orders'!B:B,"&gt;="&amp;DATE(YEAR(TODAY()),1,1),'Sales Orders'!B:B,"&lt;="&amp;TODAY()),0)</f>
        <v>0</v>
      </c>
    </row>
    <row r="230" spans="10:14">
      <c r="J230" s="15"/>
      <c r="M230" s="16">
        <f ca="1">IFERROR(SUMIFS('Sales Orders'!L:L,'Sales Orders'!D:D,$A230,'Sales Orders'!B:B,"&gt;="&amp;DATE(YEAR(TODAY()),1,1),'Sales Orders'!B:B,"&lt;="&amp;TODAY()),0)</f>
        <v>0</v>
      </c>
      <c r="N230" s="17">
        <f ca="1">IFERROR(SUMIFS('Sales Orders'!H:H,'Sales Orders'!D:D,$A230,'Sales Orders'!B:B,"&gt;="&amp;DATE(YEAR(TODAY()),1,1),'Sales Orders'!B:B,"&lt;="&amp;TODAY()),0)</f>
        <v>0</v>
      </c>
    </row>
    <row r="231" spans="10:14">
      <c r="J231" s="15"/>
      <c r="M231" s="16">
        <f ca="1">IFERROR(SUMIFS('Sales Orders'!L:L,'Sales Orders'!D:D,$A231,'Sales Orders'!B:B,"&gt;="&amp;DATE(YEAR(TODAY()),1,1),'Sales Orders'!B:B,"&lt;="&amp;TODAY()),0)</f>
        <v>0</v>
      </c>
      <c r="N231" s="17">
        <f ca="1">IFERROR(SUMIFS('Sales Orders'!H:H,'Sales Orders'!D:D,$A231,'Sales Orders'!B:B,"&gt;="&amp;DATE(YEAR(TODAY()),1,1),'Sales Orders'!B:B,"&lt;="&amp;TODAY()),0)</f>
        <v>0</v>
      </c>
    </row>
    <row r="232" spans="10:14">
      <c r="J232" s="15"/>
      <c r="M232" s="16">
        <f ca="1">IFERROR(SUMIFS('Sales Orders'!L:L,'Sales Orders'!D:D,$A232,'Sales Orders'!B:B,"&gt;="&amp;DATE(YEAR(TODAY()),1,1),'Sales Orders'!B:B,"&lt;="&amp;TODAY()),0)</f>
        <v>0</v>
      </c>
      <c r="N232" s="17">
        <f ca="1">IFERROR(SUMIFS('Sales Orders'!H:H,'Sales Orders'!D:D,$A232,'Sales Orders'!B:B,"&gt;="&amp;DATE(YEAR(TODAY()),1,1),'Sales Orders'!B:B,"&lt;="&amp;TODAY()),0)</f>
        <v>0</v>
      </c>
    </row>
    <row r="233" spans="10:14">
      <c r="J233" s="15"/>
      <c r="M233" s="16">
        <f ca="1">IFERROR(SUMIFS('Sales Orders'!L:L,'Sales Orders'!D:D,$A233,'Sales Orders'!B:B,"&gt;="&amp;DATE(YEAR(TODAY()),1,1),'Sales Orders'!B:B,"&lt;="&amp;TODAY()),0)</f>
        <v>0</v>
      </c>
      <c r="N233" s="17">
        <f ca="1">IFERROR(SUMIFS('Sales Orders'!H:H,'Sales Orders'!D:D,$A233,'Sales Orders'!B:B,"&gt;="&amp;DATE(YEAR(TODAY()),1,1),'Sales Orders'!B:B,"&lt;="&amp;TODAY()),0)</f>
        <v>0</v>
      </c>
    </row>
    <row r="234" spans="10:14">
      <c r="J234" s="15"/>
      <c r="M234" s="16">
        <f ca="1">IFERROR(SUMIFS('Sales Orders'!L:L,'Sales Orders'!D:D,$A234,'Sales Orders'!B:B,"&gt;="&amp;DATE(YEAR(TODAY()),1,1),'Sales Orders'!B:B,"&lt;="&amp;TODAY()),0)</f>
        <v>0</v>
      </c>
      <c r="N234" s="17">
        <f ca="1">IFERROR(SUMIFS('Sales Orders'!H:H,'Sales Orders'!D:D,$A234,'Sales Orders'!B:B,"&gt;="&amp;DATE(YEAR(TODAY()),1,1),'Sales Orders'!B:B,"&lt;="&amp;TODAY()),0)</f>
        <v>0</v>
      </c>
    </row>
    <row r="235" spans="10:14">
      <c r="J235" s="15"/>
      <c r="M235" s="16">
        <f ca="1">IFERROR(SUMIFS('Sales Orders'!L:L,'Sales Orders'!D:D,$A235,'Sales Orders'!B:B,"&gt;="&amp;DATE(YEAR(TODAY()),1,1),'Sales Orders'!B:B,"&lt;="&amp;TODAY()),0)</f>
        <v>0</v>
      </c>
      <c r="N235" s="17">
        <f ca="1">IFERROR(SUMIFS('Sales Orders'!H:H,'Sales Orders'!D:D,$A235,'Sales Orders'!B:B,"&gt;="&amp;DATE(YEAR(TODAY()),1,1),'Sales Orders'!B:B,"&lt;="&amp;TODAY()),0)</f>
        <v>0</v>
      </c>
    </row>
    <row r="236" spans="10:14">
      <c r="J236" s="15"/>
      <c r="M236" s="16">
        <f ca="1">IFERROR(SUMIFS('Sales Orders'!L:L,'Sales Orders'!D:D,$A236,'Sales Orders'!B:B,"&gt;="&amp;DATE(YEAR(TODAY()),1,1),'Sales Orders'!B:B,"&lt;="&amp;TODAY()),0)</f>
        <v>0</v>
      </c>
      <c r="N236" s="17">
        <f ca="1">IFERROR(SUMIFS('Sales Orders'!H:H,'Sales Orders'!D:D,$A236,'Sales Orders'!B:B,"&gt;="&amp;DATE(YEAR(TODAY()),1,1),'Sales Orders'!B:B,"&lt;="&amp;TODAY()),0)</f>
        <v>0</v>
      </c>
    </row>
    <row r="237" spans="10:14">
      <c r="J237" s="15"/>
      <c r="M237" s="16">
        <f ca="1">IFERROR(SUMIFS('Sales Orders'!L:L,'Sales Orders'!D:D,$A237,'Sales Orders'!B:B,"&gt;="&amp;DATE(YEAR(TODAY()),1,1),'Sales Orders'!B:B,"&lt;="&amp;TODAY()),0)</f>
        <v>0</v>
      </c>
      <c r="N237" s="17">
        <f ca="1">IFERROR(SUMIFS('Sales Orders'!H:H,'Sales Orders'!D:D,$A237,'Sales Orders'!B:B,"&gt;="&amp;DATE(YEAR(TODAY()),1,1),'Sales Orders'!B:B,"&lt;="&amp;TODAY()),0)</f>
        <v>0</v>
      </c>
    </row>
    <row r="238" spans="10:14">
      <c r="J238" s="15"/>
      <c r="M238" s="16">
        <f ca="1">IFERROR(SUMIFS('Sales Orders'!L:L,'Sales Orders'!D:D,$A238,'Sales Orders'!B:B,"&gt;="&amp;DATE(YEAR(TODAY()),1,1),'Sales Orders'!B:B,"&lt;="&amp;TODAY()),0)</f>
        <v>0</v>
      </c>
      <c r="N238" s="17">
        <f ca="1">IFERROR(SUMIFS('Sales Orders'!H:H,'Sales Orders'!D:D,$A238,'Sales Orders'!B:B,"&gt;="&amp;DATE(YEAR(TODAY()),1,1),'Sales Orders'!B:B,"&lt;="&amp;TODAY()),0)</f>
        <v>0</v>
      </c>
    </row>
    <row r="239" spans="10:14">
      <c r="J239" s="15"/>
      <c r="M239" s="16">
        <f ca="1">IFERROR(SUMIFS('Sales Orders'!L:L,'Sales Orders'!D:D,$A239,'Sales Orders'!B:B,"&gt;="&amp;DATE(YEAR(TODAY()),1,1),'Sales Orders'!B:B,"&lt;="&amp;TODAY()),0)</f>
        <v>0</v>
      </c>
      <c r="N239" s="17">
        <f ca="1">IFERROR(SUMIFS('Sales Orders'!H:H,'Sales Orders'!D:D,$A239,'Sales Orders'!B:B,"&gt;="&amp;DATE(YEAR(TODAY()),1,1),'Sales Orders'!B:B,"&lt;="&amp;TODAY()),0)</f>
        <v>0</v>
      </c>
    </row>
    <row r="240" spans="10:14">
      <c r="J240" s="15"/>
      <c r="M240" s="16">
        <f ca="1">IFERROR(SUMIFS('Sales Orders'!L:L,'Sales Orders'!D:D,$A240,'Sales Orders'!B:B,"&gt;="&amp;DATE(YEAR(TODAY()),1,1),'Sales Orders'!B:B,"&lt;="&amp;TODAY()),0)</f>
        <v>0</v>
      </c>
      <c r="N240" s="17">
        <f ca="1">IFERROR(SUMIFS('Sales Orders'!H:H,'Sales Orders'!D:D,$A240,'Sales Orders'!B:B,"&gt;="&amp;DATE(YEAR(TODAY()),1,1),'Sales Orders'!B:B,"&lt;="&amp;TODAY()),0)</f>
        <v>0</v>
      </c>
    </row>
    <row r="241" spans="10:14">
      <c r="J241" s="15"/>
      <c r="M241" s="16">
        <f ca="1">IFERROR(SUMIFS('Sales Orders'!L:L,'Sales Orders'!D:D,$A241,'Sales Orders'!B:B,"&gt;="&amp;DATE(YEAR(TODAY()),1,1),'Sales Orders'!B:B,"&lt;="&amp;TODAY()),0)</f>
        <v>0</v>
      </c>
      <c r="N241" s="17">
        <f ca="1">IFERROR(SUMIFS('Sales Orders'!H:H,'Sales Orders'!D:D,$A241,'Sales Orders'!B:B,"&gt;="&amp;DATE(YEAR(TODAY()),1,1),'Sales Orders'!B:B,"&lt;="&amp;TODAY()),0)</f>
        <v>0</v>
      </c>
    </row>
    <row r="242" spans="10:14">
      <c r="J242" s="15"/>
      <c r="M242" s="16">
        <f ca="1">IFERROR(SUMIFS('Sales Orders'!L:L,'Sales Orders'!D:D,$A242,'Sales Orders'!B:B,"&gt;="&amp;DATE(YEAR(TODAY()),1,1),'Sales Orders'!B:B,"&lt;="&amp;TODAY()),0)</f>
        <v>0</v>
      </c>
      <c r="N242" s="17">
        <f ca="1">IFERROR(SUMIFS('Sales Orders'!H:H,'Sales Orders'!D:D,$A242,'Sales Orders'!B:B,"&gt;="&amp;DATE(YEAR(TODAY()),1,1),'Sales Orders'!B:B,"&lt;="&amp;TODAY()),0)</f>
        <v>0</v>
      </c>
    </row>
    <row r="243" spans="10:14">
      <c r="J243" s="15"/>
      <c r="M243" s="16">
        <f ca="1">IFERROR(SUMIFS('Sales Orders'!L:L,'Sales Orders'!D:D,$A243,'Sales Orders'!B:B,"&gt;="&amp;DATE(YEAR(TODAY()),1,1),'Sales Orders'!B:B,"&lt;="&amp;TODAY()),0)</f>
        <v>0</v>
      </c>
      <c r="N243" s="17">
        <f ca="1">IFERROR(SUMIFS('Sales Orders'!H:H,'Sales Orders'!D:D,$A243,'Sales Orders'!B:B,"&gt;="&amp;DATE(YEAR(TODAY()),1,1),'Sales Orders'!B:B,"&lt;="&amp;TODAY()),0)</f>
        <v>0</v>
      </c>
    </row>
    <row r="244" spans="10:14">
      <c r="J244" s="15"/>
      <c r="M244" s="16">
        <f ca="1">IFERROR(SUMIFS('Sales Orders'!L:L,'Sales Orders'!D:D,$A244,'Sales Orders'!B:B,"&gt;="&amp;DATE(YEAR(TODAY()),1,1),'Sales Orders'!B:B,"&lt;="&amp;TODAY()),0)</f>
        <v>0</v>
      </c>
      <c r="N244" s="17">
        <f ca="1">IFERROR(SUMIFS('Sales Orders'!H:H,'Sales Orders'!D:D,$A244,'Sales Orders'!B:B,"&gt;="&amp;DATE(YEAR(TODAY()),1,1),'Sales Orders'!B:B,"&lt;="&amp;TODAY()),0)</f>
        <v>0</v>
      </c>
    </row>
    <row r="245" spans="10:14">
      <c r="J245" s="15"/>
      <c r="M245" s="16">
        <f ca="1">IFERROR(SUMIFS('Sales Orders'!L:L,'Sales Orders'!D:D,$A245,'Sales Orders'!B:B,"&gt;="&amp;DATE(YEAR(TODAY()),1,1),'Sales Orders'!B:B,"&lt;="&amp;TODAY()),0)</f>
        <v>0</v>
      </c>
      <c r="N245" s="17">
        <f ca="1">IFERROR(SUMIFS('Sales Orders'!H:H,'Sales Orders'!D:D,$A245,'Sales Orders'!B:B,"&gt;="&amp;DATE(YEAR(TODAY()),1,1),'Sales Orders'!B:B,"&lt;="&amp;TODAY()),0)</f>
        <v>0</v>
      </c>
    </row>
    <row r="246" spans="10:14">
      <c r="J246" s="15"/>
      <c r="M246" s="16">
        <f ca="1">IFERROR(SUMIFS('Sales Orders'!L:L,'Sales Orders'!D:D,$A246,'Sales Orders'!B:B,"&gt;="&amp;DATE(YEAR(TODAY()),1,1),'Sales Orders'!B:B,"&lt;="&amp;TODAY()),0)</f>
        <v>0</v>
      </c>
      <c r="N246" s="17">
        <f ca="1">IFERROR(SUMIFS('Sales Orders'!H:H,'Sales Orders'!D:D,$A246,'Sales Orders'!B:B,"&gt;="&amp;DATE(YEAR(TODAY()),1,1),'Sales Orders'!B:B,"&lt;="&amp;TODAY()),0)</f>
        <v>0</v>
      </c>
    </row>
    <row r="247" spans="10:14">
      <c r="J247" s="15"/>
      <c r="M247" s="16">
        <f ca="1">IFERROR(SUMIFS('Sales Orders'!L:L,'Sales Orders'!D:D,$A247,'Sales Orders'!B:B,"&gt;="&amp;DATE(YEAR(TODAY()),1,1),'Sales Orders'!B:B,"&lt;="&amp;TODAY()),0)</f>
        <v>0</v>
      </c>
      <c r="N247" s="17">
        <f ca="1">IFERROR(SUMIFS('Sales Orders'!H:H,'Sales Orders'!D:D,$A247,'Sales Orders'!B:B,"&gt;="&amp;DATE(YEAR(TODAY()),1,1),'Sales Orders'!B:B,"&lt;="&amp;TODAY()),0)</f>
        <v>0</v>
      </c>
    </row>
    <row r="248" spans="10:14">
      <c r="J248" s="15"/>
      <c r="M248" s="16">
        <f ca="1">IFERROR(SUMIFS('Sales Orders'!L:L,'Sales Orders'!D:D,$A248,'Sales Orders'!B:B,"&gt;="&amp;DATE(YEAR(TODAY()),1,1),'Sales Orders'!B:B,"&lt;="&amp;TODAY()),0)</f>
        <v>0</v>
      </c>
      <c r="N248" s="17">
        <f ca="1">IFERROR(SUMIFS('Sales Orders'!H:H,'Sales Orders'!D:D,$A248,'Sales Orders'!B:B,"&gt;="&amp;DATE(YEAR(TODAY()),1,1),'Sales Orders'!B:B,"&lt;="&amp;TODAY()),0)</f>
        <v>0</v>
      </c>
    </row>
    <row r="249" spans="10:14">
      <c r="J249" s="15"/>
      <c r="M249" s="16">
        <f ca="1">IFERROR(SUMIFS('Sales Orders'!L:L,'Sales Orders'!D:D,$A249,'Sales Orders'!B:B,"&gt;="&amp;DATE(YEAR(TODAY()),1,1),'Sales Orders'!B:B,"&lt;="&amp;TODAY()),0)</f>
        <v>0</v>
      </c>
      <c r="N249" s="17">
        <f ca="1">IFERROR(SUMIFS('Sales Orders'!H:H,'Sales Orders'!D:D,$A249,'Sales Orders'!B:B,"&gt;="&amp;DATE(YEAR(TODAY()),1,1),'Sales Orders'!B:B,"&lt;="&amp;TODAY()),0)</f>
        <v>0</v>
      </c>
    </row>
    <row r="250" spans="10:14">
      <c r="J250" s="15"/>
      <c r="M250" s="16">
        <f ca="1">IFERROR(SUMIFS('Sales Orders'!L:L,'Sales Orders'!D:D,$A250,'Sales Orders'!B:B,"&gt;="&amp;DATE(YEAR(TODAY()),1,1),'Sales Orders'!B:B,"&lt;="&amp;TODAY()),0)</f>
        <v>0</v>
      </c>
      <c r="N250" s="17">
        <f ca="1">IFERROR(SUMIFS('Sales Orders'!H:H,'Sales Orders'!D:D,$A250,'Sales Orders'!B:B,"&gt;="&amp;DATE(YEAR(TODAY()),1,1),'Sales Orders'!B:B,"&lt;="&amp;TODAY()),0)</f>
        <v>0</v>
      </c>
    </row>
    <row r="251" spans="10:14">
      <c r="J251" s="15"/>
      <c r="M251" s="16">
        <f ca="1">IFERROR(SUMIFS('Sales Orders'!L:L,'Sales Orders'!D:D,$A251,'Sales Orders'!B:B,"&gt;="&amp;DATE(YEAR(TODAY()),1,1),'Sales Orders'!B:B,"&lt;="&amp;TODAY()),0)</f>
        <v>0</v>
      </c>
      <c r="N251" s="17">
        <f ca="1">IFERROR(SUMIFS('Sales Orders'!H:H,'Sales Orders'!D:D,$A251,'Sales Orders'!B:B,"&gt;="&amp;DATE(YEAR(TODAY()),1,1),'Sales Orders'!B:B,"&lt;="&amp;TODAY()),0)</f>
        <v>0</v>
      </c>
    </row>
    <row r="252" spans="10:14">
      <c r="J252" s="15"/>
      <c r="M252" s="16">
        <f ca="1">IFERROR(SUMIFS('Sales Orders'!L:L,'Sales Orders'!D:D,$A252,'Sales Orders'!B:B,"&gt;="&amp;DATE(YEAR(TODAY()),1,1),'Sales Orders'!B:B,"&lt;="&amp;TODAY()),0)</f>
        <v>0</v>
      </c>
      <c r="N252" s="17">
        <f ca="1">IFERROR(SUMIFS('Sales Orders'!H:H,'Sales Orders'!D:D,$A252,'Sales Orders'!B:B,"&gt;="&amp;DATE(YEAR(TODAY()),1,1),'Sales Orders'!B:B,"&lt;="&amp;TODAY()),0)</f>
        <v>0</v>
      </c>
    </row>
    <row r="253" spans="10:14">
      <c r="J253" s="15"/>
      <c r="M253" s="16">
        <f ca="1">IFERROR(SUMIFS('Sales Orders'!L:L,'Sales Orders'!D:D,$A253,'Sales Orders'!B:B,"&gt;="&amp;DATE(YEAR(TODAY()),1,1),'Sales Orders'!B:B,"&lt;="&amp;TODAY()),0)</f>
        <v>0</v>
      </c>
      <c r="N253" s="17">
        <f ca="1">IFERROR(SUMIFS('Sales Orders'!H:H,'Sales Orders'!D:D,$A253,'Sales Orders'!B:B,"&gt;="&amp;DATE(YEAR(TODAY()),1,1),'Sales Orders'!B:B,"&lt;="&amp;TODAY()),0)</f>
        <v>0</v>
      </c>
    </row>
    <row r="254" spans="10:14">
      <c r="J254" s="15"/>
      <c r="M254" s="16">
        <f ca="1">IFERROR(SUMIFS('Sales Orders'!L:L,'Sales Orders'!D:D,$A254,'Sales Orders'!B:B,"&gt;="&amp;DATE(YEAR(TODAY()),1,1),'Sales Orders'!B:B,"&lt;="&amp;TODAY()),0)</f>
        <v>0</v>
      </c>
      <c r="N254" s="17">
        <f ca="1">IFERROR(SUMIFS('Sales Orders'!H:H,'Sales Orders'!D:D,$A254,'Sales Orders'!B:B,"&gt;="&amp;DATE(YEAR(TODAY()),1,1),'Sales Orders'!B:B,"&lt;="&amp;TODAY()),0)</f>
        <v>0</v>
      </c>
    </row>
    <row r="255" spans="10:14">
      <c r="J255" s="15"/>
      <c r="M255" s="16">
        <f ca="1">IFERROR(SUMIFS('Sales Orders'!L:L,'Sales Orders'!D:D,$A255,'Sales Orders'!B:B,"&gt;="&amp;DATE(YEAR(TODAY()),1,1),'Sales Orders'!B:B,"&lt;="&amp;TODAY()),0)</f>
        <v>0</v>
      </c>
      <c r="N255" s="17">
        <f ca="1">IFERROR(SUMIFS('Sales Orders'!H:H,'Sales Orders'!D:D,$A255,'Sales Orders'!B:B,"&gt;="&amp;DATE(YEAR(TODAY()),1,1),'Sales Orders'!B:B,"&lt;="&amp;TODAY()),0)</f>
        <v>0</v>
      </c>
    </row>
    <row r="256" spans="10:14">
      <c r="J256" s="15"/>
      <c r="M256" s="16">
        <f ca="1">IFERROR(SUMIFS('Sales Orders'!L:L,'Sales Orders'!D:D,$A256,'Sales Orders'!B:B,"&gt;="&amp;DATE(YEAR(TODAY()),1,1),'Sales Orders'!B:B,"&lt;="&amp;TODAY()),0)</f>
        <v>0</v>
      </c>
      <c r="N256" s="17">
        <f ca="1">IFERROR(SUMIFS('Sales Orders'!H:H,'Sales Orders'!D:D,$A256,'Sales Orders'!B:B,"&gt;="&amp;DATE(YEAR(TODAY()),1,1),'Sales Orders'!B:B,"&lt;="&amp;TODAY()),0)</f>
        <v>0</v>
      </c>
    </row>
    <row r="257" spans="10:14">
      <c r="J257" s="15"/>
      <c r="M257" s="16">
        <f ca="1">IFERROR(SUMIFS('Sales Orders'!L:L,'Sales Orders'!D:D,$A257,'Sales Orders'!B:B,"&gt;="&amp;DATE(YEAR(TODAY()),1,1),'Sales Orders'!B:B,"&lt;="&amp;TODAY()),0)</f>
        <v>0</v>
      </c>
      <c r="N257" s="17">
        <f ca="1">IFERROR(SUMIFS('Sales Orders'!H:H,'Sales Orders'!D:D,$A257,'Sales Orders'!B:B,"&gt;="&amp;DATE(YEAR(TODAY()),1,1),'Sales Orders'!B:B,"&lt;="&amp;TODAY()),0)</f>
        <v>0</v>
      </c>
    </row>
    <row r="258" spans="10:14">
      <c r="J258" s="15"/>
      <c r="M258" s="16">
        <f ca="1">IFERROR(SUMIFS('Sales Orders'!L:L,'Sales Orders'!D:D,$A258,'Sales Orders'!B:B,"&gt;="&amp;DATE(YEAR(TODAY()),1,1),'Sales Orders'!B:B,"&lt;="&amp;TODAY()),0)</f>
        <v>0</v>
      </c>
      <c r="N258" s="17">
        <f ca="1">IFERROR(SUMIFS('Sales Orders'!H:H,'Sales Orders'!D:D,$A258,'Sales Orders'!B:B,"&gt;="&amp;DATE(YEAR(TODAY()),1,1),'Sales Orders'!B:B,"&lt;="&amp;TODAY()),0)</f>
        <v>0</v>
      </c>
    </row>
    <row r="259" spans="10:14">
      <c r="J259" s="15"/>
      <c r="M259" s="16">
        <f ca="1">IFERROR(SUMIFS('Sales Orders'!L:L,'Sales Orders'!D:D,$A259,'Sales Orders'!B:B,"&gt;="&amp;DATE(YEAR(TODAY()),1,1),'Sales Orders'!B:B,"&lt;="&amp;TODAY()),0)</f>
        <v>0</v>
      </c>
      <c r="N259" s="17">
        <f ca="1">IFERROR(SUMIFS('Sales Orders'!H:H,'Sales Orders'!D:D,$A259,'Sales Orders'!B:B,"&gt;="&amp;DATE(YEAR(TODAY()),1,1),'Sales Orders'!B:B,"&lt;="&amp;TODAY()),0)</f>
        <v>0</v>
      </c>
    </row>
    <row r="260" spans="10:14">
      <c r="J260" s="15"/>
      <c r="M260" s="16">
        <f ca="1">IFERROR(SUMIFS('Sales Orders'!L:L,'Sales Orders'!D:D,$A260,'Sales Orders'!B:B,"&gt;="&amp;DATE(YEAR(TODAY()),1,1),'Sales Orders'!B:B,"&lt;="&amp;TODAY()),0)</f>
        <v>0</v>
      </c>
      <c r="N260" s="17">
        <f ca="1">IFERROR(SUMIFS('Sales Orders'!H:H,'Sales Orders'!D:D,$A260,'Sales Orders'!B:B,"&gt;="&amp;DATE(YEAR(TODAY()),1,1),'Sales Orders'!B:B,"&lt;="&amp;TODAY()),0)</f>
        <v>0</v>
      </c>
    </row>
    <row r="261" spans="10:14">
      <c r="J261" s="15"/>
      <c r="M261" s="16">
        <f ca="1">IFERROR(SUMIFS('Sales Orders'!L:L,'Sales Orders'!D:D,$A261,'Sales Orders'!B:B,"&gt;="&amp;DATE(YEAR(TODAY()),1,1),'Sales Orders'!B:B,"&lt;="&amp;TODAY()),0)</f>
        <v>0</v>
      </c>
      <c r="N261" s="17">
        <f ca="1">IFERROR(SUMIFS('Sales Orders'!H:H,'Sales Orders'!D:D,$A261,'Sales Orders'!B:B,"&gt;="&amp;DATE(YEAR(TODAY()),1,1),'Sales Orders'!B:B,"&lt;="&amp;TODAY()),0)</f>
        <v>0</v>
      </c>
    </row>
    <row r="262" spans="10:14">
      <c r="J262" s="15"/>
      <c r="M262" s="16">
        <f ca="1">IFERROR(SUMIFS('Sales Orders'!L:L,'Sales Orders'!D:D,$A262,'Sales Orders'!B:B,"&gt;="&amp;DATE(YEAR(TODAY()),1,1),'Sales Orders'!B:B,"&lt;="&amp;TODAY()),0)</f>
        <v>0</v>
      </c>
      <c r="N262" s="17">
        <f ca="1">IFERROR(SUMIFS('Sales Orders'!H:H,'Sales Orders'!D:D,$A262,'Sales Orders'!B:B,"&gt;="&amp;DATE(YEAR(TODAY()),1,1),'Sales Orders'!B:B,"&lt;="&amp;TODAY()),0)</f>
        <v>0</v>
      </c>
    </row>
    <row r="263" spans="10:14">
      <c r="J263" s="15"/>
      <c r="M263" s="16">
        <f ca="1">IFERROR(SUMIFS('Sales Orders'!L:L,'Sales Orders'!D:D,$A263,'Sales Orders'!B:B,"&gt;="&amp;DATE(YEAR(TODAY()),1,1),'Sales Orders'!B:B,"&lt;="&amp;TODAY()),0)</f>
        <v>0</v>
      </c>
      <c r="N263" s="17">
        <f ca="1">IFERROR(SUMIFS('Sales Orders'!H:H,'Sales Orders'!D:D,$A263,'Sales Orders'!B:B,"&gt;="&amp;DATE(YEAR(TODAY()),1,1),'Sales Orders'!B:B,"&lt;="&amp;TODAY()),0)</f>
        <v>0</v>
      </c>
    </row>
    <row r="264" spans="10:14">
      <c r="J264" s="15"/>
      <c r="M264" s="16">
        <f ca="1">IFERROR(SUMIFS('Sales Orders'!L:L,'Sales Orders'!D:D,$A264,'Sales Orders'!B:B,"&gt;="&amp;DATE(YEAR(TODAY()),1,1),'Sales Orders'!B:B,"&lt;="&amp;TODAY()),0)</f>
        <v>0</v>
      </c>
      <c r="N264" s="17">
        <f ca="1">IFERROR(SUMIFS('Sales Orders'!H:H,'Sales Orders'!D:D,$A264,'Sales Orders'!B:B,"&gt;="&amp;DATE(YEAR(TODAY()),1,1),'Sales Orders'!B:B,"&lt;="&amp;TODAY()),0)</f>
        <v>0</v>
      </c>
    </row>
    <row r="265" spans="10:14">
      <c r="J265" s="15"/>
      <c r="M265" s="16">
        <f ca="1">IFERROR(SUMIFS('Sales Orders'!L:L,'Sales Orders'!D:D,$A265,'Sales Orders'!B:B,"&gt;="&amp;DATE(YEAR(TODAY()),1,1),'Sales Orders'!B:B,"&lt;="&amp;TODAY()),0)</f>
        <v>0</v>
      </c>
      <c r="N265" s="17">
        <f ca="1">IFERROR(SUMIFS('Sales Orders'!H:H,'Sales Orders'!D:D,$A265,'Sales Orders'!B:B,"&gt;="&amp;DATE(YEAR(TODAY()),1,1),'Sales Orders'!B:B,"&lt;="&amp;TODAY()),0)</f>
        <v>0</v>
      </c>
    </row>
    <row r="266" spans="10:14">
      <c r="J266" s="15"/>
      <c r="M266" s="16">
        <f ca="1">IFERROR(SUMIFS('Sales Orders'!L:L,'Sales Orders'!D:D,$A266,'Sales Orders'!B:B,"&gt;="&amp;DATE(YEAR(TODAY()),1,1),'Sales Orders'!B:B,"&lt;="&amp;TODAY()),0)</f>
        <v>0</v>
      </c>
      <c r="N266" s="17">
        <f ca="1">IFERROR(SUMIFS('Sales Orders'!H:H,'Sales Orders'!D:D,$A266,'Sales Orders'!B:B,"&gt;="&amp;DATE(YEAR(TODAY()),1,1),'Sales Orders'!B:B,"&lt;="&amp;TODAY()),0)</f>
        <v>0</v>
      </c>
    </row>
    <row r="267" spans="10:14">
      <c r="J267" s="15"/>
      <c r="M267" s="16">
        <f ca="1">IFERROR(SUMIFS('Sales Orders'!L:L,'Sales Orders'!D:D,$A267,'Sales Orders'!B:B,"&gt;="&amp;DATE(YEAR(TODAY()),1,1),'Sales Orders'!B:B,"&lt;="&amp;TODAY()),0)</f>
        <v>0</v>
      </c>
      <c r="N267" s="17">
        <f ca="1">IFERROR(SUMIFS('Sales Orders'!H:H,'Sales Orders'!D:D,$A267,'Sales Orders'!B:B,"&gt;="&amp;DATE(YEAR(TODAY()),1,1),'Sales Orders'!B:B,"&lt;="&amp;TODAY()),0)</f>
        <v>0</v>
      </c>
    </row>
    <row r="268" spans="10:14">
      <c r="J268" s="15"/>
      <c r="M268" s="16">
        <f ca="1">IFERROR(SUMIFS('Sales Orders'!L:L,'Sales Orders'!D:D,$A268,'Sales Orders'!B:B,"&gt;="&amp;DATE(YEAR(TODAY()),1,1),'Sales Orders'!B:B,"&lt;="&amp;TODAY()),0)</f>
        <v>0</v>
      </c>
      <c r="N268" s="17">
        <f ca="1">IFERROR(SUMIFS('Sales Orders'!H:H,'Sales Orders'!D:D,$A268,'Sales Orders'!B:B,"&gt;="&amp;DATE(YEAR(TODAY()),1,1),'Sales Orders'!B:B,"&lt;="&amp;TODAY()),0)</f>
        <v>0</v>
      </c>
    </row>
    <row r="269" spans="10:14">
      <c r="J269" s="15"/>
      <c r="M269" s="16">
        <f ca="1">IFERROR(SUMIFS('Sales Orders'!L:L,'Sales Orders'!D:D,$A269,'Sales Orders'!B:B,"&gt;="&amp;DATE(YEAR(TODAY()),1,1),'Sales Orders'!B:B,"&lt;="&amp;TODAY()),0)</f>
        <v>0</v>
      </c>
      <c r="N269" s="17">
        <f ca="1">IFERROR(SUMIFS('Sales Orders'!H:H,'Sales Orders'!D:D,$A269,'Sales Orders'!B:B,"&gt;="&amp;DATE(YEAR(TODAY()),1,1),'Sales Orders'!B:B,"&lt;="&amp;TODAY()),0)</f>
        <v>0</v>
      </c>
    </row>
    <row r="270" spans="10:14">
      <c r="J270" s="15"/>
      <c r="M270" s="16">
        <f ca="1">IFERROR(SUMIFS('Sales Orders'!L:L,'Sales Orders'!D:D,$A270,'Sales Orders'!B:B,"&gt;="&amp;DATE(YEAR(TODAY()),1,1),'Sales Orders'!B:B,"&lt;="&amp;TODAY()),0)</f>
        <v>0</v>
      </c>
      <c r="N270" s="17">
        <f ca="1">IFERROR(SUMIFS('Sales Orders'!H:H,'Sales Orders'!D:D,$A270,'Sales Orders'!B:B,"&gt;="&amp;DATE(YEAR(TODAY()),1,1),'Sales Orders'!B:B,"&lt;="&amp;TODAY()),0)</f>
        <v>0</v>
      </c>
    </row>
    <row r="271" spans="10:14">
      <c r="J271" s="15"/>
      <c r="M271" s="16">
        <f ca="1">IFERROR(SUMIFS('Sales Orders'!L:L,'Sales Orders'!D:D,$A271,'Sales Orders'!B:B,"&gt;="&amp;DATE(YEAR(TODAY()),1,1),'Sales Orders'!B:B,"&lt;="&amp;TODAY()),0)</f>
        <v>0</v>
      </c>
      <c r="N271" s="17">
        <f ca="1">IFERROR(SUMIFS('Sales Orders'!H:H,'Sales Orders'!D:D,$A271,'Sales Orders'!B:B,"&gt;="&amp;DATE(YEAR(TODAY()),1,1),'Sales Orders'!B:B,"&lt;="&amp;TODAY()),0)</f>
        <v>0</v>
      </c>
    </row>
    <row r="272" spans="10:14">
      <c r="J272" s="15"/>
      <c r="M272" s="16">
        <f ca="1">IFERROR(SUMIFS('Sales Orders'!L:L,'Sales Orders'!D:D,$A272,'Sales Orders'!B:B,"&gt;="&amp;DATE(YEAR(TODAY()),1,1),'Sales Orders'!B:B,"&lt;="&amp;TODAY()),0)</f>
        <v>0</v>
      </c>
      <c r="N272" s="17">
        <f ca="1">IFERROR(SUMIFS('Sales Orders'!H:H,'Sales Orders'!D:D,$A272,'Sales Orders'!B:B,"&gt;="&amp;DATE(YEAR(TODAY()),1,1),'Sales Orders'!B:B,"&lt;="&amp;TODAY()),0)</f>
        <v>0</v>
      </c>
    </row>
    <row r="273" spans="10:14">
      <c r="J273" s="15"/>
      <c r="M273" s="16">
        <f ca="1">IFERROR(SUMIFS('Sales Orders'!L:L,'Sales Orders'!D:D,$A273,'Sales Orders'!B:B,"&gt;="&amp;DATE(YEAR(TODAY()),1,1),'Sales Orders'!B:B,"&lt;="&amp;TODAY()),0)</f>
        <v>0</v>
      </c>
      <c r="N273" s="17">
        <f ca="1">IFERROR(SUMIFS('Sales Orders'!H:H,'Sales Orders'!D:D,$A273,'Sales Orders'!B:B,"&gt;="&amp;DATE(YEAR(TODAY()),1,1),'Sales Orders'!B:B,"&lt;="&amp;TODAY()),0)</f>
        <v>0</v>
      </c>
    </row>
    <row r="274" spans="10:14">
      <c r="J274" s="15"/>
      <c r="M274" s="16">
        <f ca="1">IFERROR(SUMIFS('Sales Orders'!L:L,'Sales Orders'!D:D,$A274,'Sales Orders'!B:B,"&gt;="&amp;DATE(YEAR(TODAY()),1,1),'Sales Orders'!B:B,"&lt;="&amp;TODAY()),0)</f>
        <v>0</v>
      </c>
      <c r="N274" s="17">
        <f ca="1">IFERROR(SUMIFS('Sales Orders'!H:H,'Sales Orders'!D:D,$A274,'Sales Orders'!B:B,"&gt;="&amp;DATE(YEAR(TODAY()),1,1),'Sales Orders'!B:B,"&lt;="&amp;TODAY()),0)</f>
        <v>0</v>
      </c>
    </row>
    <row r="275" spans="10:14">
      <c r="J275" s="15"/>
      <c r="M275" s="16">
        <f ca="1">IFERROR(SUMIFS('Sales Orders'!L:L,'Sales Orders'!D:D,$A275,'Sales Orders'!B:B,"&gt;="&amp;DATE(YEAR(TODAY()),1,1),'Sales Orders'!B:B,"&lt;="&amp;TODAY()),0)</f>
        <v>0</v>
      </c>
      <c r="N275" s="17">
        <f ca="1">IFERROR(SUMIFS('Sales Orders'!H:H,'Sales Orders'!D:D,$A275,'Sales Orders'!B:B,"&gt;="&amp;DATE(YEAR(TODAY()),1,1),'Sales Orders'!B:B,"&lt;="&amp;TODAY()),0)</f>
        <v>0</v>
      </c>
    </row>
    <row r="276" spans="10:14">
      <c r="J276" s="15"/>
      <c r="M276" s="16">
        <f ca="1">IFERROR(SUMIFS('Sales Orders'!L:L,'Sales Orders'!D:D,$A276,'Sales Orders'!B:B,"&gt;="&amp;DATE(YEAR(TODAY()),1,1),'Sales Orders'!B:B,"&lt;="&amp;TODAY()),0)</f>
        <v>0</v>
      </c>
      <c r="N276" s="17">
        <f ca="1">IFERROR(SUMIFS('Sales Orders'!H:H,'Sales Orders'!D:D,$A276,'Sales Orders'!B:B,"&gt;="&amp;DATE(YEAR(TODAY()),1,1),'Sales Orders'!B:B,"&lt;="&amp;TODAY()),0)</f>
        <v>0</v>
      </c>
    </row>
    <row r="277" spans="10:14">
      <c r="J277" s="15"/>
      <c r="M277" s="16">
        <f ca="1">IFERROR(SUMIFS('Sales Orders'!L:L,'Sales Orders'!D:D,$A277,'Sales Orders'!B:B,"&gt;="&amp;DATE(YEAR(TODAY()),1,1),'Sales Orders'!B:B,"&lt;="&amp;TODAY()),0)</f>
        <v>0</v>
      </c>
      <c r="N277" s="17">
        <f ca="1">IFERROR(SUMIFS('Sales Orders'!H:H,'Sales Orders'!D:D,$A277,'Sales Orders'!B:B,"&gt;="&amp;DATE(YEAR(TODAY()),1,1),'Sales Orders'!B:B,"&lt;="&amp;TODAY()),0)</f>
        <v>0</v>
      </c>
    </row>
    <row r="278" spans="10:14">
      <c r="J278" s="15"/>
      <c r="M278" s="16">
        <f ca="1">IFERROR(SUMIFS('Sales Orders'!L:L,'Sales Orders'!D:D,$A278,'Sales Orders'!B:B,"&gt;="&amp;DATE(YEAR(TODAY()),1,1),'Sales Orders'!B:B,"&lt;="&amp;TODAY()),0)</f>
        <v>0</v>
      </c>
      <c r="N278" s="17">
        <f ca="1">IFERROR(SUMIFS('Sales Orders'!H:H,'Sales Orders'!D:D,$A278,'Sales Orders'!B:B,"&gt;="&amp;DATE(YEAR(TODAY()),1,1),'Sales Orders'!B:B,"&lt;="&amp;TODAY()),0)</f>
        <v>0</v>
      </c>
    </row>
    <row r="279" spans="10:14">
      <c r="J279" s="15"/>
      <c r="M279" s="16">
        <f ca="1">IFERROR(SUMIFS('Sales Orders'!L:L,'Sales Orders'!D:D,$A279,'Sales Orders'!B:B,"&gt;="&amp;DATE(YEAR(TODAY()),1,1),'Sales Orders'!B:B,"&lt;="&amp;TODAY()),0)</f>
        <v>0</v>
      </c>
      <c r="N279" s="17">
        <f ca="1">IFERROR(SUMIFS('Sales Orders'!H:H,'Sales Orders'!D:D,$A279,'Sales Orders'!B:B,"&gt;="&amp;DATE(YEAR(TODAY()),1,1),'Sales Orders'!B:B,"&lt;="&amp;TODAY()),0)</f>
        <v>0</v>
      </c>
    </row>
    <row r="280" spans="10:14">
      <c r="J280" s="15"/>
      <c r="M280" s="16">
        <f ca="1">IFERROR(SUMIFS('Sales Orders'!L:L,'Sales Orders'!D:D,$A280,'Sales Orders'!B:B,"&gt;="&amp;DATE(YEAR(TODAY()),1,1),'Sales Orders'!B:B,"&lt;="&amp;TODAY()),0)</f>
        <v>0</v>
      </c>
      <c r="N280" s="17">
        <f ca="1">IFERROR(SUMIFS('Sales Orders'!H:H,'Sales Orders'!D:D,$A280,'Sales Orders'!B:B,"&gt;="&amp;DATE(YEAR(TODAY()),1,1),'Sales Orders'!B:B,"&lt;="&amp;TODAY()),0)</f>
        <v>0</v>
      </c>
    </row>
    <row r="281" spans="10:14">
      <c r="J281" s="15"/>
      <c r="M281" s="16">
        <f ca="1">IFERROR(SUMIFS('Sales Orders'!L:L,'Sales Orders'!D:D,$A281,'Sales Orders'!B:B,"&gt;="&amp;DATE(YEAR(TODAY()),1,1),'Sales Orders'!B:B,"&lt;="&amp;TODAY()),0)</f>
        <v>0</v>
      </c>
      <c r="N281" s="17">
        <f ca="1">IFERROR(SUMIFS('Sales Orders'!H:H,'Sales Orders'!D:D,$A281,'Sales Orders'!B:B,"&gt;="&amp;DATE(YEAR(TODAY()),1,1),'Sales Orders'!B:B,"&lt;="&amp;TODAY()),0)</f>
        <v>0</v>
      </c>
    </row>
    <row r="282" spans="10:14">
      <c r="J282" s="15"/>
      <c r="M282" s="16">
        <f ca="1">IFERROR(SUMIFS('Sales Orders'!L:L,'Sales Orders'!D:D,$A282,'Sales Orders'!B:B,"&gt;="&amp;DATE(YEAR(TODAY()),1,1),'Sales Orders'!B:B,"&lt;="&amp;TODAY()),0)</f>
        <v>0</v>
      </c>
      <c r="N282" s="17">
        <f ca="1">IFERROR(SUMIFS('Sales Orders'!H:H,'Sales Orders'!D:D,$A282,'Sales Orders'!B:B,"&gt;="&amp;DATE(YEAR(TODAY()),1,1),'Sales Orders'!B:B,"&lt;="&amp;TODAY()),0)</f>
        <v>0</v>
      </c>
    </row>
    <row r="283" spans="10:14">
      <c r="J283" s="15"/>
      <c r="M283" s="16">
        <f ca="1">IFERROR(SUMIFS('Sales Orders'!L:L,'Sales Orders'!D:D,$A283,'Sales Orders'!B:B,"&gt;="&amp;DATE(YEAR(TODAY()),1,1),'Sales Orders'!B:B,"&lt;="&amp;TODAY()),0)</f>
        <v>0</v>
      </c>
      <c r="N283" s="17">
        <f ca="1">IFERROR(SUMIFS('Sales Orders'!H:H,'Sales Orders'!D:D,$A283,'Sales Orders'!B:B,"&gt;="&amp;DATE(YEAR(TODAY()),1,1),'Sales Orders'!B:B,"&lt;="&amp;TODAY()),0)</f>
        <v>0</v>
      </c>
    </row>
    <row r="284" spans="10:14">
      <c r="J284" s="15"/>
      <c r="M284" s="16">
        <f ca="1">IFERROR(SUMIFS('Sales Orders'!L:L,'Sales Orders'!D:D,$A284,'Sales Orders'!B:B,"&gt;="&amp;DATE(YEAR(TODAY()),1,1),'Sales Orders'!B:B,"&lt;="&amp;TODAY()),0)</f>
        <v>0</v>
      </c>
      <c r="N284" s="17">
        <f ca="1">IFERROR(SUMIFS('Sales Orders'!H:H,'Sales Orders'!D:D,$A284,'Sales Orders'!B:B,"&gt;="&amp;DATE(YEAR(TODAY()),1,1),'Sales Orders'!B:B,"&lt;="&amp;TODAY()),0)</f>
        <v>0</v>
      </c>
    </row>
    <row r="285" spans="10:14">
      <c r="J285" s="15"/>
      <c r="M285" s="16">
        <f ca="1">IFERROR(SUMIFS('Sales Orders'!L:L,'Sales Orders'!D:D,$A285,'Sales Orders'!B:B,"&gt;="&amp;DATE(YEAR(TODAY()),1,1),'Sales Orders'!B:B,"&lt;="&amp;TODAY()),0)</f>
        <v>0</v>
      </c>
      <c r="N285" s="17">
        <f ca="1">IFERROR(SUMIFS('Sales Orders'!H:H,'Sales Orders'!D:D,$A285,'Sales Orders'!B:B,"&gt;="&amp;DATE(YEAR(TODAY()),1,1),'Sales Orders'!B:B,"&lt;="&amp;TODAY()),0)</f>
        <v>0</v>
      </c>
    </row>
    <row r="286" spans="10:14">
      <c r="J286" s="15"/>
      <c r="M286" s="16">
        <f ca="1">IFERROR(SUMIFS('Sales Orders'!L:L,'Sales Orders'!D:D,$A286,'Sales Orders'!B:B,"&gt;="&amp;DATE(YEAR(TODAY()),1,1),'Sales Orders'!B:B,"&lt;="&amp;TODAY()),0)</f>
        <v>0</v>
      </c>
      <c r="N286" s="17">
        <f ca="1">IFERROR(SUMIFS('Sales Orders'!H:H,'Sales Orders'!D:D,$A286,'Sales Orders'!B:B,"&gt;="&amp;DATE(YEAR(TODAY()),1,1),'Sales Orders'!B:B,"&lt;="&amp;TODAY()),0)</f>
        <v>0</v>
      </c>
    </row>
    <row r="287" spans="10:14">
      <c r="J287" s="15"/>
      <c r="M287" s="16">
        <f ca="1">IFERROR(SUMIFS('Sales Orders'!L:L,'Sales Orders'!D:D,$A287,'Sales Orders'!B:B,"&gt;="&amp;DATE(YEAR(TODAY()),1,1),'Sales Orders'!B:B,"&lt;="&amp;TODAY()),0)</f>
        <v>0</v>
      </c>
      <c r="N287" s="17">
        <f ca="1">IFERROR(SUMIFS('Sales Orders'!H:H,'Sales Orders'!D:D,$A287,'Sales Orders'!B:B,"&gt;="&amp;DATE(YEAR(TODAY()),1,1),'Sales Orders'!B:B,"&lt;="&amp;TODAY()),0)</f>
        <v>0</v>
      </c>
    </row>
    <row r="288" spans="10:14">
      <c r="J288" s="15"/>
      <c r="M288" s="16">
        <f ca="1">IFERROR(SUMIFS('Sales Orders'!L:L,'Sales Orders'!D:D,$A288,'Sales Orders'!B:B,"&gt;="&amp;DATE(YEAR(TODAY()),1,1),'Sales Orders'!B:B,"&lt;="&amp;TODAY()),0)</f>
        <v>0</v>
      </c>
      <c r="N288" s="17">
        <f ca="1">IFERROR(SUMIFS('Sales Orders'!H:H,'Sales Orders'!D:D,$A288,'Sales Orders'!B:B,"&gt;="&amp;DATE(YEAR(TODAY()),1,1),'Sales Orders'!B:B,"&lt;="&amp;TODAY()),0)</f>
        <v>0</v>
      </c>
    </row>
    <row r="289" spans="10:14">
      <c r="J289" s="15"/>
      <c r="M289" s="16">
        <f ca="1">IFERROR(SUMIFS('Sales Orders'!L:L,'Sales Orders'!D:D,$A289,'Sales Orders'!B:B,"&gt;="&amp;DATE(YEAR(TODAY()),1,1),'Sales Orders'!B:B,"&lt;="&amp;TODAY()),0)</f>
        <v>0</v>
      </c>
      <c r="N289" s="17">
        <f ca="1">IFERROR(SUMIFS('Sales Orders'!H:H,'Sales Orders'!D:D,$A289,'Sales Orders'!B:B,"&gt;="&amp;DATE(YEAR(TODAY()),1,1),'Sales Orders'!B:B,"&lt;="&amp;TODAY()),0)</f>
        <v>0</v>
      </c>
    </row>
    <row r="290" spans="10:14">
      <c r="J290" s="15"/>
      <c r="M290" s="16">
        <f ca="1">IFERROR(SUMIFS('Sales Orders'!L:L,'Sales Orders'!D:D,$A290,'Sales Orders'!B:B,"&gt;="&amp;DATE(YEAR(TODAY()),1,1),'Sales Orders'!B:B,"&lt;="&amp;TODAY()),0)</f>
        <v>0</v>
      </c>
      <c r="N290" s="17">
        <f ca="1">IFERROR(SUMIFS('Sales Orders'!H:H,'Sales Orders'!D:D,$A290,'Sales Orders'!B:B,"&gt;="&amp;DATE(YEAR(TODAY()),1,1),'Sales Orders'!B:B,"&lt;="&amp;TODAY()),0)</f>
        <v>0</v>
      </c>
    </row>
    <row r="291" spans="10:14">
      <c r="J291" s="15"/>
      <c r="M291" s="16">
        <f ca="1">IFERROR(SUMIFS('Sales Orders'!L:L,'Sales Orders'!D:D,$A291,'Sales Orders'!B:B,"&gt;="&amp;DATE(YEAR(TODAY()),1,1),'Sales Orders'!B:B,"&lt;="&amp;TODAY()),0)</f>
        <v>0</v>
      </c>
      <c r="N291" s="17">
        <f ca="1">IFERROR(SUMIFS('Sales Orders'!H:H,'Sales Orders'!D:D,$A291,'Sales Orders'!B:B,"&gt;="&amp;DATE(YEAR(TODAY()),1,1),'Sales Orders'!B:B,"&lt;="&amp;TODAY()),0)</f>
        <v>0</v>
      </c>
    </row>
    <row r="292" spans="10:14">
      <c r="J292" s="15"/>
      <c r="M292" s="16">
        <f ca="1">IFERROR(SUMIFS('Sales Orders'!L:L,'Sales Orders'!D:D,$A292,'Sales Orders'!B:B,"&gt;="&amp;DATE(YEAR(TODAY()),1,1),'Sales Orders'!B:B,"&lt;="&amp;TODAY()),0)</f>
        <v>0</v>
      </c>
      <c r="N292" s="17">
        <f ca="1">IFERROR(SUMIFS('Sales Orders'!H:H,'Sales Orders'!D:D,$A292,'Sales Orders'!B:B,"&gt;="&amp;DATE(YEAR(TODAY()),1,1),'Sales Orders'!B:B,"&lt;="&amp;TODAY()),0)</f>
        <v>0</v>
      </c>
    </row>
    <row r="293" spans="10:14">
      <c r="J293" s="15"/>
      <c r="M293" s="16">
        <f ca="1">IFERROR(SUMIFS('Sales Orders'!L:L,'Sales Orders'!D:D,$A293,'Sales Orders'!B:B,"&gt;="&amp;DATE(YEAR(TODAY()),1,1),'Sales Orders'!B:B,"&lt;="&amp;TODAY()),0)</f>
        <v>0</v>
      </c>
      <c r="N293" s="17">
        <f ca="1">IFERROR(SUMIFS('Sales Orders'!H:H,'Sales Orders'!D:D,$A293,'Sales Orders'!B:B,"&gt;="&amp;DATE(YEAR(TODAY()),1,1),'Sales Orders'!B:B,"&lt;="&amp;TODAY()),0)</f>
        <v>0</v>
      </c>
    </row>
    <row r="294" spans="10:14">
      <c r="J294" s="15"/>
      <c r="M294" s="16">
        <f ca="1">IFERROR(SUMIFS('Sales Orders'!L:L,'Sales Orders'!D:D,$A294,'Sales Orders'!B:B,"&gt;="&amp;DATE(YEAR(TODAY()),1,1),'Sales Orders'!B:B,"&lt;="&amp;TODAY()),0)</f>
        <v>0</v>
      </c>
      <c r="N294" s="17">
        <f ca="1">IFERROR(SUMIFS('Sales Orders'!H:H,'Sales Orders'!D:D,$A294,'Sales Orders'!B:B,"&gt;="&amp;DATE(YEAR(TODAY()),1,1),'Sales Orders'!B:B,"&lt;="&amp;TODAY()),0)</f>
        <v>0</v>
      </c>
    </row>
    <row r="295" spans="10:14">
      <c r="J295" s="15"/>
      <c r="M295" s="16">
        <f ca="1">IFERROR(SUMIFS('Sales Orders'!L:L,'Sales Orders'!D:D,$A295,'Sales Orders'!B:B,"&gt;="&amp;DATE(YEAR(TODAY()),1,1),'Sales Orders'!B:B,"&lt;="&amp;TODAY()),0)</f>
        <v>0</v>
      </c>
      <c r="N295" s="17">
        <f ca="1">IFERROR(SUMIFS('Sales Orders'!H:H,'Sales Orders'!D:D,$A295,'Sales Orders'!B:B,"&gt;="&amp;DATE(YEAR(TODAY()),1,1),'Sales Orders'!B:B,"&lt;="&amp;TODAY()),0)</f>
        <v>0</v>
      </c>
    </row>
    <row r="296" spans="10:14">
      <c r="J296" s="15"/>
      <c r="M296" s="16">
        <f ca="1">IFERROR(SUMIFS('Sales Orders'!L:L,'Sales Orders'!D:D,$A296,'Sales Orders'!B:B,"&gt;="&amp;DATE(YEAR(TODAY()),1,1),'Sales Orders'!B:B,"&lt;="&amp;TODAY()),0)</f>
        <v>0</v>
      </c>
      <c r="N296" s="17">
        <f ca="1">IFERROR(SUMIFS('Sales Orders'!H:H,'Sales Orders'!D:D,$A296,'Sales Orders'!B:B,"&gt;="&amp;DATE(YEAR(TODAY()),1,1),'Sales Orders'!B:B,"&lt;="&amp;TODAY()),0)</f>
        <v>0</v>
      </c>
    </row>
    <row r="297" spans="10:14">
      <c r="J297" s="15"/>
      <c r="M297" s="16">
        <f ca="1">IFERROR(SUMIFS('Sales Orders'!L:L,'Sales Orders'!D:D,$A297,'Sales Orders'!B:B,"&gt;="&amp;DATE(YEAR(TODAY()),1,1),'Sales Orders'!B:B,"&lt;="&amp;TODAY()),0)</f>
        <v>0</v>
      </c>
      <c r="N297" s="17">
        <f ca="1">IFERROR(SUMIFS('Sales Orders'!H:H,'Sales Orders'!D:D,$A297,'Sales Orders'!B:B,"&gt;="&amp;DATE(YEAR(TODAY()),1,1),'Sales Orders'!B:B,"&lt;="&amp;TODAY()),0)</f>
        <v>0</v>
      </c>
    </row>
    <row r="298" spans="10:14">
      <c r="J298" s="15"/>
      <c r="M298" s="16">
        <f ca="1">IFERROR(SUMIFS('Sales Orders'!L:L,'Sales Orders'!D:D,$A298,'Sales Orders'!B:B,"&gt;="&amp;DATE(YEAR(TODAY()),1,1),'Sales Orders'!B:B,"&lt;="&amp;TODAY()),0)</f>
        <v>0</v>
      </c>
      <c r="N298" s="17">
        <f ca="1">IFERROR(SUMIFS('Sales Orders'!H:H,'Sales Orders'!D:D,$A298,'Sales Orders'!B:B,"&gt;="&amp;DATE(YEAR(TODAY()),1,1),'Sales Orders'!B:B,"&lt;="&amp;TODAY()),0)</f>
        <v>0</v>
      </c>
    </row>
    <row r="299" spans="10:14">
      <c r="J299" s="15"/>
      <c r="M299" s="16">
        <f ca="1">IFERROR(SUMIFS('Sales Orders'!L:L,'Sales Orders'!D:D,$A299,'Sales Orders'!B:B,"&gt;="&amp;DATE(YEAR(TODAY()),1,1),'Sales Orders'!B:B,"&lt;="&amp;TODAY()),0)</f>
        <v>0</v>
      </c>
      <c r="N299" s="17">
        <f ca="1">IFERROR(SUMIFS('Sales Orders'!H:H,'Sales Orders'!D:D,$A299,'Sales Orders'!B:B,"&gt;="&amp;DATE(YEAR(TODAY()),1,1),'Sales Orders'!B:B,"&lt;="&amp;TODAY()),0)</f>
        <v>0</v>
      </c>
    </row>
    <row r="300" spans="10:14">
      <c r="J300" s="15"/>
      <c r="M300" s="16">
        <f ca="1">IFERROR(SUMIFS('Sales Orders'!L:L,'Sales Orders'!D:D,$A300,'Sales Orders'!B:B,"&gt;="&amp;DATE(YEAR(TODAY()),1,1),'Sales Orders'!B:B,"&lt;="&amp;TODAY()),0)</f>
        <v>0</v>
      </c>
      <c r="N300" s="17">
        <f ca="1">IFERROR(SUMIFS('Sales Orders'!H:H,'Sales Orders'!D:D,$A300,'Sales Orders'!B:B,"&gt;="&amp;DATE(YEAR(TODAY()),1,1),'Sales Orders'!B:B,"&lt;="&amp;TODAY()),0)</f>
        <v>0</v>
      </c>
    </row>
    <row r="301" spans="10:14">
      <c r="J301" s="15"/>
      <c r="M301" s="16">
        <f ca="1">IFERROR(SUMIFS('Sales Orders'!L:L,'Sales Orders'!D:D,$A301,'Sales Orders'!B:B,"&gt;="&amp;DATE(YEAR(TODAY()),1,1),'Sales Orders'!B:B,"&lt;="&amp;TODAY()),0)</f>
        <v>0</v>
      </c>
      <c r="N301" s="17">
        <f ca="1">IFERROR(SUMIFS('Sales Orders'!H:H,'Sales Orders'!D:D,$A301,'Sales Orders'!B:B,"&gt;="&amp;DATE(YEAR(TODAY()),1,1),'Sales Orders'!B:B,"&lt;="&amp;TODAY()),0)</f>
        <v>0</v>
      </c>
    </row>
  </sheetData>
  <dataValidations count="2">
    <dataValidation type="list" allowBlank="1"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formula1>"Wholesale,Stockist,Direct,Online,Other"</formula1>
    </dataValidation>
    <dataValidation type="list"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501"/>
  <sheetViews>
    <sheetView showGridLines="0" workbookViewId="0"/>
  </sheetViews>
  <sheetFormatPr defaultRowHeight="14.5"/>
  <cols>
    <col min="1" max="1" width="12" customWidth="1"/>
    <col min="2" max="2" width="24" customWidth="1"/>
    <col min="3" max="3" width="8" customWidth="1"/>
    <col min="4" max="4" width="34" customWidth="1"/>
    <col min="5" max="5" width="18" customWidth="1"/>
    <col min="6" max="7" width="12" customWidth="1"/>
    <col min="8" max="8" width="14" customWidth="1"/>
    <col min="9" max="9" width="12" customWidth="1"/>
    <col min="10" max="10" width="14" customWidth="1"/>
    <col min="11" max="11" width="10" customWidth="1"/>
    <col min="12" max="12" width="22" customWidth="1"/>
  </cols>
  <sheetData>
    <row r="1" spans="1:12" ht="29">
      <c r="A1" s="14" t="s">
        <v>58</v>
      </c>
      <c r="B1" s="14" t="s">
        <v>59</v>
      </c>
      <c r="C1" s="14" t="s">
        <v>64</v>
      </c>
      <c r="D1" s="14" t="s">
        <v>65</v>
      </c>
      <c r="E1" s="14" t="s">
        <v>66</v>
      </c>
      <c r="F1" s="14" t="s">
        <v>67</v>
      </c>
      <c r="G1" s="14" t="s">
        <v>68</v>
      </c>
      <c r="H1" s="14" t="s">
        <v>69</v>
      </c>
      <c r="I1" s="14" t="s">
        <v>70</v>
      </c>
      <c r="J1" s="14" t="s">
        <v>26</v>
      </c>
      <c r="K1" s="14" t="s">
        <v>27</v>
      </c>
      <c r="L1" s="14" t="s">
        <v>28</v>
      </c>
    </row>
    <row r="2" spans="1:12">
      <c r="B2" t="str">
        <f>IFERROR(VLOOKUP(A2,Customers!$A:$B,2,FALSE),"")</f>
        <v/>
      </c>
      <c r="D2" t="str">
        <f>IFERROR(VLOOKUP(C2,'Products Index'!$A:$B,2,FALSE),"")</f>
        <v/>
      </c>
      <c r="E2" s="12"/>
      <c r="F2" s="12"/>
      <c r="G2" s="15"/>
      <c r="H2" s="16">
        <f t="shared" ref="H2:H65" si="0">IFERROR(E2*(1-G2),0)</f>
        <v>0</v>
      </c>
    </row>
    <row r="3" spans="1:12">
      <c r="B3" t="str">
        <f>IFERROR(VLOOKUP(A3,Customers!$A:$B,2,FALSE),"")</f>
        <v/>
      </c>
      <c r="D3" t="str">
        <f>IFERROR(VLOOKUP(C3,'Products Index'!$A:$B,2,FALSE),"")</f>
        <v/>
      </c>
      <c r="E3" s="12"/>
      <c r="F3" s="12"/>
      <c r="G3" s="15"/>
      <c r="H3" s="16">
        <f t="shared" si="0"/>
        <v>0</v>
      </c>
    </row>
    <row r="4" spans="1:12">
      <c r="B4" t="str">
        <f>IFERROR(VLOOKUP(A4,Customers!$A:$B,2,FALSE),"")</f>
        <v/>
      </c>
      <c r="D4" t="str">
        <f>IFERROR(VLOOKUP(C4,'Products Index'!$A:$B,2,FALSE),"")</f>
        <v/>
      </c>
      <c r="E4" s="12"/>
      <c r="F4" s="12"/>
      <c r="G4" s="15"/>
      <c r="H4" s="16">
        <f t="shared" si="0"/>
        <v>0</v>
      </c>
    </row>
    <row r="5" spans="1:12">
      <c r="B5" t="str">
        <f>IFERROR(VLOOKUP(A5,Customers!$A:$B,2,FALSE),"")</f>
        <v/>
      </c>
      <c r="D5" t="str">
        <f>IFERROR(VLOOKUP(C5,'Products Index'!$A:$B,2,FALSE),"")</f>
        <v/>
      </c>
      <c r="E5" s="12"/>
      <c r="F5" s="12"/>
      <c r="G5" s="15"/>
      <c r="H5" s="16">
        <f t="shared" si="0"/>
        <v>0</v>
      </c>
    </row>
    <row r="6" spans="1:12">
      <c r="B6" t="str">
        <f>IFERROR(VLOOKUP(A6,Customers!$A:$B,2,FALSE),"")</f>
        <v/>
      </c>
      <c r="D6" t="str">
        <f>IFERROR(VLOOKUP(C6,'Products Index'!$A:$B,2,FALSE),"")</f>
        <v/>
      </c>
      <c r="E6" s="12"/>
      <c r="F6" s="12"/>
      <c r="G6" s="15"/>
      <c r="H6" s="16">
        <f t="shared" si="0"/>
        <v>0</v>
      </c>
    </row>
    <row r="7" spans="1:12">
      <c r="B7" t="str">
        <f>IFERROR(VLOOKUP(A7,Customers!$A:$B,2,FALSE),"")</f>
        <v/>
      </c>
      <c r="D7" t="str">
        <f>IFERROR(VLOOKUP(C7,'Products Index'!$A:$B,2,FALSE),"")</f>
        <v/>
      </c>
      <c r="E7" s="12"/>
      <c r="F7" s="12"/>
      <c r="G7" s="15"/>
      <c r="H7" s="16">
        <f t="shared" si="0"/>
        <v>0</v>
      </c>
    </row>
    <row r="8" spans="1:12">
      <c r="B8" t="str">
        <f>IFERROR(VLOOKUP(A8,Customers!$A:$B,2,FALSE),"")</f>
        <v/>
      </c>
      <c r="D8" t="str">
        <f>IFERROR(VLOOKUP(C8,'Products Index'!$A:$B,2,FALSE),"")</f>
        <v/>
      </c>
      <c r="E8" s="12"/>
      <c r="F8" s="12"/>
      <c r="G8" s="15"/>
      <c r="H8" s="16">
        <f t="shared" si="0"/>
        <v>0</v>
      </c>
    </row>
    <row r="9" spans="1:12">
      <c r="B9" t="str">
        <f>IFERROR(VLOOKUP(A9,Customers!$A:$B,2,FALSE),"")</f>
        <v/>
      </c>
      <c r="D9" t="str">
        <f>IFERROR(VLOOKUP(C9,'Products Index'!$A:$B,2,FALSE),"")</f>
        <v/>
      </c>
      <c r="E9" s="12"/>
      <c r="F9" s="12"/>
      <c r="G9" s="15"/>
      <c r="H9" s="16">
        <f t="shared" si="0"/>
        <v>0</v>
      </c>
    </row>
    <row r="10" spans="1:12">
      <c r="B10" t="str">
        <f>IFERROR(VLOOKUP(A10,Customers!$A:$B,2,FALSE),"")</f>
        <v/>
      </c>
      <c r="D10" t="str">
        <f>IFERROR(VLOOKUP(C10,'Products Index'!$A:$B,2,FALSE),"")</f>
        <v/>
      </c>
      <c r="E10" s="12"/>
      <c r="F10" s="12"/>
      <c r="G10" s="15"/>
      <c r="H10" s="16">
        <f t="shared" si="0"/>
        <v>0</v>
      </c>
    </row>
    <row r="11" spans="1:12">
      <c r="B11" t="str">
        <f>IFERROR(VLOOKUP(A11,Customers!$A:$B,2,FALSE),"")</f>
        <v/>
      </c>
      <c r="D11" t="str">
        <f>IFERROR(VLOOKUP(C11,'Products Index'!$A:$B,2,FALSE),"")</f>
        <v/>
      </c>
      <c r="E11" s="12"/>
      <c r="F11" s="12"/>
      <c r="G11" s="15"/>
      <c r="H11" s="16">
        <f t="shared" si="0"/>
        <v>0</v>
      </c>
    </row>
    <row r="12" spans="1:12">
      <c r="B12" t="str">
        <f>IFERROR(VLOOKUP(A12,Customers!$A:$B,2,FALSE),"")</f>
        <v/>
      </c>
      <c r="D12" t="str">
        <f>IFERROR(VLOOKUP(C12,'Products Index'!$A:$B,2,FALSE),"")</f>
        <v/>
      </c>
      <c r="E12" s="12"/>
      <c r="F12" s="12"/>
      <c r="G12" s="15"/>
      <c r="H12" s="16">
        <f t="shared" si="0"/>
        <v>0</v>
      </c>
    </row>
    <row r="13" spans="1:12">
      <c r="B13" t="str">
        <f>IFERROR(VLOOKUP(A13,Customers!$A:$B,2,FALSE),"")</f>
        <v/>
      </c>
      <c r="D13" t="str">
        <f>IFERROR(VLOOKUP(C13,'Products Index'!$A:$B,2,FALSE),"")</f>
        <v/>
      </c>
      <c r="E13" s="12"/>
      <c r="F13" s="12"/>
      <c r="G13" s="15"/>
      <c r="H13" s="16">
        <f t="shared" si="0"/>
        <v>0</v>
      </c>
    </row>
    <row r="14" spans="1:12">
      <c r="B14" t="str">
        <f>IFERROR(VLOOKUP(A14,Customers!$A:$B,2,FALSE),"")</f>
        <v/>
      </c>
      <c r="D14" t="str">
        <f>IFERROR(VLOOKUP(C14,'Products Index'!$A:$B,2,FALSE),"")</f>
        <v/>
      </c>
      <c r="E14" s="12"/>
      <c r="F14" s="12"/>
      <c r="G14" s="15"/>
      <c r="H14" s="16">
        <f t="shared" si="0"/>
        <v>0</v>
      </c>
    </row>
    <row r="15" spans="1:12">
      <c r="B15" t="str">
        <f>IFERROR(VLOOKUP(A15,Customers!$A:$B,2,FALSE),"")</f>
        <v/>
      </c>
      <c r="D15" t="str">
        <f>IFERROR(VLOOKUP(C15,'Products Index'!$A:$B,2,FALSE),"")</f>
        <v/>
      </c>
      <c r="E15" s="12"/>
      <c r="F15" s="12"/>
      <c r="G15" s="15"/>
      <c r="H15" s="16">
        <f t="shared" si="0"/>
        <v>0</v>
      </c>
    </row>
    <row r="16" spans="1:12">
      <c r="B16" t="str">
        <f>IFERROR(VLOOKUP(A16,Customers!$A:$B,2,FALSE),"")</f>
        <v/>
      </c>
      <c r="D16" t="str">
        <f>IFERROR(VLOOKUP(C16,'Products Index'!$A:$B,2,FALSE),"")</f>
        <v/>
      </c>
      <c r="E16" s="12"/>
      <c r="F16" s="12"/>
      <c r="G16" s="15"/>
      <c r="H16" s="16">
        <f t="shared" si="0"/>
        <v>0</v>
      </c>
    </row>
    <row r="17" spans="2:8">
      <c r="B17" t="str">
        <f>IFERROR(VLOOKUP(A17,Customers!$A:$B,2,FALSE),"")</f>
        <v/>
      </c>
      <c r="D17" t="str">
        <f>IFERROR(VLOOKUP(C17,'Products Index'!$A:$B,2,FALSE),"")</f>
        <v/>
      </c>
      <c r="E17" s="12"/>
      <c r="F17" s="12"/>
      <c r="G17" s="15"/>
      <c r="H17" s="16">
        <f t="shared" si="0"/>
        <v>0</v>
      </c>
    </row>
    <row r="18" spans="2:8">
      <c r="B18" t="str">
        <f>IFERROR(VLOOKUP(A18,Customers!$A:$B,2,FALSE),"")</f>
        <v/>
      </c>
      <c r="D18" t="str">
        <f>IFERROR(VLOOKUP(C18,'Products Index'!$A:$B,2,FALSE),"")</f>
        <v/>
      </c>
      <c r="E18" s="12"/>
      <c r="F18" s="12"/>
      <c r="G18" s="15"/>
      <c r="H18" s="16">
        <f t="shared" si="0"/>
        <v>0</v>
      </c>
    </row>
    <row r="19" spans="2:8">
      <c r="B19" t="str">
        <f>IFERROR(VLOOKUP(A19,Customers!$A:$B,2,FALSE),"")</f>
        <v/>
      </c>
      <c r="D19" t="str">
        <f>IFERROR(VLOOKUP(C19,'Products Index'!$A:$B,2,FALSE),"")</f>
        <v/>
      </c>
      <c r="E19" s="12"/>
      <c r="F19" s="12"/>
      <c r="G19" s="15"/>
      <c r="H19" s="16">
        <f t="shared" si="0"/>
        <v>0</v>
      </c>
    </row>
    <row r="20" spans="2:8">
      <c r="B20" t="str">
        <f>IFERROR(VLOOKUP(A20,Customers!$A:$B,2,FALSE),"")</f>
        <v/>
      </c>
      <c r="D20" t="str">
        <f>IFERROR(VLOOKUP(C20,'Products Index'!$A:$B,2,FALSE),"")</f>
        <v/>
      </c>
      <c r="E20" s="12"/>
      <c r="F20" s="12"/>
      <c r="G20" s="15"/>
      <c r="H20" s="16">
        <f t="shared" si="0"/>
        <v>0</v>
      </c>
    </row>
    <row r="21" spans="2:8">
      <c r="B21" t="str">
        <f>IFERROR(VLOOKUP(A21,Customers!$A:$B,2,FALSE),"")</f>
        <v/>
      </c>
      <c r="D21" t="str">
        <f>IFERROR(VLOOKUP(C21,'Products Index'!$A:$B,2,FALSE),"")</f>
        <v/>
      </c>
      <c r="E21" s="12"/>
      <c r="F21" s="12"/>
      <c r="G21" s="15"/>
      <c r="H21" s="16">
        <f t="shared" si="0"/>
        <v>0</v>
      </c>
    </row>
    <row r="22" spans="2:8">
      <c r="B22" t="str">
        <f>IFERROR(VLOOKUP(A22,Customers!$A:$B,2,FALSE),"")</f>
        <v/>
      </c>
      <c r="D22" t="str">
        <f>IFERROR(VLOOKUP(C22,'Products Index'!$A:$B,2,FALSE),"")</f>
        <v/>
      </c>
      <c r="E22" s="12"/>
      <c r="F22" s="12"/>
      <c r="G22" s="15"/>
      <c r="H22" s="16">
        <f t="shared" si="0"/>
        <v>0</v>
      </c>
    </row>
    <row r="23" spans="2:8">
      <c r="B23" t="str">
        <f>IFERROR(VLOOKUP(A23,Customers!$A:$B,2,FALSE),"")</f>
        <v/>
      </c>
      <c r="D23" t="str">
        <f>IFERROR(VLOOKUP(C23,'Products Index'!$A:$B,2,FALSE),"")</f>
        <v/>
      </c>
      <c r="E23" s="12"/>
      <c r="F23" s="12"/>
      <c r="G23" s="15"/>
      <c r="H23" s="16">
        <f t="shared" si="0"/>
        <v>0</v>
      </c>
    </row>
    <row r="24" spans="2:8">
      <c r="B24" t="str">
        <f>IFERROR(VLOOKUP(A24,Customers!$A:$B,2,FALSE),"")</f>
        <v/>
      </c>
      <c r="D24" t="str">
        <f>IFERROR(VLOOKUP(C24,'Products Index'!$A:$B,2,FALSE),"")</f>
        <v/>
      </c>
      <c r="E24" s="12"/>
      <c r="F24" s="12"/>
      <c r="G24" s="15"/>
      <c r="H24" s="16">
        <f t="shared" si="0"/>
        <v>0</v>
      </c>
    </row>
    <row r="25" spans="2:8">
      <c r="B25" t="str">
        <f>IFERROR(VLOOKUP(A25,Customers!$A:$B,2,FALSE),"")</f>
        <v/>
      </c>
      <c r="D25" t="str">
        <f>IFERROR(VLOOKUP(C25,'Products Index'!$A:$B,2,FALSE),"")</f>
        <v/>
      </c>
      <c r="E25" s="12"/>
      <c r="F25" s="12"/>
      <c r="G25" s="15"/>
      <c r="H25" s="16">
        <f t="shared" si="0"/>
        <v>0</v>
      </c>
    </row>
    <row r="26" spans="2:8">
      <c r="B26" t="str">
        <f>IFERROR(VLOOKUP(A26,Customers!$A:$B,2,FALSE),"")</f>
        <v/>
      </c>
      <c r="D26" t="str">
        <f>IFERROR(VLOOKUP(C26,'Products Index'!$A:$B,2,FALSE),"")</f>
        <v/>
      </c>
      <c r="E26" s="12"/>
      <c r="F26" s="12"/>
      <c r="G26" s="15"/>
      <c r="H26" s="16">
        <f t="shared" si="0"/>
        <v>0</v>
      </c>
    </row>
    <row r="27" spans="2:8">
      <c r="B27" t="str">
        <f>IFERROR(VLOOKUP(A27,Customers!$A:$B,2,FALSE),"")</f>
        <v/>
      </c>
      <c r="D27" t="str">
        <f>IFERROR(VLOOKUP(C27,'Products Index'!$A:$B,2,FALSE),"")</f>
        <v/>
      </c>
      <c r="E27" s="12"/>
      <c r="F27" s="12"/>
      <c r="G27" s="15"/>
      <c r="H27" s="16">
        <f t="shared" si="0"/>
        <v>0</v>
      </c>
    </row>
    <row r="28" spans="2:8">
      <c r="B28" t="str">
        <f>IFERROR(VLOOKUP(A28,Customers!$A:$B,2,FALSE),"")</f>
        <v/>
      </c>
      <c r="D28" t="str">
        <f>IFERROR(VLOOKUP(C28,'Products Index'!$A:$B,2,FALSE),"")</f>
        <v/>
      </c>
      <c r="E28" s="12"/>
      <c r="F28" s="12"/>
      <c r="G28" s="15"/>
      <c r="H28" s="16">
        <f t="shared" si="0"/>
        <v>0</v>
      </c>
    </row>
    <row r="29" spans="2:8">
      <c r="B29" t="str">
        <f>IFERROR(VLOOKUP(A29,Customers!$A:$B,2,FALSE),"")</f>
        <v/>
      </c>
      <c r="D29" t="str">
        <f>IFERROR(VLOOKUP(C29,'Products Index'!$A:$B,2,FALSE),"")</f>
        <v/>
      </c>
      <c r="E29" s="12"/>
      <c r="F29" s="12"/>
      <c r="G29" s="15"/>
      <c r="H29" s="16">
        <f t="shared" si="0"/>
        <v>0</v>
      </c>
    </row>
    <row r="30" spans="2:8">
      <c r="B30" t="str">
        <f>IFERROR(VLOOKUP(A30,Customers!$A:$B,2,FALSE),"")</f>
        <v/>
      </c>
      <c r="D30" t="str">
        <f>IFERROR(VLOOKUP(C30,'Products Index'!$A:$B,2,FALSE),"")</f>
        <v/>
      </c>
      <c r="E30" s="12"/>
      <c r="F30" s="12"/>
      <c r="G30" s="15"/>
      <c r="H30" s="16">
        <f t="shared" si="0"/>
        <v>0</v>
      </c>
    </row>
    <row r="31" spans="2:8">
      <c r="B31" t="str">
        <f>IFERROR(VLOOKUP(A31,Customers!$A:$B,2,FALSE),"")</f>
        <v/>
      </c>
      <c r="D31" t="str">
        <f>IFERROR(VLOOKUP(C31,'Products Index'!$A:$B,2,FALSE),"")</f>
        <v/>
      </c>
      <c r="E31" s="12"/>
      <c r="F31" s="12"/>
      <c r="G31" s="15"/>
      <c r="H31" s="16">
        <f t="shared" si="0"/>
        <v>0</v>
      </c>
    </row>
    <row r="32" spans="2:8">
      <c r="B32" t="str">
        <f>IFERROR(VLOOKUP(A32,Customers!$A:$B,2,FALSE),"")</f>
        <v/>
      </c>
      <c r="D32" t="str">
        <f>IFERROR(VLOOKUP(C32,'Products Index'!$A:$B,2,FALSE),"")</f>
        <v/>
      </c>
      <c r="E32" s="12"/>
      <c r="F32" s="12"/>
      <c r="G32" s="15"/>
      <c r="H32" s="16">
        <f t="shared" si="0"/>
        <v>0</v>
      </c>
    </row>
    <row r="33" spans="2:8">
      <c r="B33" t="str">
        <f>IFERROR(VLOOKUP(A33,Customers!$A:$B,2,FALSE),"")</f>
        <v/>
      </c>
      <c r="D33" t="str">
        <f>IFERROR(VLOOKUP(C33,'Products Index'!$A:$B,2,FALSE),"")</f>
        <v/>
      </c>
      <c r="E33" s="12"/>
      <c r="F33" s="12"/>
      <c r="G33" s="15"/>
      <c r="H33" s="16">
        <f t="shared" si="0"/>
        <v>0</v>
      </c>
    </row>
    <row r="34" spans="2:8">
      <c r="B34" t="str">
        <f>IFERROR(VLOOKUP(A34,Customers!$A:$B,2,FALSE),"")</f>
        <v/>
      </c>
      <c r="D34" t="str">
        <f>IFERROR(VLOOKUP(C34,'Products Index'!$A:$B,2,FALSE),"")</f>
        <v/>
      </c>
      <c r="E34" s="12"/>
      <c r="F34" s="12"/>
      <c r="G34" s="15"/>
      <c r="H34" s="16">
        <f t="shared" si="0"/>
        <v>0</v>
      </c>
    </row>
    <row r="35" spans="2:8">
      <c r="B35" t="str">
        <f>IFERROR(VLOOKUP(A35,Customers!$A:$B,2,FALSE),"")</f>
        <v/>
      </c>
      <c r="D35" t="str">
        <f>IFERROR(VLOOKUP(C35,'Products Index'!$A:$B,2,FALSE),"")</f>
        <v/>
      </c>
      <c r="E35" s="12"/>
      <c r="F35" s="12"/>
      <c r="G35" s="15"/>
      <c r="H35" s="16">
        <f t="shared" si="0"/>
        <v>0</v>
      </c>
    </row>
    <row r="36" spans="2:8">
      <c r="B36" t="str">
        <f>IFERROR(VLOOKUP(A36,Customers!$A:$B,2,FALSE),"")</f>
        <v/>
      </c>
      <c r="D36" t="str">
        <f>IFERROR(VLOOKUP(C36,'Products Index'!$A:$B,2,FALSE),"")</f>
        <v/>
      </c>
      <c r="E36" s="12"/>
      <c r="F36" s="12"/>
      <c r="G36" s="15"/>
      <c r="H36" s="16">
        <f t="shared" si="0"/>
        <v>0</v>
      </c>
    </row>
    <row r="37" spans="2:8">
      <c r="B37" t="str">
        <f>IFERROR(VLOOKUP(A37,Customers!$A:$B,2,FALSE),"")</f>
        <v/>
      </c>
      <c r="D37" t="str">
        <f>IFERROR(VLOOKUP(C37,'Products Index'!$A:$B,2,FALSE),"")</f>
        <v/>
      </c>
      <c r="E37" s="12"/>
      <c r="F37" s="12"/>
      <c r="G37" s="15"/>
      <c r="H37" s="16">
        <f t="shared" si="0"/>
        <v>0</v>
      </c>
    </row>
    <row r="38" spans="2:8">
      <c r="B38" t="str">
        <f>IFERROR(VLOOKUP(A38,Customers!$A:$B,2,FALSE),"")</f>
        <v/>
      </c>
      <c r="D38" t="str">
        <f>IFERROR(VLOOKUP(C38,'Products Index'!$A:$B,2,FALSE),"")</f>
        <v/>
      </c>
      <c r="E38" s="12"/>
      <c r="F38" s="12"/>
      <c r="G38" s="15"/>
      <c r="H38" s="16">
        <f t="shared" si="0"/>
        <v>0</v>
      </c>
    </row>
    <row r="39" spans="2:8">
      <c r="B39" t="str">
        <f>IFERROR(VLOOKUP(A39,Customers!$A:$B,2,FALSE),"")</f>
        <v/>
      </c>
      <c r="D39" t="str">
        <f>IFERROR(VLOOKUP(C39,'Products Index'!$A:$B,2,FALSE),"")</f>
        <v/>
      </c>
      <c r="E39" s="12"/>
      <c r="F39" s="12"/>
      <c r="G39" s="15"/>
      <c r="H39" s="16">
        <f t="shared" si="0"/>
        <v>0</v>
      </c>
    </row>
    <row r="40" spans="2:8">
      <c r="B40" t="str">
        <f>IFERROR(VLOOKUP(A40,Customers!$A:$B,2,FALSE),"")</f>
        <v/>
      </c>
      <c r="D40" t="str">
        <f>IFERROR(VLOOKUP(C40,'Products Index'!$A:$B,2,FALSE),"")</f>
        <v/>
      </c>
      <c r="E40" s="12"/>
      <c r="F40" s="12"/>
      <c r="G40" s="15"/>
      <c r="H40" s="16">
        <f t="shared" si="0"/>
        <v>0</v>
      </c>
    </row>
    <row r="41" spans="2:8">
      <c r="B41" t="str">
        <f>IFERROR(VLOOKUP(A41,Customers!$A:$B,2,FALSE),"")</f>
        <v/>
      </c>
      <c r="D41" t="str">
        <f>IFERROR(VLOOKUP(C41,'Products Index'!$A:$B,2,FALSE),"")</f>
        <v/>
      </c>
      <c r="E41" s="12"/>
      <c r="F41" s="12"/>
      <c r="G41" s="15"/>
      <c r="H41" s="16">
        <f t="shared" si="0"/>
        <v>0</v>
      </c>
    </row>
    <row r="42" spans="2:8">
      <c r="B42" t="str">
        <f>IFERROR(VLOOKUP(A42,Customers!$A:$B,2,FALSE),"")</f>
        <v/>
      </c>
      <c r="D42" t="str">
        <f>IFERROR(VLOOKUP(C42,'Products Index'!$A:$B,2,FALSE),"")</f>
        <v/>
      </c>
      <c r="E42" s="12"/>
      <c r="F42" s="12"/>
      <c r="G42" s="15"/>
      <c r="H42" s="16">
        <f t="shared" si="0"/>
        <v>0</v>
      </c>
    </row>
    <row r="43" spans="2:8">
      <c r="B43" t="str">
        <f>IFERROR(VLOOKUP(A43,Customers!$A:$B,2,FALSE),"")</f>
        <v/>
      </c>
      <c r="D43" t="str">
        <f>IFERROR(VLOOKUP(C43,'Products Index'!$A:$B,2,FALSE),"")</f>
        <v/>
      </c>
      <c r="E43" s="12"/>
      <c r="F43" s="12"/>
      <c r="G43" s="15"/>
      <c r="H43" s="16">
        <f t="shared" si="0"/>
        <v>0</v>
      </c>
    </row>
    <row r="44" spans="2:8">
      <c r="B44" t="str">
        <f>IFERROR(VLOOKUP(A44,Customers!$A:$B,2,FALSE),"")</f>
        <v/>
      </c>
      <c r="D44" t="str">
        <f>IFERROR(VLOOKUP(C44,'Products Index'!$A:$B,2,FALSE),"")</f>
        <v/>
      </c>
      <c r="E44" s="12"/>
      <c r="F44" s="12"/>
      <c r="G44" s="15"/>
      <c r="H44" s="16">
        <f t="shared" si="0"/>
        <v>0</v>
      </c>
    </row>
    <row r="45" spans="2:8">
      <c r="B45" t="str">
        <f>IFERROR(VLOOKUP(A45,Customers!$A:$B,2,FALSE),"")</f>
        <v/>
      </c>
      <c r="D45" t="str">
        <f>IFERROR(VLOOKUP(C45,'Products Index'!$A:$B,2,FALSE),"")</f>
        <v/>
      </c>
      <c r="E45" s="12"/>
      <c r="F45" s="12"/>
      <c r="G45" s="15"/>
      <c r="H45" s="16">
        <f t="shared" si="0"/>
        <v>0</v>
      </c>
    </row>
    <row r="46" spans="2:8">
      <c r="B46" t="str">
        <f>IFERROR(VLOOKUP(A46,Customers!$A:$B,2,FALSE),"")</f>
        <v/>
      </c>
      <c r="D46" t="str">
        <f>IFERROR(VLOOKUP(C46,'Products Index'!$A:$B,2,FALSE),"")</f>
        <v/>
      </c>
      <c r="E46" s="12"/>
      <c r="F46" s="12"/>
      <c r="G46" s="15"/>
      <c r="H46" s="16">
        <f t="shared" si="0"/>
        <v>0</v>
      </c>
    </row>
    <row r="47" spans="2:8">
      <c r="B47" t="str">
        <f>IFERROR(VLOOKUP(A47,Customers!$A:$B,2,FALSE),"")</f>
        <v/>
      </c>
      <c r="D47" t="str">
        <f>IFERROR(VLOOKUP(C47,'Products Index'!$A:$B,2,FALSE),"")</f>
        <v/>
      </c>
      <c r="E47" s="12"/>
      <c r="F47" s="12"/>
      <c r="G47" s="15"/>
      <c r="H47" s="16">
        <f t="shared" si="0"/>
        <v>0</v>
      </c>
    </row>
    <row r="48" spans="2:8">
      <c r="B48" t="str">
        <f>IFERROR(VLOOKUP(A48,Customers!$A:$B,2,FALSE),"")</f>
        <v/>
      </c>
      <c r="D48" t="str">
        <f>IFERROR(VLOOKUP(C48,'Products Index'!$A:$B,2,FALSE),"")</f>
        <v/>
      </c>
      <c r="E48" s="12"/>
      <c r="F48" s="12"/>
      <c r="G48" s="15"/>
      <c r="H48" s="16">
        <f t="shared" si="0"/>
        <v>0</v>
      </c>
    </row>
    <row r="49" spans="2:8">
      <c r="B49" t="str">
        <f>IFERROR(VLOOKUP(A49,Customers!$A:$B,2,FALSE),"")</f>
        <v/>
      </c>
      <c r="D49" t="str">
        <f>IFERROR(VLOOKUP(C49,'Products Index'!$A:$B,2,FALSE),"")</f>
        <v/>
      </c>
      <c r="E49" s="12"/>
      <c r="F49" s="12"/>
      <c r="G49" s="15"/>
      <c r="H49" s="16">
        <f t="shared" si="0"/>
        <v>0</v>
      </c>
    </row>
    <row r="50" spans="2:8">
      <c r="B50" t="str">
        <f>IFERROR(VLOOKUP(A50,Customers!$A:$B,2,FALSE),"")</f>
        <v/>
      </c>
      <c r="D50" t="str">
        <f>IFERROR(VLOOKUP(C50,'Products Index'!$A:$B,2,FALSE),"")</f>
        <v/>
      </c>
      <c r="E50" s="12"/>
      <c r="F50" s="12"/>
      <c r="G50" s="15"/>
      <c r="H50" s="16">
        <f t="shared" si="0"/>
        <v>0</v>
      </c>
    </row>
    <row r="51" spans="2:8">
      <c r="B51" t="str">
        <f>IFERROR(VLOOKUP(A51,Customers!$A:$B,2,FALSE),"")</f>
        <v/>
      </c>
      <c r="D51" t="str">
        <f>IFERROR(VLOOKUP(C51,'Products Index'!$A:$B,2,FALSE),"")</f>
        <v/>
      </c>
      <c r="E51" s="12"/>
      <c r="F51" s="12"/>
      <c r="G51" s="15"/>
      <c r="H51" s="16">
        <f t="shared" si="0"/>
        <v>0</v>
      </c>
    </row>
    <row r="52" spans="2:8">
      <c r="B52" t="str">
        <f>IFERROR(VLOOKUP(A52,Customers!$A:$B,2,FALSE),"")</f>
        <v/>
      </c>
      <c r="D52" t="str">
        <f>IFERROR(VLOOKUP(C52,'Products Index'!$A:$B,2,FALSE),"")</f>
        <v/>
      </c>
      <c r="E52" s="12"/>
      <c r="F52" s="12"/>
      <c r="G52" s="15"/>
      <c r="H52" s="16">
        <f t="shared" si="0"/>
        <v>0</v>
      </c>
    </row>
    <row r="53" spans="2:8">
      <c r="B53" t="str">
        <f>IFERROR(VLOOKUP(A53,Customers!$A:$B,2,FALSE),"")</f>
        <v/>
      </c>
      <c r="D53" t="str">
        <f>IFERROR(VLOOKUP(C53,'Products Index'!$A:$B,2,FALSE),"")</f>
        <v/>
      </c>
      <c r="E53" s="12"/>
      <c r="F53" s="12"/>
      <c r="G53" s="15"/>
      <c r="H53" s="16">
        <f t="shared" si="0"/>
        <v>0</v>
      </c>
    </row>
    <row r="54" spans="2:8">
      <c r="B54" t="str">
        <f>IFERROR(VLOOKUP(A54,Customers!$A:$B,2,FALSE),"")</f>
        <v/>
      </c>
      <c r="D54" t="str">
        <f>IFERROR(VLOOKUP(C54,'Products Index'!$A:$B,2,FALSE),"")</f>
        <v/>
      </c>
      <c r="E54" s="12"/>
      <c r="F54" s="12"/>
      <c r="G54" s="15"/>
      <c r="H54" s="16">
        <f t="shared" si="0"/>
        <v>0</v>
      </c>
    </row>
    <row r="55" spans="2:8">
      <c r="B55" t="str">
        <f>IFERROR(VLOOKUP(A55,Customers!$A:$B,2,FALSE),"")</f>
        <v/>
      </c>
      <c r="D55" t="str">
        <f>IFERROR(VLOOKUP(C55,'Products Index'!$A:$B,2,FALSE),"")</f>
        <v/>
      </c>
      <c r="E55" s="12"/>
      <c r="F55" s="12"/>
      <c r="G55" s="15"/>
      <c r="H55" s="16">
        <f t="shared" si="0"/>
        <v>0</v>
      </c>
    </row>
    <row r="56" spans="2:8">
      <c r="B56" t="str">
        <f>IFERROR(VLOOKUP(A56,Customers!$A:$B,2,FALSE),"")</f>
        <v/>
      </c>
      <c r="D56" t="str">
        <f>IFERROR(VLOOKUP(C56,'Products Index'!$A:$B,2,FALSE),"")</f>
        <v/>
      </c>
      <c r="E56" s="12"/>
      <c r="F56" s="12"/>
      <c r="G56" s="15"/>
      <c r="H56" s="16">
        <f t="shared" si="0"/>
        <v>0</v>
      </c>
    </row>
    <row r="57" spans="2:8">
      <c r="B57" t="str">
        <f>IFERROR(VLOOKUP(A57,Customers!$A:$B,2,FALSE),"")</f>
        <v/>
      </c>
      <c r="D57" t="str">
        <f>IFERROR(VLOOKUP(C57,'Products Index'!$A:$B,2,FALSE),"")</f>
        <v/>
      </c>
      <c r="E57" s="12"/>
      <c r="F57" s="12"/>
      <c r="G57" s="15"/>
      <c r="H57" s="16">
        <f t="shared" si="0"/>
        <v>0</v>
      </c>
    </row>
    <row r="58" spans="2:8">
      <c r="B58" t="str">
        <f>IFERROR(VLOOKUP(A58,Customers!$A:$B,2,FALSE),"")</f>
        <v/>
      </c>
      <c r="D58" t="str">
        <f>IFERROR(VLOOKUP(C58,'Products Index'!$A:$B,2,FALSE),"")</f>
        <v/>
      </c>
      <c r="E58" s="12"/>
      <c r="F58" s="12"/>
      <c r="G58" s="15"/>
      <c r="H58" s="16">
        <f t="shared" si="0"/>
        <v>0</v>
      </c>
    </row>
    <row r="59" spans="2:8">
      <c r="B59" t="str">
        <f>IFERROR(VLOOKUP(A59,Customers!$A:$B,2,FALSE),"")</f>
        <v/>
      </c>
      <c r="D59" t="str">
        <f>IFERROR(VLOOKUP(C59,'Products Index'!$A:$B,2,FALSE),"")</f>
        <v/>
      </c>
      <c r="E59" s="12"/>
      <c r="F59" s="12"/>
      <c r="G59" s="15"/>
      <c r="H59" s="16">
        <f t="shared" si="0"/>
        <v>0</v>
      </c>
    </row>
    <row r="60" spans="2:8">
      <c r="B60" t="str">
        <f>IFERROR(VLOOKUP(A60,Customers!$A:$B,2,FALSE),"")</f>
        <v/>
      </c>
      <c r="D60" t="str">
        <f>IFERROR(VLOOKUP(C60,'Products Index'!$A:$B,2,FALSE),"")</f>
        <v/>
      </c>
      <c r="E60" s="12"/>
      <c r="F60" s="12"/>
      <c r="G60" s="15"/>
      <c r="H60" s="16">
        <f t="shared" si="0"/>
        <v>0</v>
      </c>
    </row>
    <row r="61" spans="2:8">
      <c r="B61" t="str">
        <f>IFERROR(VLOOKUP(A61,Customers!$A:$B,2,FALSE),"")</f>
        <v/>
      </c>
      <c r="D61" t="str">
        <f>IFERROR(VLOOKUP(C61,'Products Index'!$A:$B,2,FALSE),"")</f>
        <v/>
      </c>
      <c r="E61" s="12"/>
      <c r="F61" s="12"/>
      <c r="G61" s="15"/>
      <c r="H61" s="16">
        <f t="shared" si="0"/>
        <v>0</v>
      </c>
    </row>
    <row r="62" spans="2:8">
      <c r="B62" t="str">
        <f>IFERROR(VLOOKUP(A62,Customers!$A:$B,2,FALSE),"")</f>
        <v/>
      </c>
      <c r="D62" t="str">
        <f>IFERROR(VLOOKUP(C62,'Products Index'!$A:$B,2,FALSE),"")</f>
        <v/>
      </c>
      <c r="E62" s="12"/>
      <c r="F62" s="12"/>
      <c r="G62" s="15"/>
      <c r="H62" s="16">
        <f t="shared" si="0"/>
        <v>0</v>
      </c>
    </row>
    <row r="63" spans="2:8">
      <c r="B63" t="str">
        <f>IFERROR(VLOOKUP(A63,Customers!$A:$B,2,FALSE),"")</f>
        <v/>
      </c>
      <c r="D63" t="str">
        <f>IFERROR(VLOOKUP(C63,'Products Index'!$A:$B,2,FALSE),"")</f>
        <v/>
      </c>
      <c r="E63" s="12"/>
      <c r="F63" s="12"/>
      <c r="G63" s="15"/>
      <c r="H63" s="16">
        <f t="shared" si="0"/>
        <v>0</v>
      </c>
    </row>
    <row r="64" spans="2:8">
      <c r="B64" t="str">
        <f>IFERROR(VLOOKUP(A64,Customers!$A:$B,2,FALSE),"")</f>
        <v/>
      </c>
      <c r="D64" t="str">
        <f>IFERROR(VLOOKUP(C64,'Products Index'!$A:$B,2,FALSE),"")</f>
        <v/>
      </c>
      <c r="E64" s="12"/>
      <c r="F64" s="12"/>
      <c r="G64" s="15"/>
      <c r="H64" s="16">
        <f t="shared" si="0"/>
        <v>0</v>
      </c>
    </row>
    <row r="65" spans="2:8">
      <c r="B65" t="str">
        <f>IFERROR(VLOOKUP(A65,Customers!$A:$B,2,FALSE),"")</f>
        <v/>
      </c>
      <c r="D65" t="str">
        <f>IFERROR(VLOOKUP(C65,'Products Index'!$A:$B,2,FALSE),"")</f>
        <v/>
      </c>
      <c r="E65" s="12"/>
      <c r="F65" s="12"/>
      <c r="G65" s="15"/>
      <c r="H65" s="16">
        <f t="shared" si="0"/>
        <v>0</v>
      </c>
    </row>
    <row r="66" spans="2:8">
      <c r="B66" t="str">
        <f>IFERROR(VLOOKUP(A66,Customers!$A:$B,2,FALSE),"")</f>
        <v/>
      </c>
      <c r="D66" t="str">
        <f>IFERROR(VLOOKUP(C66,'Products Index'!$A:$B,2,FALSE),"")</f>
        <v/>
      </c>
      <c r="E66" s="12"/>
      <c r="F66" s="12"/>
      <c r="G66" s="15"/>
      <c r="H66" s="16">
        <f t="shared" ref="H66:H129" si="1">IFERROR(E66*(1-G66),0)</f>
        <v>0</v>
      </c>
    </row>
    <row r="67" spans="2:8">
      <c r="B67" t="str">
        <f>IFERROR(VLOOKUP(A67,Customers!$A:$B,2,FALSE),"")</f>
        <v/>
      </c>
      <c r="D67" t="str">
        <f>IFERROR(VLOOKUP(C67,'Products Index'!$A:$B,2,FALSE),"")</f>
        <v/>
      </c>
      <c r="E67" s="12"/>
      <c r="F67" s="12"/>
      <c r="G67" s="15"/>
      <c r="H67" s="16">
        <f t="shared" si="1"/>
        <v>0</v>
      </c>
    </row>
    <row r="68" spans="2:8">
      <c r="B68" t="str">
        <f>IFERROR(VLOOKUP(A68,Customers!$A:$B,2,FALSE),"")</f>
        <v/>
      </c>
      <c r="D68" t="str">
        <f>IFERROR(VLOOKUP(C68,'Products Index'!$A:$B,2,FALSE),"")</f>
        <v/>
      </c>
      <c r="E68" s="12"/>
      <c r="F68" s="12"/>
      <c r="G68" s="15"/>
      <c r="H68" s="16">
        <f t="shared" si="1"/>
        <v>0</v>
      </c>
    </row>
    <row r="69" spans="2:8">
      <c r="B69" t="str">
        <f>IFERROR(VLOOKUP(A69,Customers!$A:$B,2,FALSE),"")</f>
        <v/>
      </c>
      <c r="D69" t="str">
        <f>IFERROR(VLOOKUP(C69,'Products Index'!$A:$B,2,FALSE),"")</f>
        <v/>
      </c>
      <c r="E69" s="12"/>
      <c r="F69" s="12"/>
      <c r="G69" s="15"/>
      <c r="H69" s="16">
        <f t="shared" si="1"/>
        <v>0</v>
      </c>
    </row>
    <row r="70" spans="2:8">
      <c r="B70" t="str">
        <f>IFERROR(VLOOKUP(A70,Customers!$A:$B,2,FALSE),"")</f>
        <v/>
      </c>
      <c r="D70" t="str">
        <f>IFERROR(VLOOKUP(C70,'Products Index'!$A:$B,2,FALSE),"")</f>
        <v/>
      </c>
      <c r="E70" s="12"/>
      <c r="F70" s="12"/>
      <c r="G70" s="15"/>
      <c r="H70" s="16">
        <f t="shared" si="1"/>
        <v>0</v>
      </c>
    </row>
    <row r="71" spans="2:8">
      <c r="B71" t="str">
        <f>IFERROR(VLOOKUP(A71,Customers!$A:$B,2,FALSE),"")</f>
        <v/>
      </c>
      <c r="D71" t="str">
        <f>IFERROR(VLOOKUP(C71,'Products Index'!$A:$B,2,FALSE),"")</f>
        <v/>
      </c>
      <c r="E71" s="12"/>
      <c r="F71" s="12"/>
      <c r="G71" s="15"/>
      <c r="H71" s="16">
        <f t="shared" si="1"/>
        <v>0</v>
      </c>
    </row>
    <row r="72" spans="2:8">
      <c r="B72" t="str">
        <f>IFERROR(VLOOKUP(A72,Customers!$A:$B,2,FALSE),"")</f>
        <v/>
      </c>
      <c r="D72" t="str">
        <f>IFERROR(VLOOKUP(C72,'Products Index'!$A:$B,2,FALSE),"")</f>
        <v/>
      </c>
      <c r="E72" s="12"/>
      <c r="F72" s="12"/>
      <c r="G72" s="15"/>
      <c r="H72" s="16">
        <f t="shared" si="1"/>
        <v>0</v>
      </c>
    </row>
    <row r="73" spans="2:8">
      <c r="B73" t="str">
        <f>IFERROR(VLOOKUP(A73,Customers!$A:$B,2,FALSE),"")</f>
        <v/>
      </c>
      <c r="D73" t="str">
        <f>IFERROR(VLOOKUP(C73,'Products Index'!$A:$B,2,FALSE),"")</f>
        <v/>
      </c>
      <c r="E73" s="12"/>
      <c r="F73" s="12"/>
      <c r="G73" s="15"/>
      <c r="H73" s="16">
        <f t="shared" si="1"/>
        <v>0</v>
      </c>
    </row>
    <row r="74" spans="2:8">
      <c r="B74" t="str">
        <f>IFERROR(VLOOKUP(A74,Customers!$A:$B,2,FALSE),"")</f>
        <v/>
      </c>
      <c r="D74" t="str">
        <f>IFERROR(VLOOKUP(C74,'Products Index'!$A:$B,2,FALSE),"")</f>
        <v/>
      </c>
      <c r="E74" s="12"/>
      <c r="F74" s="12"/>
      <c r="G74" s="15"/>
      <c r="H74" s="16">
        <f t="shared" si="1"/>
        <v>0</v>
      </c>
    </row>
    <row r="75" spans="2:8">
      <c r="B75" t="str">
        <f>IFERROR(VLOOKUP(A75,Customers!$A:$B,2,FALSE),"")</f>
        <v/>
      </c>
      <c r="D75" t="str">
        <f>IFERROR(VLOOKUP(C75,'Products Index'!$A:$B,2,FALSE),"")</f>
        <v/>
      </c>
      <c r="E75" s="12"/>
      <c r="F75" s="12"/>
      <c r="G75" s="15"/>
      <c r="H75" s="16">
        <f t="shared" si="1"/>
        <v>0</v>
      </c>
    </row>
    <row r="76" spans="2:8">
      <c r="B76" t="str">
        <f>IFERROR(VLOOKUP(A76,Customers!$A:$B,2,FALSE),"")</f>
        <v/>
      </c>
      <c r="D76" t="str">
        <f>IFERROR(VLOOKUP(C76,'Products Index'!$A:$B,2,FALSE),"")</f>
        <v/>
      </c>
      <c r="E76" s="12"/>
      <c r="F76" s="12"/>
      <c r="G76" s="15"/>
      <c r="H76" s="16">
        <f t="shared" si="1"/>
        <v>0</v>
      </c>
    </row>
    <row r="77" spans="2:8">
      <c r="B77" t="str">
        <f>IFERROR(VLOOKUP(A77,Customers!$A:$B,2,FALSE),"")</f>
        <v/>
      </c>
      <c r="D77" t="str">
        <f>IFERROR(VLOOKUP(C77,'Products Index'!$A:$B,2,FALSE),"")</f>
        <v/>
      </c>
      <c r="E77" s="12"/>
      <c r="F77" s="12"/>
      <c r="G77" s="15"/>
      <c r="H77" s="16">
        <f t="shared" si="1"/>
        <v>0</v>
      </c>
    </row>
    <row r="78" spans="2:8">
      <c r="B78" t="str">
        <f>IFERROR(VLOOKUP(A78,Customers!$A:$B,2,FALSE),"")</f>
        <v/>
      </c>
      <c r="D78" t="str">
        <f>IFERROR(VLOOKUP(C78,'Products Index'!$A:$B,2,FALSE),"")</f>
        <v/>
      </c>
      <c r="E78" s="12"/>
      <c r="F78" s="12"/>
      <c r="G78" s="15"/>
      <c r="H78" s="16">
        <f t="shared" si="1"/>
        <v>0</v>
      </c>
    </row>
    <row r="79" spans="2:8">
      <c r="B79" t="str">
        <f>IFERROR(VLOOKUP(A79,Customers!$A:$B,2,FALSE),"")</f>
        <v/>
      </c>
      <c r="D79" t="str">
        <f>IFERROR(VLOOKUP(C79,'Products Index'!$A:$B,2,FALSE),"")</f>
        <v/>
      </c>
      <c r="E79" s="12"/>
      <c r="F79" s="12"/>
      <c r="G79" s="15"/>
      <c r="H79" s="16">
        <f t="shared" si="1"/>
        <v>0</v>
      </c>
    </row>
    <row r="80" spans="2:8">
      <c r="B80" t="str">
        <f>IFERROR(VLOOKUP(A80,Customers!$A:$B,2,FALSE),"")</f>
        <v/>
      </c>
      <c r="D80" t="str">
        <f>IFERROR(VLOOKUP(C80,'Products Index'!$A:$B,2,FALSE),"")</f>
        <v/>
      </c>
      <c r="E80" s="12"/>
      <c r="F80" s="12"/>
      <c r="G80" s="15"/>
      <c r="H80" s="16">
        <f t="shared" si="1"/>
        <v>0</v>
      </c>
    </row>
    <row r="81" spans="2:8">
      <c r="B81" t="str">
        <f>IFERROR(VLOOKUP(A81,Customers!$A:$B,2,FALSE),"")</f>
        <v/>
      </c>
      <c r="D81" t="str">
        <f>IFERROR(VLOOKUP(C81,'Products Index'!$A:$B,2,FALSE),"")</f>
        <v/>
      </c>
      <c r="E81" s="12"/>
      <c r="F81" s="12"/>
      <c r="G81" s="15"/>
      <c r="H81" s="16">
        <f t="shared" si="1"/>
        <v>0</v>
      </c>
    </row>
    <row r="82" spans="2:8">
      <c r="B82" t="str">
        <f>IFERROR(VLOOKUP(A82,Customers!$A:$B,2,FALSE),"")</f>
        <v/>
      </c>
      <c r="D82" t="str">
        <f>IFERROR(VLOOKUP(C82,'Products Index'!$A:$B,2,FALSE),"")</f>
        <v/>
      </c>
      <c r="E82" s="12"/>
      <c r="F82" s="12"/>
      <c r="G82" s="15"/>
      <c r="H82" s="16">
        <f t="shared" si="1"/>
        <v>0</v>
      </c>
    </row>
    <row r="83" spans="2:8">
      <c r="B83" t="str">
        <f>IFERROR(VLOOKUP(A83,Customers!$A:$B,2,FALSE),"")</f>
        <v/>
      </c>
      <c r="D83" t="str">
        <f>IFERROR(VLOOKUP(C83,'Products Index'!$A:$B,2,FALSE),"")</f>
        <v/>
      </c>
      <c r="E83" s="12"/>
      <c r="F83" s="12"/>
      <c r="G83" s="15"/>
      <c r="H83" s="16">
        <f t="shared" si="1"/>
        <v>0</v>
      </c>
    </row>
    <row r="84" spans="2:8">
      <c r="B84" t="str">
        <f>IFERROR(VLOOKUP(A84,Customers!$A:$B,2,FALSE),"")</f>
        <v/>
      </c>
      <c r="D84" t="str">
        <f>IFERROR(VLOOKUP(C84,'Products Index'!$A:$B,2,FALSE),"")</f>
        <v/>
      </c>
      <c r="E84" s="12"/>
      <c r="F84" s="12"/>
      <c r="G84" s="15"/>
      <c r="H84" s="16">
        <f t="shared" si="1"/>
        <v>0</v>
      </c>
    </row>
    <row r="85" spans="2:8">
      <c r="B85" t="str">
        <f>IFERROR(VLOOKUP(A85,Customers!$A:$B,2,FALSE),"")</f>
        <v/>
      </c>
      <c r="D85" t="str">
        <f>IFERROR(VLOOKUP(C85,'Products Index'!$A:$B,2,FALSE),"")</f>
        <v/>
      </c>
      <c r="E85" s="12"/>
      <c r="F85" s="12"/>
      <c r="G85" s="15"/>
      <c r="H85" s="16">
        <f t="shared" si="1"/>
        <v>0</v>
      </c>
    </row>
    <row r="86" spans="2:8">
      <c r="B86" t="str">
        <f>IFERROR(VLOOKUP(A86,Customers!$A:$B,2,FALSE),"")</f>
        <v/>
      </c>
      <c r="D86" t="str">
        <f>IFERROR(VLOOKUP(C86,'Products Index'!$A:$B,2,FALSE),"")</f>
        <v/>
      </c>
      <c r="E86" s="12"/>
      <c r="F86" s="12"/>
      <c r="G86" s="15"/>
      <c r="H86" s="16">
        <f t="shared" si="1"/>
        <v>0</v>
      </c>
    </row>
    <row r="87" spans="2:8">
      <c r="B87" t="str">
        <f>IFERROR(VLOOKUP(A87,Customers!$A:$B,2,FALSE),"")</f>
        <v/>
      </c>
      <c r="D87" t="str">
        <f>IFERROR(VLOOKUP(C87,'Products Index'!$A:$B,2,FALSE),"")</f>
        <v/>
      </c>
      <c r="E87" s="12"/>
      <c r="F87" s="12"/>
      <c r="G87" s="15"/>
      <c r="H87" s="16">
        <f t="shared" si="1"/>
        <v>0</v>
      </c>
    </row>
    <row r="88" spans="2:8">
      <c r="B88" t="str">
        <f>IFERROR(VLOOKUP(A88,Customers!$A:$B,2,FALSE),"")</f>
        <v/>
      </c>
      <c r="D88" t="str">
        <f>IFERROR(VLOOKUP(C88,'Products Index'!$A:$B,2,FALSE),"")</f>
        <v/>
      </c>
      <c r="E88" s="12"/>
      <c r="F88" s="12"/>
      <c r="G88" s="15"/>
      <c r="H88" s="16">
        <f t="shared" si="1"/>
        <v>0</v>
      </c>
    </row>
    <row r="89" spans="2:8">
      <c r="B89" t="str">
        <f>IFERROR(VLOOKUP(A89,Customers!$A:$B,2,FALSE),"")</f>
        <v/>
      </c>
      <c r="D89" t="str">
        <f>IFERROR(VLOOKUP(C89,'Products Index'!$A:$B,2,FALSE),"")</f>
        <v/>
      </c>
      <c r="E89" s="12"/>
      <c r="F89" s="12"/>
      <c r="G89" s="15"/>
      <c r="H89" s="16">
        <f t="shared" si="1"/>
        <v>0</v>
      </c>
    </row>
    <row r="90" spans="2:8">
      <c r="B90" t="str">
        <f>IFERROR(VLOOKUP(A90,Customers!$A:$B,2,FALSE),"")</f>
        <v/>
      </c>
      <c r="D90" t="str">
        <f>IFERROR(VLOOKUP(C90,'Products Index'!$A:$B,2,FALSE),"")</f>
        <v/>
      </c>
      <c r="E90" s="12"/>
      <c r="F90" s="12"/>
      <c r="G90" s="15"/>
      <c r="H90" s="16">
        <f t="shared" si="1"/>
        <v>0</v>
      </c>
    </row>
    <row r="91" spans="2:8">
      <c r="B91" t="str">
        <f>IFERROR(VLOOKUP(A91,Customers!$A:$B,2,FALSE),"")</f>
        <v/>
      </c>
      <c r="D91" t="str">
        <f>IFERROR(VLOOKUP(C91,'Products Index'!$A:$B,2,FALSE),"")</f>
        <v/>
      </c>
      <c r="E91" s="12"/>
      <c r="F91" s="12"/>
      <c r="G91" s="15"/>
      <c r="H91" s="16">
        <f t="shared" si="1"/>
        <v>0</v>
      </c>
    </row>
    <row r="92" spans="2:8">
      <c r="B92" t="str">
        <f>IFERROR(VLOOKUP(A92,Customers!$A:$B,2,FALSE),"")</f>
        <v/>
      </c>
      <c r="D92" t="str">
        <f>IFERROR(VLOOKUP(C92,'Products Index'!$A:$B,2,FALSE),"")</f>
        <v/>
      </c>
      <c r="E92" s="12"/>
      <c r="F92" s="12"/>
      <c r="G92" s="15"/>
      <c r="H92" s="16">
        <f t="shared" si="1"/>
        <v>0</v>
      </c>
    </row>
    <row r="93" spans="2:8">
      <c r="B93" t="str">
        <f>IFERROR(VLOOKUP(A93,Customers!$A:$B,2,FALSE),"")</f>
        <v/>
      </c>
      <c r="D93" t="str">
        <f>IFERROR(VLOOKUP(C93,'Products Index'!$A:$B,2,FALSE),"")</f>
        <v/>
      </c>
      <c r="E93" s="12"/>
      <c r="F93" s="12"/>
      <c r="G93" s="15"/>
      <c r="H93" s="16">
        <f t="shared" si="1"/>
        <v>0</v>
      </c>
    </row>
    <row r="94" spans="2:8">
      <c r="B94" t="str">
        <f>IFERROR(VLOOKUP(A94,Customers!$A:$B,2,FALSE),"")</f>
        <v/>
      </c>
      <c r="D94" t="str">
        <f>IFERROR(VLOOKUP(C94,'Products Index'!$A:$B,2,FALSE),"")</f>
        <v/>
      </c>
      <c r="E94" s="12"/>
      <c r="F94" s="12"/>
      <c r="G94" s="15"/>
      <c r="H94" s="16">
        <f t="shared" si="1"/>
        <v>0</v>
      </c>
    </row>
    <row r="95" spans="2:8">
      <c r="B95" t="str">
        <f>IFERROR(VLOOKUP(A95,Customers!$A:$B,2,FALSE),"")</f>
        <v/>
      </c>
      <c r="D95" t="str">
        <f>IFERROR(VLOOKUP(C95,'Products Index'!$A:$B,2,FALSE),"")</f>
        <v/>
      </c>
      <c r="E95" s="12"/>
      <c r="F95" s="12"/>
      <c r="G95" s="15"/>
      <c r="H95" s="16">
        <f t="shared" si="1"/>
        <v>0</v>
      </c>
    </row>
    <row r="96" spans="2:8">
      <c r="B96" t="str">
        <f>IFERROR(VLOOKUP(A96,Customers!$A:$B,2,FALSE),"")</f>
        <v/>
      </c>
      <c r="D96" t="str">
        <f>IFERROR(VLOOKUP(C96,'Products Index'!$A:$B,2,FALSE),"")</f>
        <v/>
      </c>
      <c r="E96" s="12"/>
      <c r="F96" s="12"/>
      <c r="G96" s="15"/>
      <c r="H96" s="16">
        <f t="shared" si="1"/>
        <v>0</v>
      </c>
    </row>
    <row r="97" spans="2:8">
      <c r="B97" t="str">
        <f>IFERROR(VLOOKUP(A97,Customers!$A:$B,2,FALSE),"")</f>
        <v/>
      </c>
      <c r="D97" t="str">
        <f>IFERROR(VLOOKUP(C97,'Products Index'!$A:$B,2,FALSE),"")</f>
        <v/>
      </c>
      <c r="E97" s="12"/>
      <c r="F97" s="12"/>
      <c r="G97" s="15"/>
      <c r="H97" s="16">
        <f t="shared" si="1"/>
        <v>0</v>
      </c>
    </row>
    <row r="98" spans="2:8">
      <c r="B98" t="str">
        <f>IFERROR(VLOOKUP(A98,Customers!$A:$B,2,FALSE),"")</f>
        <v/>
      </c>
      <c r="D98" t="str">
        <f>IFERROR(VLOOKUP(C98,'Products Index'!$A:$B,2,FALSE),"")</f>
        <v/>
      </c>
      <c r="E98" s="12"/>
      <c r="F98" s="12"/>
      <c r="G98" s="15"/>
      <c r="H98" s="16">
        <f t="shared" si="1"/>
        <v>0</v>
      </c>
    </row>
    <row r="99" spans="2:8">
      <c r="B99" t="str">
        <f>IFERROR(VLOOKUP(A99,Customers!$A:$B,2,FALSE),"")</f>
        <v/>
      </c>
      <c r="D99" t="str">
        <f>IFERROR(VLOOKUP(C99,'Products Index'!$A:$B,2,FALSE),"")</f>
        <v/>
      </c>
      <c r="E99" s="12"/>
      <c r="F99" s="12"/>
      <c r="G99" s="15"/>
      <c r="H99" s="16">
        <f t="shared" si="1"/>
        <v>0</v>
      </c>
    </row>
    <row r="100" spans="2:8">
      <c r="B100" t="str">
        <f>IFERROR(VLOOKUP(A100,Customers!$A:$B,2,FALSE),"")</f>
        <v/>
      </c>
      <c r="D100" t="str">
        <f>IFERROR(VLOOKUP(C100,'Products Index'!$A:$B,2,FALSE),"")</f>
        <v/>
      </c>
      <c r="E100" s="12"/>
      <c r="F100" s="12"/>
      <c r="G100" s="15"/>
      <c r="H100" s="16">
        <f t="shared" si="1"/>
        <v>0</v>
      </c>
    </row>
    <row r="101" spans="2:8">
      <c r="B101" t="str">
        <f>IFERROR(VLOOKUP(A101,Customers!$A:$B,2,FALSE),"")</f>
        <v/>
      </c>
      <c r="D101" t="str">
        <f>IFERROR(VLOOKUP(C101,'Products Index'!$A:$B,2,FALSE),"")</f>
        <v/>
      </c>
      <c r="E101" s="12"/>
      <c r="F101" s="12"/>
      <c r="G101" s="15"/>
      <c r="H101" s="16">
        <f t="shared" si="1"/>
        <v>0</v>
      </c>
    </row>
    <row r="102" spans="2:8">
      <c r="B102" t="str">
        <f>IFERROR(VLOOKUP(A102,Customers!$A:$B,2,FALSE),"")</f>
        <v/>
      </c>
      <c r="D102" t="str">
        <f>IFERROR(VLOOKUP(C102,'Products Index'!$A:$B,2,FALSE),"")</f>
        <v/>
      </c>
      <c r="E102" s="12"/>
      <c r="F102" s="12"/>
      <c r="G102" s="15"/>
      <c r="H102" s="16">
        <f t="shared" si="1"/>
        <v>0</v>
      </c>
    </row>
    <row r="103" spans="2:8">
      <c r="B103" t="str">
        <f>IFERROR(VLOOKUP(A103,Customers!$A:$B,2,FALSE),"")</f>
        <v/>
      </c>
      <c r="D103" t="str">
        <f>IFERROR(VLOOKUP(C103,'Products Index'!$A:$B,2,FALSE),"")</f>
        <v/>
      </c>
      <c r="E103" s="12"/>
      <c r="F103" s="12"/>
      <c r="G103" s="15"/>
      <c r="H103" s="16">
        <f t="shared" si="1"/>
        <v>0</v>
      </c>
    </row>
    <row r="104" spans="2:8">
      <c r="B104" t="str">
        <f>IFERROR(VLOOKUP(A104,Customers!$A:$B,2,FALSE),"")</f>
        <v/>
      </c>
      <c r="D104" t="str">
        <f>IFERROR(VLOOKUP(C104,'Products Index'!$A:$B,2,FALSE),"")</f>
        <v/>
      </c>
      <c r="E104" s="12"/>
      <c r="F104" s="12"/>
      <c r="G104" s="15"/>
      <c r="H104" s="16">
        <f t="shared" si="1"/>
        <v>0</v>
      </c>
    </row>
    <row r="105" spans="2:8">
      <c r="B105" t="str">
        <f>IFERROR(VLOOKUP(A105,Customers!$A:$B,2,FALSE),"")</f>
        <v/>
      </c>
      <c r="D105" t="str">
        <f>IFERROR(VLOOKUP(C105,'Products Index'!$A:$B,2,FALSE),"")</f>
        <v/>
      </c>
      <c r="E105" s="12"/>
      <c r="F105" s="12"/>
      <c r="G105" s="15"/>
      <c r="H105" s="16">
        <f t="shared" si="1"/>
        <v>0</v>
      </c>
    </row>
    <row r="106" spans="2:8">
      <c r="B106" t="str">
        <f>IFERROR(VLOOKUP(A106,Customers!$A:$B,2,FALSE),"")</f>
        <v/>
      </c>
      <c r="D106" t="str">
        <f>IFERROR(VLOOKUP(C106,'Products Index'!$A:$B,2,FALSE),"")</f>
        <v/>
      </c>
      <c r="E106" s="12"/>
      <c r="F106" s="12"/>
      <c r="G106" s="15"/>
      <c r="H106" s="16">
        <f t="shared" si="1"/>
        <v>0</v>
      </c>
    </row>
    <row r="107" spans="2:8">
      <c r="B107" t="str">
        <f>IFERROR(VLOOKUP(A107,Customers!$A:$B,2,FALSE),"")</f>
        <v/>
      </c>
      <c r="D107" t="str">
        <f>IFERROR(VLOOKUP(C107,'Products Index'!$A:$B,2,FALSE),"")</f>
        <v/>
      </c>
      <c r="E107" s="12"/>
      <c r="F107" s="12"/>
      <c r="G107" s="15"/>
      <c r="H107" s="16">
        <f t="shared" si="1"/>
        <v>0</v>
      </c>
    </row>
    <row r="108" spans="2:8">
      <c r="B108" t="str">
        <f>IFERROR(VLOOKUP(A108,Customers!$A:$B,2,FALSE),"")</f>
        <v/>
      </c>
      <c r="D108" t="str">
        <f>IFERROR(VLOOKUP(C108,'Products Index'!$A:$B,2,FALSE),"")</f>
        <v/>
      </c>
      <c r="E108" s="12"/>
      <c r="F108" s="12"/>
      <c r="G108" s="15"/>
      <c r="H108" s="16">
        <f t="shared" si="1"/>
        <v>0</v>
      </c>
    </row>
    <row r="109" spans="2:8">
      <c r="B109" t="str">
        <f>IFERROR(VLOOKUP(A109,Customers!$A:$B,2,FALSE),"")</f>
        <v/>
      </c>
      <c r="D109" t="str">
        <f>IFERROR(VLOOKUP(C109,'Products Index'!$A:$B,2,FALSE),"")</f>
        <v/>
      </c>
      <c r="E109" s="12"/>
      <c r="F109" s="12"/>
      <c r="G109" s="15"/>
      <c r="H109" s="16">
        <f t="shared" si="1"/>
        <v>0</v>
      </c>
    </row>
    <row r="110" spans="2:8">
      <c r="B110" t="str">
        <f>IFERROR(VLOOKUP(A110,Customers!$A:$B,2,FALSE),"")</f>
        <v/>
      </c>
      <c r="D110" t="str">
        <f>IFERROR(VLOOKUP(C110,'Products Index'!$A:$B,2,FALSE),"")</f>
        <v/>
      </c>
      <c r="E110" s="12"/>
      <c r="F110" s="12"/>
      <c r="G110" s="15"/>
      <c r="H110" s="16">
        <f t="shared" si="1"/>
        <v>0</v>
      </c>
    </row>
    <row r="111" spans="2:8">
      <c r="B111" t="str">
        <f>IFERROR(VLOOKUP(A111,Customers!$A:$B,2,FALSE),"")</f>
        <v/>
      </c>
      <c r="D111" t="str">
        <f>IFERROR(VLOOKUP(C111,'Products Index'!$A:$B,2,FALSE),"")</f>
        <v/>
      </c>
      <c r="E111" s="12"/>
      <c r="F111" s="12"/>
      <c r="G111" s="15"/>
      <c r="H111" s="16">
        <f t="shared" si="1"/>
        <v>0</v>
      </c>
    </row>
    <row r="112" spans="2:8">
      <c r="B112" t="str">
        <f>IFERROR(VLOOKUP(A112,Customers!$A:$B,2,FALSE),"")</f>
        <v/>
      </c>
      <c r="D112" t="str">
        <f>IFERROR(VLOOKUP(C112,'Products Index'!$A:$B,2,FALSE),"")</f>
        <v/>
      </c>
      <c r="E112" s="12"/>
      <c r="F112" s="12"/>
      <c r="G112" s="15"/>
      <c r="H112" s="16">
        <f t="shared" si="1"/>
        <v>0</v>
      </c>
    </row>
    <row r="113" spans="2:8">
      <c r="B113" t="str">
        <f>IFERROR(VLOOKUP(A113,Customers!$A:$B,2,FALSE),"")</f>
        <v/>
      </c>
      <c r="D113" t="str">
        <f>IFERROR(VLOOKUP(C113,'Products Index'!$A:$B,2,FALSE),"")</f>
        <v/>
      </c>
      <c r="E113" s="12"/>
      <c r="F113" s="12"/>
      <c r="G113" s="15"/>
      <c r="H113" s="16">
        <f t="shared" si="1"/>
        <v>0</v>
      </c>
    </row>
    <row r="114" spans="2:8">
      <c r="B114" t="str">
        <f>IFERROR(VLOOKUP(A114,Customers!$A:$B,2,FALSE),"")</f>
        <v/>
      </c>
      <c r="D114" t="str">
        <f>IFERROR(VLOOKUP(C114,'Products Index'!$A:$B,2,FALSE),"")</f>
        <v/>
      </c>
      <c r="E114" s="12"/>
      <c r="F114" s="12"/>
      <c r="G114" s="15"/>
      <c r="H114" s="16">
        <f t="shared" si="1"/>
        <v>0</v>
      </c>
    </row>
    <row r="115" spans="2:8">
      <c r="B115" t="str">
        <f>IFERROR(VLOOKUP(A115,Customers!$A:$B,2,FALSE),"")</f>
        <v/>
      </c>
      <c r="D115" t="str">
        <f>IFERROR(VLOOKUP(C115,'Products Index'!$A:$B,2,FALSE),"")</f>
        <v/>
      </c>
      <c r="E115" s="12"/>
      <c r="F115" s="12"/>
      <c r="G115" s="15"/>
      <c r="H115" s="16">
        <f t="shared" si="1"/>
        <v>0</v>
      </c>
    </row>
    <row r="116" spans="2:8">
      <c r="B116" t="str">
        <f>IFERROR(VLOOKUP(A116,Customers!$A:$B,2,FALSE),"")</f>
        <v/>
      </c>
      <c r="D116" t="str">
        <f>IFERROR(VLOOKUP(C116,'Products Index'!$A:$B,2,FALSE),"")</f>
        <v/>
      </c>
      <c r="E116" s="12"/>
      <c r="F116" s="12"/>
      <c r="G116" s="15"/>
      <c r="H116" s="16">
        <f t="shared" si="1"/>
        <v>0</v>
      </c>
    </row>
    <row r="117" spans="2:8">
      <c r="B117" t="str">
        <f>IFERROR(VLOOKUP(A117,Customers!$A:$B,2,FALSE),"")</f>
        <v/>
      </c>
      <c r="D117" t="str">
        <f>IFERROR(VLOOKUP(C117,'Products Index'!$A:$B,2,FALSE),"")</f>
        <v/>
      </c>
      <c r="E117" s="12"/>
      <c r="F117" s="12"/>
      <c r="G117" s="15"/>
      <c r="H117" s="16">
        <f t="shared" si="1"/>
        <v>0</v>
      </c>
    </row>
    <row r="118" spans="2:8">
      <c r="B118" t="str">
        <f>IFERROR(VLOOKUP(A118,Customers!$A:$B,2,FALSE),"")</f>
        <v/>
      </c>
      <c r="D118" t="str">
        <f>IFERROR(VLOOKUP(C118,'Products Index'!$A:$B,2,FALSE),"")</f>
        <v/>
      </c>
      <c r="E118" s="12"/>
      <c r="F118" s="12"/>
      <c r="G118" s="15"/>
      <c r="H118" s="16">
        <f t="shared" si="1"/>
        <v>0</v>
      </c>
    </row>
    <row r="119" spans="2:8">
      <c r="B119" t="str">
        <f>IFERROR(VLOOKUP(A119,Customers!$A:$B,2,FALSE),"")</f>
        <v/>
      </c>
      <c r="D119" t="str">
        <f>IFERROR(VLOOKUP(C119,'Products Index'!$A:$B,2,FALSE),"")</f>
        <v/>
      </c>
      <c r="E119" s="12"/>
      <c r="F119" s="12"/>
      <c r="G119" s="15"/>
      <c r="H119" s="16">
        <f t="shared" si="1"/>
        <v>0</v>
      </c>
    </row>
    <row r="120" spans="2:8">
      <c r="B120" t="str">
        <f>IFERROR(VLOOKUP(A120,Customers!$A:$B,2,FALSE),"")</f>
        <v/>
      </c>
      <c r="D120" t="str">
        <f>IFERROR(VLOOKUP(C120,'Products Index'!$A:$B,2,FALSE),"")</f>
        <v/>
      </c>
      <c r="E120" s="12"/>
      <c r="F120" s="12"/>
      <c r="G120" s="15"/>
      <c r="H120" s="16">
        <f t="shared" si="1"/>
        <v>0</v>
      </c>
    </row>
    <row r="121" spans="2:8">
      <c r="B121" t="str">
        <f>IFERROR(VLOOKUP(A121,Customers!$A:$B,2,FALSE),"")</f>
        <v/>
      </c>
      <c r="D121" t="str">
        <f>IFERROR(VLOOKUP(C121,'Products Index'!$A:$B,2,FALSE),"")</f>
        <v/>
      </c>
      <c r="E121" s="12"/>
      <c r="F121" s="12"/>
      <c r="G121" s="15"/>
      <c r="H121" s="16">
        <f t="shared" si="1"/>
        <v>0</v>
      </c>
    </row>
    <row r="122" spans="2:8">
      <c r="B122" t="str">
        <f>IFERROR(VLOOKUP(A122,Customers!$A:$B,2,FALSE),"")</f>
        <v/>
      </c>
      <c r="D122" t="str">
        <f>IFERROR(VLOOKUP(C122,'Products Index'!$A:$B,2,FALSE),"")</f>
        <v/>
      </c>
      <c r="E122" s="12"/>
      <c r="F122" s="12"/>
      <c r="G122" s="15"/>
      <c r="H122" s="16">
        <f t="shared" si="1"/>
        <v>0</v>
      </c>
    </row>
    <row r="123" spans="2:8">
      <c r="B123" t="str">
        <f>IFERROR(VLOOKUP(A123,Customers!$A:$B,2,FALSE),"")</f>
        <v/>
      </c>
      <c r="D123" t="str">
        <f>IFERROR(VLOOKUP(C123,'Products Index'!$A:$B,2,FALSE),"")</f>
        <v/>
      </c>
      <c r="E123" s="12"/>
      <c r="F123" s="12"/>
      <c r="G123" s="15"/>
      <c r="H123" s="16">
        <f t="shared" si="1"/>
        <v>0</v>
      </c>
    </row>
    <row r="124" spans="2:8">
      <c r="B124" t="str">
        <f>IFERROR(VLOOKUP(A124,Customers!$A:$B,2,FALSE),"")</f>
        <v/>
      </c>
      <c r="D124" t="str">
        <f>IFERROR(VLOOKUP(C124,'Products Index'!$A:$B,2,FALSE),"")</f>
        <v/>
      </c>
      <c r="E124" s="12"/>
      <c r="F124" s="12"/>
      <c r="G124" s="15"/>
      <c r="H124" s="16">
        <f t="shared" si="1"/>
        <v>0</v>
      </c>
    </row>
    <row r="125" spans="2:8">
      <c r="B125" t="str">
        <f>IFERROR(VLOOKUP(A125,Customers!$A:$B,2,FALSE),"")</f>
        <v/>
      </c>
      <c r="D125" t="str">
        <f>IFERROR(VLOOKUP(C125,'Products Index'!$A:$B,2,FALSE),"")</f>
        <v/>
      </c>
      <c r="E125" s="12"/>
      <c r="F125" s="12"/>
      <c r="G125" s="15"/>
      <c r="H125" s="16">
        <f t="shared" si="1"/>
        <v>0</v>
      </c>
    </row>
    <row r="126" spans="2:8">
      <c r="B126" t="str">
        <f>IFERROR(VLOOKUP(A126,Customers!$A:$B,2,FALSE),"")</f>
        <v/>
      </c>
      <c r="D126" t="str">
        <f>IFERROR(VLOOKUP(C126,'Products Index'!$A:$B,2,FALSE),"")</f>
        <v/>
      </c>
      <c r="E126" s="12"/>
      <c r="F126" s="12"/>
      <c r="G126" s="15"/>
      <c r="H126" s="16">
        <f t="shared" si="1"/>
        <v>0</v>
      </c>
    </row>
    <row r="127" spans="2:8">
      <c r="B127" t="str">
        <f>IFERROR(VLOOKUP(A127,Customers!$A:$B,2,FALSE),"")</f>
        <v/>
      </c>
      <c r="D127" t="str">
        <f>IFERROR(VLOOKUP(C127,'Products Index'!$A:$B,2,FALSE),"")</f>
        <v/>
      </c>
      <c r="E127" s="12"/>
      <c r="F127" s="12"/>
      <c r="G127" s="15"/>
      <c r="H127" s="16">
        <f t="shared" si="1"/>
        <v>0</v>
      </c>
    </row>
    <row r="128" spans="2:8">
      <c r="B128" t="str">
        <f>IFERROR(VLOOKUP(A128,Customers!$A:$B,2,FALSE),"")</f>
        <v/>
      </c>
      <c r="D128" t="str">
        <f>IFERROR(VLOOKUP(C128,'Products Index'!$A:$B,2,FALSE),"")</f>
        <v/>
      </c>
      <c r="E128" s="12"/>
      <c r="F128" s="12"/>
      <c r="G128" s="15"/>
      <c r="H128" s="16">
        <f t="shared" si="1"/>
        <v>0</v>
      </c>
    </row>
    <row r="129" spans="2:8">
      <c r="B129" t="str">
        <f>IFERROR(VLOOKUP(A129,Customers!$A:$B,2,FALSE),"")</f>
        <v/>
      </c>
      <c r="D129" t="str">
        <f>IFERROR(VLOOKUP(C129,'Products Index'!$A:$B,2,FALSE),"")</f>
        <v/>
      </c>
      <c r="E129" s="12"/>
      <c r="F129" s="12"/>
      <c r="G129" s="15"/>
      <c r="H129" s="16">
        <f t="shared" si="1"/>
        <v>0</v>
      </c>
    </row>
    <row r="130" spans="2:8">
      <c r="B130" t="str">
        <f>IFERROR(VLOOKUP(A130,Customers!$A:$B,2,FALSE),"")</f>
        <v/>
      </c>
      <c r="D130" t="str">
        <f>IFERROR(VLOOKUP(C130,'Products Index'!$A:$B,2,FALSE),"")</f>
        <v/>
      </c>
      <c r="E130" s="12"/>
      <c r="F130" s="12"/>
      <c r="G130" s="15"/>
      <c r="H130" s="16">
        <f t="shared" ref="H130:H193" si="2">IFERROR(E130*(1-G130),0)</f>
        <v>0</v>
      </c>
    </row>
    <row r="131" spans="2:8">
      <c r="B131" t="str">
        <f>IFERROR(VLOOKUP(A131,Customers!$A:$B,2,FALSE),"")</f>
        <v/>
      </c>
      <c r="D131" t="str">
        <f>IFERROR(VLOOKUP(C131,'Products Index'!$A:$B,2,FALSE),"")</f>
        <v/>
      </c>
      <c r="E131" s="12"/>
      <c r="F131" s="12"/>
      <c r="G131" s="15"/>
      <c r="H131" s="16">
        <f t="shared" si="2"/>
        <v>0</v>
      </c>
    </row>
    <row r="132" spans="2:8">
      <c r="B132" t="str">
        <f>IFERROR(VLOOKUP(A132,Customers!$A:$B,2,FALSE),"")</f>
        <v/>
      </c>
      <c r="D132" t="str">
        <f>IFERROR(VLOOKUP(C132,'Products Index'!$A:$B,2,FALSE),"")</f>
        <v/>
      </c>
      <c r="E132" s="12"/>
      <c r="F132" s="12"/>
      <c r="G132" s="15"/>
      <c r="H132" s="16">
        <f t="shared" si="2"/>
        <v>0</v>
      </c>
    </row>
    <row r="133" spans="2:8">
      <c r="B133" t="str">
        <f>IFERROR(VLOOKUP(A133,Customers!$A:$B,2,FALSE),"")</f>
        <v/>
      </c>
      <c r="D133" t="str">
        <f>IFERROR(VLOOKUP(C133,'Products Index'!$A:$B,2,FALSE),"")</f>
        <v/>
      </c>
      <c r="E133" s="12"/>
      <c r="F133" s="12"/>
      <c r="G133" s="15"/>
      <c r="H133" s="16">
        <f t="shared" si="2"/>
        <v>0</v>
      </c>
    </row>
    <row r="134" spans="2:8">
      <c r="B134" t="str">
        <f>IFERROR(VLOOKUP(A134,Customers!$A:$B,2,FALSE),"")</f>
        <v/>
      </c>
      <c r="D134" t="str">
        <f>IFERROR(VLOOKUP(C134,'Products Index'!$A:$B,2,FALSE),"")</f>
        <v/>
      </c>
      <c r="E134" s="12"/>
      <c r="F134" s="12"/>
      <c r="G134" s="15"/>
      <c r="H134" s="16">
        <f t="shared" si="2"/>
        <v>0</v>
      </c>
    </row>
    <row r="135" spans="2:8">
      <c r="B135" t="str">
        <f>IFERROR(VLOOKUP(A135,Customers!$A:$B,2,FALSE),"")</f>
        <v/>
      </c>
      <c r="D135" t="str">
        <f>IFERROR(VLOOKUP(C135,'Products Index'!$A:$B,2,FALSE),"")</f>
        <v/>
      </c>
      <c r="E135" s="12"/>
      <c r="F135" s="12"/>
      <c r="G135" s="15"/>
      <c r="H135" s="16">
        <f t="shared" si="2"/>
        <v>0</v>
      </c>
    </row>
    <row r="136" spans="2:8">
      <c r="B136" t="str">
        <f>IFERROR(VLOOKUP(A136,Customers!$A:$B,2,FALSE),"")</f>
        <v/>
      </c>
      <c r="D136" t="str">
        <f>IFERROR(VLOOKUP(C136,'Products Index'!$A:$B,2,FALSE),"")</f>
        <v/>
      </c>
      <c r="E136" s="12"/>
      <c r="F136" s="12"/>
      <c r="G136" s="15"/>
      <c r="H136" s="16">
        <f t="shared" si="2"/>
        <v>0</v>
      </c>
    </row>
    <row r="137" spans="2:8">
      <c r="B137" t="str">
        <f>IFERROR(VLOOKUP(A137,Customers!$A:$B,2,FALSE),"")</f>
        <v/>
      </c>
      <c r="D137" t="str">
        <f>IFERROR(VLOOKUP(C137,'Products Index'!$A:$B,2,FALSE),"")</f>
        <v/>
      </c>
      <c r="E137" s="12"/>
      <c r="F137" s="12"/>
      <c r="G137" s="15"/>
      <c r="H137" s="16">
        <f t="shared" si="2"/>
        <v>0</v>
      </c>
    </row>
    <row r="138" spans="2:8">
      <c r="B138" t="str">
        <f>IFERROR(VLOOKUP(A138,Customers!$A:$B,2,FALSE),"")</f>
        <v/>
      </c>
      <c r="D138" t="str">
        <f>IFERROR(VLOOKUP(C138,'Products Index'!$A:$B,2,FALSE),"")</f>
        <v/>
      </c>
      <c r="E138" s="12"/>
      <c r="F138" s="12"/>
      <c r="G138" s="15"/>
      <c r="H138" s="16">
        <f t="shared" si="2"/>
        <v>0</v>
      </c>
    </row>
    <row r="139" spans="2:8">
      <c r="B139" t="str">
        <f>IFERROR(VLOOKUP(A139,Customers!$A:$B,2,FALSE),"")</f>
        <v/>
      </c>
      <c r="D139" t="str">
        <f>IFERROR(VLOOKUP(C139,'Products Index'!$A:$B,2,FALSE),"")</f>
        <v/>
      </c>
      <c r="E139" s="12"/>
      <c r="F139" s="12"/>
      <c r="G139" s="15"/>
      <c r="H139" s="16">
        <f t="shared" si="2"/>
        <v>0</v>
      </c>
    </row>
    <row r="140" spans="2:8">
      <c r="B140" t="str">
        <f>IFERROR(VLOOKUP(A140,Customers!$A:$B,2,FALSE),"")</f>
        <v/>
      </c>
      <c r="D140" t="str">
        <f>IFERROR(VLOOKUP(C140,'Products Index'!$A:$B,2,FALSE),"")</f>
        <v/>
      </c>
      <c r="E140" s="12"/>
      <c r="F140" s="12"/>
      <c r="G140" s="15"/>
      <c r="H140" s="16">
        <f t="shared" si="2"/>
        <v>0</v>
      </c>
    </row>
    <row r="141" spans="2:8">
      <c r="B141" t="str">
        <f>IFERROR(VLOOKUP(A141,Customers!$A:$B,2,FALSE),"")</f>
        <v/>
      </c>
      <c r="D141" t="str">
        <f>IFERROR(VLOOKUP(C141,'Products Index'!$A:$B,2,FALSE),"")</f>
        <v/>
      </c>
      <c r="E141" s="12"/>
      <c r="F141" s="12"/>
      <c r="G141" s="15"/>
      <c r="H141" s="16">
        <f t="shared" si="2"/>
        <v>0</v>
      </c>
    </row>
    <row r="142" spans="2:8">
      <c r="B142" t="str">
        <f>IFERROR(VLOOKUP(A142,Customers!$A:$B,2,FALSE),"")</f>
        <v/>
      </c>
      <c r="D142" t="str">
        <f>IFERROR(VLOOKUP(C142,'Products Index'!$A:$B,2,FALSE),"")</f>
        <v/>
      </c>
      <c r="E142" s="12"/>
      <c r="F142" s="12"/>
      <c r="G142" s="15"/>
      <c r="H142" s="16">
        <f t="shared" si="2"/>
        <v>0</v>
      </c>
    </row>
    <row r="143" spans="2:8">
      <c r="B143" t="str">
        <f>IFERROR(VLOOKUP(A143,Customers!$A:$B,2,FALSE),"")</f>
        <v/>
      </c>
      <c r="D143" t="str">
        <f>IFERROR(VLOOKUP(C143,'Products Index'!$A:$B,2,FALSE),"")</f>
        <v/>
      </c>
      <c r="E143" s="12"/>
      <c r="F143" s="12"/>
      <c r="G143" s="15"/>
      <c r="H143" s="16">
        <f t="shared" si="2"/>
        <v>0</v>
      </c>
    </row>
    <row r="144" spans="2:8">
      <c r="B144" t="str">
        <f>IFERROR(VLOOKUP(A144,Customers!$A:$B,2,FALSE),"")</f>
        <v/>
      </c>
      <c r="D144" t="str">
        <f>IFERROR(VLOOKUP(C144,'Products Index'!$A:$B,2,FALSE),"")</f>
        <v/>
      </c>
      <c r="E144" s="12"/>
      <c r="F144" s="12"/>
      <c r="G144" s="15"/>
      <c r="H144" s="16">
        <f t="shared" si="2"/>
        <v>0</v>
      </c>
    </row>
    <row r="145" spans="2:8">
      <c r="B145" t="str">
        <f>IFERROR(VLOOKUP(A145,Customers!$A:$B,2,FALSE),"")</f>
        <v/>
      </c>
      <c r="D145" t="str">
        <f>IFERROR(VLOOKUP(C145,'Products Index'!$A:$B,2,FALSE),"")</f>
        <v/>
      </c>
      <c r="E145" s="12"/>
      <c r="F145" s="12"/>
      <c r="G145" s="15"/>
      <c r="H145" s="16">
        <f t="shared" si="2"/>
        <v>0</v>
      </c>
    </row>
    <row r="146" spans="2:8">
      <c r="B146" t="str">
        <f>IFERROR(VLOOKUP(A146,Customers!$A:$B,2,FALSE),"")</f>
        <v/>
      </c>
      <c r="D146" t="str">
        <f>IFERROR(VLOOKUP(C146,'Products Index'!$A:$B,2,FALSE),"")</f>
        <v/>
      </c>
      <c r="E146" s="12"/>
      <c r="F146" s="12"/>
      <c r="G146" s="15"/>
      <c r="H146" s="16">
        <f t="shared" si="2"/>
        <v>0</v>
      </c>
    </row>
    <row r="147" spans="2:8">
      <c r="B147" t="str">
        <f>IFERROR(VLOOKUP(A147,Customers!$A:$B,2,FALSE),"")</f>
        <v/>
      </c>
      <c r="D147" t="str">
        <f>IFERROR(VLOOKUP(C147,'Products Index'!$A:$B,2,FALSE),"")</f>
        <v/>
      </c>
      <c r="E147" s="12"/>
      <c r="F147" s="12"/>
      <c r="G147" s="15"/>
      <c r="H147" s="16">
        <f t="shared" si="2"/>
        <v>0</v>
      </c>
    </row>
    <row r="148" spans="2:8">
      <c r="B148" t="str">
        <f>IFERROR(VLOOKUP(A148,Customers!$A:$B,2,FALSE),"")</f>
        <v/>
      </c>
      <c r="D148" t="str">
        <f>IFERROR(VLOOKUP(C148,'Products Index'!$A:$B,2,FALSE),"")</f>
        <v/>
      </c>
      <c r="E148" s="12"/>
      <c r="F148" s="12"/>
      <c r="G148" s="15"/>
      <c r="H148" s="16">
        <f t="shared" si="2"/>
        <v>0</v>
      </c>
    </row>
    <row r="149" spans="2:8">
      <c r="B149" t="str">
        <f>IFERROR(VLOOKUP(A149,Customers!$A:$B,2,FALSE),"")</f>
        <v/>
      </c>
      <c r="D149" t="str">
        <f>IFERROR(VLOOKUP(C149,'Products Index'!$A:$B,2,FALSE),"")</f>
        <v/>
      </c>
      <c r="E149" s="12"/>
      <c r="F149" s="12"/>
      <c r="G149" s="15"/>
      <c r="H149" s="16">
        <f t="shared" si="2"/>
        <v>0</v>
      </c>
    </row>
    <row r="150" spans="2:8">
      <c r="B150" t="str">
        <f>IFERROR(VLOOKUP(A150,Customers!$A:$B,2,FALSE),"")</f>
        <v/>
      </c>
      <c r="D150" t="str">
        <f>IFERROR(VLOOKUP(C150,'Products Index'!$A:$B,2,FALSE),"")</f>
        <v/>
      </c>
      <c r="E150" s="12"/>
      <c r="F150" s="12"/>
      <c r="G150" s="15"/>
      <c r="H150" s="16">
        <f t="shared" si="2"/>
        <v>0</v>
      </c>
    </row>
    <row r="151" spans="2:8">
      <c r="B151" t="str">
        <f>IFERROR(VLOOKUP(A151,Customers!$A:$B,2,FALSE),"")</f>
        <v/>
      </c>
      <c r="D151" t="str">
        <f>IFERROR(VLOOKUP(C151,'Products Index'!$A:$B,2,FALSE),"")</f>
        <v/>
      </c>
      <c r="E151" s="12"/>
      <c r="F151" s="12"/>
      <c r="G151" s="15"/>
      <c r="H151" s="16">
        <f t="shared" si="2"/>
        <v>0</v>
      </c>
    </row>
    <row r="152" spans="2:8">
      <c r="B152" t="str">
        <f>IFERROR(VLOOKUP(A152,Customers!$A:$B,2,FALSE),"")</f>
        <v/>
      </c>
      <c r="D152" t="str">
        <f>IFERROR(VLOOKUP(C152,'Products Index'!$A:$B,2,FALSE),"")</f>
        <v/>
      </c>
      <c r="E152" s="12"/>
      <c r="F152" s="12"/>
      <c r="G152" s="15"/>
      <c r="H152" s="16">
        <f t="shared" si="2"/>
        <v>0</v>
      </c>
    </row>
    <row r="153" spans="2:8">
      <c r="B153" t="str">
        <f>IFERROR(VLOOKUP(A153,Customers!$A:$B,2,FALSE),"")</f>
        <v/>
      </c>
      <c r="D153" t="str">
        <f>IFERROR(VLOOKUP(C153,'Products Index'!$A:$B,2,FALSE),"")</f>
        <v/>
      </c>
      <c r="E153" s="12"/>
      <c r="F153" s="12"/>
      <c r="G153" s="15"/>
      <c r="H153" s="16">
        <f t="shared" si="2"/>
        <v>0</v>
      </c>
    </row>
    <row r="154" spans="2:8">
      <c r="B154" t="str">
        <f>IFERROR(VLOOKUP(A154,Customers!$A:$B,2,FALSE),"")</f>
        <v/>
      </c>
      <c r="D154" t="str">
        <f>IFERROR(VLOOKUP(C154,'Products Index'!$A:$B,2,FALSE),"")</f>
        <v/>
      </c>
      <c r="E154" s="12"/>
      <c r="F154" s="12"/>
      <c r="G154" s="15"/>
      <c r="H154" s="16">
        <f t="shared" si="2"/>
        <v>0</v>
      </c>
    </row>
    <row r="155" spans="2:8">
      <c r="B155" t="str">
        <f>IFERROR(VLOOKUP(A155,Customers!$A:$B,2,FALSE),"")</f>
        <v/>
      </c>
      <c r="D155" t="str">
        <f>IFERROR(VLOOKUP(C155,'Products Index'!$A:$B,2,FALSE),"")</f>
        <v/>
      </c>
      <c r="E155" s="12"/>
      <c r="F155" s="12"/>
      <c r="G155" s="15"/>
      <c r="H155" s="16">
        <f t="shared" si="2"/>
        <v>0</v>
      </c>
    </row>
    <row r="156" spans="2:8">
      <c r="B156" t="str">
        <f>IFERROR(VLOOKUP(A156,Customers!$A:$B,2,FALSE),"")</f>
        <v/>
      </c>
      <c r="D156" t="str">
        <f>IFERROR(VLOOKUP(C156,'Products Index'!$A:$B,2,FALSE),"")</f>
        <v/>
      </c>
      <c r="E156" s="12"/>
      <c r="F156" s="12"/>
      <c r="G156" s="15"/>
      <c r="H156" s="16">
        <f t="shared" si="2"/>
        <v>0</v>
      </c>
    </row>
    <row r="157" spans="2:8">
      <c r="B157" t="str">
        <f>IFERROR(VLOOKUP(A157,Customers!$A:$B,2,FALSE),"")</f>
        <v/>
      </c>
      <c r="D157" t="str">
        <f>IFERROR(VLOOKUP(C157,'Products Index'!$A:$B,2,FALSE),"")</f>
        <v/>
      </c>
      <c r="E157" s="12"/>
      <c r="F157" s="12"/>
      <c r="G157" s="15"/>
      <c r="H157" s="16">
        <f t="shared" si="2"/>
        <v>0</v>
      </c>
    </row>
    <row r="158" spans="2:8">
      <c r="B158" t="str">
        <f>IFERROR(VLOOKUP(A158,Customers!$A:$B,2,FALSE),"")</f>
        <v/>
      </c>
      <c r="D158" t="str">
        <f>IFERROR(VLOOKUP(C158,'Products Index'!$A:$B,2,FALSE),"")</f>
        <v/>
      </c>
      <c r="E158" s="12"/>
      <c r="F158" s="12"/>
      <c r="G158" s="15"/>
      <c r="H158" s="16">
        <f t="shared" si="2"/>
        <v>0</v>
      </c>
    </row>
    <row r="159" spans="2:8">
      <c r="B159" t="str">
        <f>IFERROR(VLOOKUP(A159,Customers!$A:$B,2,FALSE),"")</f>
        <v/>
      </c>
      <c r="D159" t="str">
        <f>IFERROR(VLOOKUP(C159,'Products Index'!$A:$B,2,FALSE),"")</f>
        <v/>
      </c>
      <c r="E159" s="12"/>
      <c r="F159" s="12"/>
      <c r="G159" s="15"/>
      <c r="H159" s="16">
        <f t="shared" si="2"/>
        <v>0</v>
      </c>
    </row>
    <row r="160" spans="2:8">
      <c r="B160" t="str">
        <f>IFERROR(VLOOKUP(A160,Customers!$A:$B,2,FALSE),"")</f>
        <v/>
      </c>
      <c r="D160" t="str">
        <f>IFERROR(VLOOKUP(C160,'Products Index'!$A:$B,2,FALSE),"")</f>
        <v/>
      </c>
      <c r="E160" s="12"/>
      <c r="F160" s="12"/>
      <c r="G160" s="15"/>
      <c r="H160" s="16">
        <f t="shared" si="2"/>
        <v>0</v>
      </c>
    </row>
    <row r="161" spans="2:8">
      <c r="B161" t="str">
        <f>IFERROR(VLOOKUP(A161,Customers!$A:$B,2,FALSE),"")</f>
        <v/>
      </c>
      <c r="D161" t="str">
        <f>IFERROR(VLOOKUP(C161,'Products Index'!$A:$B,2,FALSE),"")</f>
        <v/>
      </c>
      <c r="E161" s="12"/>
      <c r="F161" s="12"/>
      <c r="G161" s="15"/>
      <c r="H161" s="16">
        <f t="shared" si="2"/>
        <v>0</v>
      </c>
    </row>
    <row r="162" spans="2:8">
      <c r="B162" t="str">
        <f>IFERROR(VLOOKUP(A162,Customers!$A:$B,2,FALSE),"")</f>
        <v/>
      </c>
      <c r="D162" t="str">
        <f>IFERROR(VLOOKUP(C162,'Products Index'!$A:$B,2,FALSE),"")</f>
        <v/>
      </c>
      <c r="E162" s="12"/>
      <c r="F162" s="12"/>
      <c r="G162" s="15"/>
      <c r="H162" s="16">
        <f t="shared" si="2"/>
        <v>0</v>
      </c>
    </row>
    <row r="163" spans="2:8">
      <c r="B163" t="str">
        <f>IFERROR(VLOOKUP(A163,Customers!$A:$B,2,FALSE),"")</f>
        <v/>
      </c>
      <c r="D163" t="str">
        <f>IFERROR(VLOOKUP(C163,'Products Index'!$A:$B,2,FALSE),"")</f>
        <v/>
      </c>
      <c r="E163" s="12"/>
      <c r="F163" s="12"/>
      <c r="G163" s="15"/>
      <c r="H163" s="16">
        <f t="shared" si="2"/>
        <v>0</v>
      </c>
    </row>
    <row r="164" spans="2:8">
      <c r="B164" t="str">
        <f>IFERROR(VLOOKUP(A164,Customers!$A:$B,2,FALSE),"")</f>
        <v/>
      </c>
      <c r="D164" t="str">
        <f>IFERROR(VLOOKUP(C164,'Products Index'!$A:$B,2,FALSE),"")</f>
        <v/>
      </c>
      <c r="E164" s="12"/>
      <c r="F164" s="12"/>
      <c r="G164" s="15"/>
      <c r="H164" s="16">
        <f t="shared" si="2"/>
        <v>0</v>
      </c>
    </row>
    <row r="165" spans="2:8">
      <c r="B165" t="str">
        <f>IFERROR(VLOOKUP(A165,Customers!$A:$B,2,FALSE),"")</f>
        <v/>
      </c>
      <c r="D165" t="str">
        <f>IFERROR(VLOOKUP(C165,'Products Index'!$A:$B,2,FALSE),"")</f>
        <v/>
      </c>
      <c r="E165" s="12"/>
      <c r="F165" s="12"/>
      <c r="G165" s="15"/>
      <c r="H165" s="16">
        <f t="shared" si="2"/>
        <v>0</v>
      </c>
    </row>
    <row r="166" spans="2:8">
      <c r="B166" t="str">
        <f>IFERROR(VLOOKUP(A166,Customers!$A:$B,2,FALSE),"")</f>
        <v/>
      </c>
      <c r="D166" t="str">
        <f>IFERROR(VLOOKUP(C166,'Products Index'!$A:$B,2,FALSE),"")</f>
        <v/>
      </c>
      <c r="E166" s="12"/>
      <c r="F166" s="12"/>
      <c r="G166" s="15"/>
      <c r="H166" s="16">
        <f t="shared" si="2"/>
        <v>0</v>
      </c>
    </row>
    <row r="167" spans="2:8">
      <c r="B167" t="str">
        <f>IFERROR(VLOOKUP(A167,Customers!$A:$B,2,FALSE),"")</f>
        <v/>
      </c>
      <c r="D167" t="str">
        <f>IFERROR(VLOOKUP(C167,'Products Index'!$A:$B,2,FALSE),"")</f>
        <v/>
      </c>
      <c r="E167" s="12"/>
      <c r="F167" s="12"/>
      <c r="G167" s="15"/>
      <c r="H167" s="16">
        <f t="shared" si="2"/>
        <v>0</v>
      </c>
    </row>
    <row r="168" spans="2:8">
      <c r="B168" t="str">
        <f>IFERROR(VLOOKUP(A168,Customers!$A:$B,2,FALSE),"")</f>
        <v/>
      </c>
      <c r="D168" t="str">
        <f>IFERROR(VLOOKUP(C168,'Products Index'!$A:$B,2,FALSE),"")</f>
        <v/>
      </c>
      <c r="E168" s="12"/>
      <c r="F168" s="12"/>
      <c r="G168" s="15"/>
      <c r="H168" s="16">
        <f t="shared" si="2"/>
        <v>0</v>
      </c>
    </row>
    <row r="169" spans="2:8">
      <c r="B169" t="str">
        <f>IFERROR(VLOOKUP(A169,Customers!$A:$B,2,FALSE),"")</f>
        <v/>
      </c>
      <c r="D169" t="str">
        <f>IFERROR(VLOOKUP(C169,'Products Index'!$A:$B,2,FALSE),"")</f>
        <v/>
      </c>
      <c r="E169" s="12"/>
      <c r="F169" s="12"/>
      <c r="G169" s="15"/>
      <c r="H169" s="16">
        <f t="shared" si="2"/>
        <v>0</v>
      </c>
    </row>
    <row r="170" spans="2:8">
      <c r="B170" t="str">
        <f>IFERROR(VLOOKUP(A170,Customers!$A:$B,2,FALSE),"")</f>
        <v/>
      </c>
      <c r="D170" t="str">
        <f>IFERROR(VLOOKUP(C170,'Products Index'!$A:$B,2,FALSE),"")</f>
        <v/>
      </c>
      <c r="E170" s="12"/>
      <c r="F170" s="12"/>
      <c r="G170" s="15"/>
      <c r="H170" s="16">
        <f t="shared" si="2"/>
        <v>0</v>
      </c>
    </row>
    <row r="171" spans="2:8">
      <c r="B171" t="str">
        <f>IFERROR(VLOOKUP(A171,Customers!$A:$B,2,FALSE),"")</f>
        <v/>
      </c>
      <c r="D171" t="str">
        <f>IFERROR(VLOOKUP(C171,'Products Index'!$A:$B,2,FALSE),"")</f>
        <v/>
      </c>
      <c r="E171" s="12"/>
      <c r="F171" s="12"/>
      <c r="G171" s="15"/>
      <c r="H171" s="16">
        <f t="shared" si="2"/>
        <v>0</v>
      </c>
    </row>
    <row r="172" spans="2:8">
      <c r="B172" t="str">
        <f>IFERROR(VLOOKUP(A172,Customers!$A:$B,2,FALSE),"")</f>
        <v/>
      </c>
      <c r="D172" t="str">
        <f>IFERROR(VLOOKUP(C172,'Products Index'!$A:$B,2,FALSE),"")</f>
        <v/>
      </c>
      <c r="E172" s="12"/>
      <c r="F172" s="12"/>
      <c r="G172" s="15"/>
      <c r="H172" s="16">
        <f t="shared" si="2"/>
        <v>0</v>
      </c>
    </row>
    <row r="173" spans="2:8">
      <c r="B173" t="str">
        <f>IFERROR(VLOOKUP(A173,Customers!$A:$B,2,FALSE),"")</f>
        <v/>
      </c>
      <c r="D173" t="str">
        <f>IFERROR(VLOOKUP(C173,'Products Index'!$A:$B,2,FALSE),"")</f>
        <v/>
      </c>
      <c r="E173" s="12"/>
      <c r="F173" s="12"/>
      <c r="G173" s="15"/>
      <c r="H173" s="16">
        <f t="shared" si="2"/>
        <v>0</v>
      </c>
    </row>
    <row r="174" spans="2:8">
      <c r="B174" t="str">
        <f>IFERROR(VLOOKUP(A174,Customers!$A:$B,2,FALSE),"")</f>
        <v/>
      </c>
      <c r="D174" t="str">
        <f>IFERROR(VLOOKUP(C174,'Products Index'!$A:$B,2,FALSE),"")</f>
        <v/>
      </c>
      <c r="E174" s="12"/>
      <c r="F174" s="12"/>
      <c r="G174" s="15"/>
      <c r="H174" s="16">
        <f t="shared" si="2"/>
        <v>0</v>
      </c>
    </row>
    <row r="175" spans="2:8">
      <c r="B175" t="str">
        <f>IFERROR(VLOOKUP(A175,Customers!$A:$B,2,FALSE),"")</f>
        <v/>
      </c>
      <c r="D175" t="str">
        <f>IFERROR(VLOOKUP(C175,'Products Index'!$A:$B,2,FALSE),"")</f>
        <v/>
      </c>
      <c r="E175" s="12"/>
      <c r="F175" s="12"/>
      <c r="G175" s="15"/>
      <c r="H175" s="16">
        <f t="shared" si="2"/>
        <v>0</v>
      </c>
    </row>
    <row r="176" spans="2:8">
      <c r="B176" t="str">
        <f>IFERROR(VLOOKUP(A176,Customers!$A:$B,2,FALSE),"")</f>
        <v/>
      </c>
      <c r="D176" t="str">
        <f>IFERROR(VLOOKUP(C176,'Products Index'!$A:$B,2,FALSE),"")</f>
        <v/>
      </c>
      <c r="E176" s="12"/>
      <c r="F176" s="12"/>
      <c r="G176" s="15"/>
      <c r="H176" s="16">
        <f t="shared" si="2"/>
        <v>0</v>
      </c>
    </row>
    <row r="177" spans="2:8">
      <c r="B177" t="str">
        <f>IFERROR(VLOOKUP(A177,Customers!$A:$B,2,FALSE),"")</f>
        <v/>
      </c>
      <c r="D177" t="str">
        <f>IFERROR(VLOOKUP(C177,'Products Index'!$A:$B,2,FALSE),"")</f>
        <v/>
      </c>
      <c r="E177" s="12"/>
      <c r="F177" s="12"/>
      <c r="G177" s="15"/>
      <c r="H177" s="16">
        <f t="shared" si="2"/>
        <v>0</v>
      </c>
    </row>
    <row r="178" spans="2:8">
      <c r="B178" t="str">
        <f>IFERROR(VLOOKUP(A178,Customers!$A:$B,2,FALSE),"")</f>
        <v/>
      </c>
      <c r="D178" t="str">
        <f>IFERROR(VLOOKUP(C178,'Products Index'!$A:$B,2,FALSE),"")</f>
        <v/>
      </c>
      <c r="E178" s="12"/>
      <c r="F178" s="12"/>
      <c r="G178" s="15"/>
      <c r="H178" s="16">
        <f t="shared" si="2"/>
        <v>0</v>
      </c>
    </row>
    <row r="179" spans="2:8">
      <c r="B179" t="str">
        <f>IFERROR(VLOOKUP(A179,Customers!$A:$B,2,FALSE),"")</f>
        <v/>
      </c>
      <c r="D179" t="str">
        <f>IFERROR(VLOOKUP(C179,'Products Index'!$A:$B,2,FALSE),"")</f>
        <v/>
      </c>
      <c r="E179" s="12"/>
      <c r="F179" s="12"/>
      <c r="G179" s="15"/>
      <c r="H179" s="16">
        <f t="shared" si="2"/>
        <v>0</v>
      </c>
    </row>
    <row r="180" spans="2:8">
      <c r="B180" t="str">
        <f>IFERROR(VLOOKUP(A180,Customers!$A:$B,2,FALSE),"")</f>
        <v/>
      </c>
      <c r="D180" t="str">
        <f>IFERROR(VLOOKUP(C180,'Products Index'!$A:$B,2,FALSE),"")</f>
        <v/>
      </c>
      <c r="E180" s="12"/>
      <c r="F180" s="12"/>
      <c r="G180" s="15"/>
      <c r="H180" s="16">
        <f t="shared" si="2"/>
        <v>0</v>
      </c>
    </row>
    <row r="181" spans="2:8">
      <c r="B181" t="str">
        <f>IFERROR(VLOOKUP(A181,Customers!$A:$B,2,FALSE),"")</f>
        <v/>
      </c>
      <c r="D181" t="str">
        <f>IFERROR(VLOOKUP(C181,'Products Index'!$A:$B,2,FALSE),"")</f>
        <v/>
      </c>
      <c r="E181" s="12"/>
      <c r="F181" s="12"/>
      <c r="G181" s="15"/>
      <c r="H181" s="16">
        <f t="shared" si="2"/>
        <v>0</v>
      </c>
    </row>
    <row r="182" spans="2:8">
      <c r="B182" t="str">
        <f>IFERROR(VLOOKUP(A182,Customers!$A:$B,2,FALSE),"")</f>
        <v/>
      </c>
      <c r="D182" t="str">
        <f>IFERROR(VLOOKUP(C182,'Products Index'!$A:$B,2,FALSE),"")</f>
        <v/>
      </c>
      <c r="E182" s="12"/>
      <c r="F182" s="12"/>
      <c r="G182" s="15"/>
      <c r="H182" s="16">
        <f t="shared" si="2"/>
        <v>0</v>
      </c>
    </row>
    <row r="183" spans="2:8">
      <c r="B183" t="str">
        <f>IFERROR(VLOOKUP(A183,Customers!$A:$B,2,FALSE),"")</f>
        <v/>
      </c>
      <c r="D183" t="str">
        <f>IFERROR(VLOOKUP(C183,'Products Index'!$A:$B,2,FALSE),"")</f>
        <v/>
      </c>
      <c r="E183" s="12"/>
      <c r="F183" s="12"/>
      <c r="G183" s="15"/>
      <c r="H183" s="16">
        <f t="shared" si="2"/>
        <v>0</v>
      </c>
    </row>
    <row r="184" spans="2:8">
      <c r="B184" t="str">
        <f>IFERROR(VLOOKUP(A184,Customers!$A:$B,2,FALSE),"")</f>
        <v/>
      </c>
      <c r="D184" t="str">
        <f>IFERROR(VLOOKUP(C184,'Products Index'!$A:$B,2,FALSE),"")</f>
        <v/>
      </c>
      <c r="E184" s="12"/>
      <c r="F184" s="12"/>
      <c r="G184" s="15"/>
      <c r="H184" s="16">
        <f t="shared" si="2"/>
        <v>0</v>
      </c>
    </row>
    <row r="185" spans="2:8">
      <c r="B185" t="str">
        <f>IFERROR(VLOOKUP(A185,Customers!$A:$B,2,FALSE),"")</f>
        <v/>
      </c>
      <c r="D185" t="str">
        <f>IFERROR(VLOOKUP(C185,'Products Index'!$A:$B,2,FALSE),"")</f>
        <v/>
      </c>
      <c r="E185" s="12"/>
      <c r="F185" s="12"/>
      <c r="G185" s="15"/>
      <c r="H185" s="16">
        <f t="shared" si="2"/>
        <v>0</v>
      </c>
    </row>
    <row r="186" spans="2:8">
      <c r="B186" t="str">
        <f>IFERROR(VLOOKUP(A186,Customers!$A:$B,2,FALSE),"")</f>
        <v/>
      </c>
      <c r="D186" t="str">
        <f>IFERROR(VLOOKUP(C186,'Products Index'!$A:$B,2,FALSE),"")</f>
        <v/>
      </c>
      <c r="E186" s="12"/>
      <c r="F186" s="12"/>
      <c r="G186" s="15"/>
      <c r="H186" s="16">
        <f t="shared" si="2"/>
        <v>0</v>
      </c>
    </row>
    <row r="187" spans="2:8">
      <c r="B187" t="str">
        <f>IFERROR(VLOOKUP(A187,Customers!$A:$B,2,FALSE),"")</f>
        <v/>
      </c>
      <c r="D187" t="str">
        <f>IFERROR(VLOOKUP(C187,'Products Index'!$A:$B,2,FALSE),"")</f>
        <v/>
      </c>
      <c r="E187" s="12"/>
      <c r="F187" s="12"/>
      <c r="G187" s="15"/>
      <c r="H187" s="16">
        <f t="shared" si="2"/>
        <v>0</v>
      </c>
    </row>
    <row r="188" spans="2:8">
      <c r="B188" t="str">
        <f>IFERROR(VLOOKUP(A188,Customers!$A:$B,2,FALSE),"")</f>
        <v/>
      </c>
      <c r="D188" t="str">
        <f>IFERROR(VLOOKUP(C188,'Products Index'!$A:$B,2,FALSE),"")</f>
        <v/>
      </c>
      <c r="E188" s="12"/>
      <c r="F188" s="12"/>
      <c r="G188" s="15"/>
      <c r="H188" s="16">
        <f t="shared" si="2"/>
        <v>0</v>
      </c>
    </row>
    <row r="189" spans="2:8">
      <c r="B189" t="str">
        <f>IFERROR(VLOOKUP(A189,Customers!$A:$B,2,FALSE),"")</f>
        <v/>
      </c>
      <c r="D189" t="str">
        <f>IFERROR(VLOOKUP(C189,'Products Index'!$A:$B,2,FALSE),"")</f>
        <v/>
      </c>
      <c r="E189" s="12"/>
      <c r="F189" s="12"/>
      <c r="G189" s="15"/>
      <c r="H189" s="16">
        <f t="shared" si="2"/>
        <v>0</v>
      </c>
    </row>
    <row r="190" spans="2:8">
      <c r="B190" t="str">
        <f>IFERROR(VLOOKUP(A190,Customers!$A:$B,2,FALSE),"")</f>
        <v/>
      </c>
      <c r="D190" t="str">
        <f>IFERROR(VLOOKUP(C190,'Products Index'!$A:$B,2,FALSE),"")</f>
        <v/>
      </c>
      <c r="E190" s="12"/>
      <c r="F190" s="12"/>
      <c r="G190" s="15"/>
      <c r="H190" s="16">
        <f t="shared" si="2"/>
        <v>0</v>
      </c>
    </row>
    <row r="191" spans="2:8">
      <c r="B191" t="str">
        <f>IFERROR(VLOOKUP(A191,Customers!$A:$B,2,FALSE),"")</f>
        <v/>
      </c>
      <c r="D191" t="str">
        <f>IFERROR(VLOOKUP(C191,'Products Index'!$A:$B,2,FALSE),"")</f>
        <v/>
      </c>
      <c r="E191" s="12"/>
      <c r="F191" s="12"/>
      <c r="G191" s="15"/>
      <c r="H191" s="16">
        <f t="shared" si="2"/>
        <v>0</v>
      </c>
    </row>
    <row r="192" spans="2:8">
      <c r="B192" t="str">
        <f>IFERROR(VLOOKUP(A192,Customers!$A:$B,2,FALSE),"")</f>
        <v/>
      </c>
      <c r="D192" t="str">
        <f>IFERROR(VLOOKUP(C192,'Products Index'!$A:$B,2,FALSE),"")</f>
        <v/>
      </c>
      <c r="E192" s="12"/>
      <c r="F192" s="12"/>
      <c r="G192" s="15"/>
      <c r="H192" s="16">
        <f t="shared" si="2"/>
        <v>0</v>
      </c>
    </row>
    <row r="193" spans="2:8">
      <c r="B193" t="str">
        <f>IFERROR(VLOOKUP(A193,Customers!$A:$B,2,FALSE),"")</f>
        <v/>
      </c>
      <c r="D193" t="str">
        <f>IFERROR(VLOOKUP(C193,'Products Index'!$A:$B,2,FALSE),"")</f>
        <v/>
      </c>
      <c r="E193" s="12"/>
      <c r="F193" s="12"/>
      <c r="G193" s="15"/>
      <c r="H193" s="16">
        <f t="shared" si="2"/>
        <v>0</v>
      </c>
    </row>
    <row r="194" spans="2:8">
      <c r="B194" t="str">
        <f>IFERROR(VLOOKUP(A194,Customers!$A:$B,2,FALSE),"")</f>
        <v/>
      </c>
      <c r="D194" t="str">
        <f>IFERROR(VLOOKUP(C194,'Products Index'!$A:$B,2,FALSE),"")</f>
        <v/>
      </c>
      <c r="E194" s="12"/>
      <c r="F194" s="12"/>
      <c r="G194" s="15"/>
      <c r="H194" s="16">
        <f t="shared" ref="H194:H257" si="3">IFERROR(E194*(1-G194),0)</f>
        <v>0</v>
      </c>
    </row>
    <row r="195" spans="2:8">
      <c r="B195" t="str">
        <f>IFERROR(VLOOKUP(A195,Customers!$A:$B,2,FALSE),"")</f>
        <v/>
      </c>
      <c r="D195" t="str">
        <f>IFERROR(VLOOKUP(C195,'Products Index'!$A:$B,2,FALSE),"")</f>
        <v/>
      </c>
      <c r="E195" s="12"/>
      <c r="F195" s="12"/>
      <c r="G195" s="15"/>
      <c r="H195" s="16">
        <f t="shared" si="3"/>
        <v>0</v>
      </c>
    </row>
    <row r="196" spans="2:8">
      <c r="B196" t="str">
        <f>IFERROR(VLOOKUP(A196,Customers!$A:$B,2,FALSE),"")</f>
        <v/>
      </c>
      <c r="D196" t="str">
        <f>IFERROR(VLOOKUP(C196,'Products Index'!$A:$B,2,FALSE),"")</f>
        <v/>
      </c>
      <c r="E196" s="12"/>
      <c r="F196" s="12"/>
      <c r="G196" s="15"/>
      <c r="H196" s="16">
        <f t="shared" si="3"/>
        <v>0</v>
      </c>
    </row>
    <row r="197" spans="2:8">
      <c r="B197" t="str">
        <f>IFERROR(VLOOKUP(A197,Customers!$A:$B,2,FALSE),"")</f>
        <v/>
      </c>
      <c r="D197" t="str">
        <f>IFERROR(VLOOKUP(C197,'Products Index'!$A:$B,2,FALSE),"")</f>
        <v/>
      </c>
      <c r="E197" s="12"/>
      <c r="F197" s="12"/>
      <c r="G197" s="15"/>
      <c r="H197" s="16">
        <f t="shared" si="3"/>
        <v>0</v>
      </c>
    </row>
    <row r="198" spans="2:8">
      <c r="B198" t="str">
        <f>IFERROR(VLOOKUP(A198,Customers!$A:$B,2,FALSE),"")</f>
        <v/>
      </c>
      <c r="D198" t="str">
        <f>IFERROR(VLOOKUP(C198,'Products Index'!$A:$B,2,FALSE),"")</f>
        <v/>
      </c>
      <c r="E198" s="12"/>
      <c r="F198" s="12"/>
      <c r="G198" s="15"/>
      <c r="H198" s="16">
        <f t="shared" si="3"/>
        <v>0</v>
      </c>
    </row>
    <row r="199" spans="2:8">
      <c r="B199" t="str">
        <f>IFERROR(VLOOKUP(A199,Customers!$A:$B,2,FALSE),"")</f>
        <v/>
      </c>
      <c r="D199" t="str">
        <f>IFERROR(VLOOKUP(C199,'Products Index'!$A:$B,2,FALSE),"")</f>
        <v/>
      </c>
      <c r="E199" s="12"/>
      <c r="F199" s="12"/>
      <c r="G199" s="15"/>
      <c r="H199" s="16">
        <f t="shared" si="3"/>
        <v>0</v>
      </c>
    </row>
    <row r="200" spans="2:8">
      <c r="B200" t="str">
        <f>IFERROR(VLOOKUP(A200,Customers!$A:$B,2,FALSE),"")</f>
        <v/>
      </c>
      <c r="D200" t="str">
        <f>IFERROR(VLOOKUP(C200,'Products Index'!$A:$B,2,FALSE),"")</f>
        <v/>
      </c>
      <c r="E200" s="12"/>
      <c r="F200" s="12"/>
      <c r="G200" s="15"/>
      <c r="H200" s="16">
        <f t="shared" si="3"/>
        <v>0</v>
      </c>
    </row>
    <row r="201" spans="2:8">
      <c r="B201" t="str">
        <f>IFERROR(VLOOKUP(A201,Customers!$A:$B,2,FALSE),"")</f>
        <v/>
      </c>
      <c r="D201" t="str">
        <f>IFERROR(VLOOKUP(C201,'Products Index'!$A:$B,2,FALSE),"")</f>
        <v/>
      </c>
      <c r="E201" s="12"/>
      <c r="F201" s="12"/>
      <c r="G201" s="15"/>
      <c r="H201" s="16">
        <f t="shared" si="3"/>
        <v>0</v>
      </c>
    </row>
    <row r="202" spans="2:8">
      <c r="B202" t="str">
        <f>IFERROR(VLOOKUP(A202,Customers!$A:$B,2,FALSE),"")</f>
        <v/>
      </c>
      <c r="D202" t="str">
        <f>IFERROR(VLOOKUP(C202,'Products Index'!$A:$B,2,FALSE),"")</f>
        <v/>
      </c>
      <c r="E202" s="12"/>
      <c r="F202" s="12"/>
      <c r="G202" s="15"/>
      <c r="H202" s="16">
        <f t="shared" si="3"/>
        <v>0</v>
      </c>
    </row>
    <row r="203" spans="2:8">
      <c r="B203" t="str">
        <f>IFERROR(VLOOKUP(A203,Customers!$A:$B,2,FALSE),"")</f>
        <v/>
      </c>
      <c r="D203" t="str">
        <f>IFERROR(VLOOKUP(C203,'Products Index'!$A:$B,2,FALSE),"")</f>
        <v/>
      </c>
      <c r="E203" s="12"/>
      <c r="F203" s="12"/>
      <c r="G203" s="15"/>
      <c r="H203" s="16">
        <f t="shared" si="3"/>
        <v>0</v>
      </c>
    </row>
    <row r="204" spans="2:8">
      <c r="B204" t="str">
        <f>IFERROR(VLOOKUP(A204,Customers!$A:$B,2,FALSE),"")</f>
        <v/>
      </c>
      <c r="D204" t="str">
        <f>IFERROR(VLOOKUP(C204,'Products Index'!$A:$B,2,FALSE),"")</f>
        <v/>
      </c>
      <c r="E204" s="12"/>
      <c r="F204" s="12"/>
      <c r="G204" s="15"/>
      <c r="H204" s="16">
        <f t="shared" si="3"/>
        <v>0</v>
      </c>
    </row>
    <row r="205" spans="2:8">
      <c r="B205" t="str">
        <f>IFERROR(VLOOKUP(A205,Customers!$A:$B,2,FALSE),"")</f>
        <v/>
      </c>
      <c r="D205" t="str">
        <f>IFERROR(VLOOKUP(C205,'Products Index'!$A:$B,2,FALSE),"")</f>
        <v/>
      </c>
      <c r="E205" s="12"/>
      <c r="F205" s="12"/>
      <c r="G205" s="15"/>
      <c r="H205" s="16">
        <f t="shared" si="3"/>
        <v>0</v>
      </c>
    </row>
    <row r="206" spans="2:8">
      <c r="B206" t="str">
        <f>IFERROR(VLOOKUP(A206,Customers!$A:$B,2,FALSE),"")</f>
        <v/>
      </c>
      <c r="D206" t="str">
        <f>IFERROR(VLOOKUP(C206,'Products Index'!$A:$B,2,FALSE),"")</f>
        <v/>
      </c>
      <c r="E206" s="12"/>
      <c r="F206" s="12"/>
      <c r="G206" s="15"/>
      <c r="H206" s="16">
        <f t="shared" si="3"/>
        <v>0</v>
      </c>
    </row>
    <row r="207" spans="2:8">
      <c r="B207" t="str">
        <f>IFERROR(VLOOKUP(A207,Customers!$A:$B,2,FALSE),"")</f>
        <v/>
      </c>
      <c r="D207" t="str">
        <f>IFERROR(VLOOKUP(C207,'Products Index'!$A:$B,2,FALSE),"")</f>
        <v/>
      </c>
      <c r="E207" s="12"/>
      <c r="F207" s="12"/>
      <c r="G207" s="15"/>
      <c r="H207" s="16">
        <f t="shared" si="3"/>
        <v>0</v>
      </c>
    </row>
    <row r="208" spans="2:8">
      <c r="B208" t="str">
        <f>IFERROR(VLOOKUP(A208,Customers!$A:$B,2,FALSE),"")</f>
        <v/>
      </c>
      <c r="D208" t="str">
        <f>IFERROR(VLOOKUP(C208,'Products Index'!$A:$B,2,FALSE),"")</f>
        <v/>
      </c>
      <c r="E208" s="12"/>
      <c r="F208" s="12"/>
      <c r="G208" s="15"/>
      <c r="H208" s="16">
        <f t="shared" si="3"/>
        <v>0</v>
      </c>
    </row>
    <row r="209" spans="2:8">
      <c r="B209" t="str">
        <f>IFERROR(VLOOKUP(A209,Customers!$A:$B,2,FALSE),"")</f>
        <v/>
      </c>
      <c r="D209" t="str">
        <f>IFERROR(VLOOKUP(C209,'Products Index'!$A:$B,2,FALSE),"")</f>
        <v/>
      </c>
      <c r="E209" s="12"/>
      <c r="F209" s="12"/>
      <c r="G209" s="15"/>
      <c r="H209" s="16">
        <f t="shared" si="3"/>
        <v>0</v>
      </c>
    </row>
    <row r="210" spans="2:8">
      <c r="B210" t="str">
        <f>IFERROR(VLOOKUP(A210,Customers!$A:$B,2,FALSE),"")</f>
        <v/>
      </c>
      <c r="D210" t="str">
        <f>IFERROR(VLOOKUP(C210,'Products Index'!$A:$B,2,FALSE),"")</f>
        <v/>
      </c>
      <c r="E210" s="12"/>
      <c r="F210" s="12"/>
      <c r="G210" s="15"/>
      <c r="H210" s="16">
        <f t="shared" si="3"/>
        <v>0</v>
      </c>
    </row>
    <row r="211" spans="2:8">
      <c r="B211" t="str">
        <f>IFERROR(VLOOKUP(A211,Customers!$A:$B,2,FALSE),"")</f>
        <v/>
      </c>
      <c r="D211" t="str">
        <f>IFERROR(VLOOKUP(C211,'Products Index'!$A:$B,2,FALSE),"")</f>
        <v/>
      </c>
      <c r="E211" s="12"/>
      <c r="F211" s="12"/>
      <c r="G211" s="15"/>
      <c r="H211" s="16">
        <f t="shared" si="3"/>
        <v>0</v>
      </c>
    </row>
    <row r="212" spans="2:8">
      <c r="B212" t="str">
        <f>IFERROR(VLOOKUP(A212,Customers!$A:$B,2,FALSE),"")</f>
        <v/>
      </c>
      <c r="D212" t="str">
        <f>IFERROR(VLOOKUP(C212,'Products Index'!$A:$B,2,FALSE),"")</f>
        <v/>
      </c>
      <c r="E212" s="12"/>
      <c r="F212" s="12"/>
      <c r="G212" s="15"/>
      <c r="H212" s="16">
        <f t="shared" si="3"/>
        <v>0</v>
      </c>
    </row>
    <row r="213" spans="2:8">
      <c r="B213" t="str">
        <f>IFERROR(VLOOKUP(A213,Customers!$A:$B,2,FALSE),"")</f>
        <v/>
      </c>
      <c r="D213" t="str">
        <f>IFERROR(VLOOKUP(C213,'Products Index'!$A:$B,2,FALSE),"")</f>
        <v/>
      </c>
      <c r="E213" s="12"/>
      <c r="F213" s="12"/>
      <c r="G213" s="15"/>
      <c r="H213" s="16">
        <f t="shared" si="3"/>
        <v>0</v>
      </c>
    </row>
    <row r="214" spans="2:8">
      <c r="B214" t="str">
        <f>IFERROR(VLOOKUP(A214,Customers!$A:$B,2,FALSE),"")</f>
        <v/>
      </c>
      <c r="D214" t="str">
        <f>IFERROR(VLOOKUP(C214,'Products Index'!$A:$B,2,FALSE),"")</f>
        <v/>
      </c>
      <c r="E214" s="12"/>
      <c r="F214" s="12"/>
      <c r="G214" s="15"/>
      <c r="H214" s="16">
        <f t="shared" si="3"/>
        <v>0</v>
      </c>
    </row>
    <row r="215" spans="2:8">
      <c r="B215" t="str">
        <f>IFERROR(VLOOKUP(A215,Customers!$A:$B,2,FALSE),"")</f>
        <v/>
      </c>
      <c r="D215" t="str">
        <f>IFERROR(VLOOKUP(C215,'Products Index'!$A:$B,2,FALSE),"")</f>
        <v/>
      </c>
      <c r="E215" s="12"/>
      <c r="F215" s="12"/>
      <c r="G215" s="15"/>
      <c r="H215" s="16">
        <f t="shared" si="3"/>
        <v>0</v>
      </c>
    </row>
    <row r="216" spans="2:8">
      <c r="B216" t="str">
        <f>IFERROR(VLOOKUP(A216,Customers!$A:$B,2,FALSE),"")</f>
        <v/>
      </c>
      <c r="D216" t="str">
        <f>IFERROR(VLOOKUP(C216,'Products Index'!$A:$B,2,FALSE),"")</f>
        <v/>
      </c>
      <c r="E216" s="12"/>
      <c r="F216" s="12"/>
      <c r="G216" s="15"/>
      <c r="H216" s="16">
        <f t="shared" si="3"/>
        <v>0</v>
      </c>
    </row>
    <row r="217" spans="2:8">
      <c r="B217" t="str">
        <f>IFERROR(VLOOKUP(A217,Customers!$A:$B,2,FALSE),"")</f>
        <v/>
      </c>
      <c r="D217" t="str">
        <f>IFERROR(VLOOKUP(C217,'Products Index'!$A:$B,2,FALSE),"")</f>
        <v/>
      </c>
      <c r="E217" s="12"/>
      <c r="F217" s="12"/>
      <c r="G217" s="15"/>
      <c r="H217" s="16">
        <f t="shared" si="3"/>
        <v>0</v>
      </c>
    </row>
    <row r="218" spans="2:8">
      <c r="B218" t="str">
        <f>IFERROR(VLOOKUP(A218,Customers!$A:$B,2,FALSE),"")</f>
        <v/>
      </c>
      <c r="D218" t="str">
        <f>IFERROR(VLOOKUP(C218,'Products Index'!$A:$B,2,FALSE),"")</f>
        <v/>
      </c>
      <c r="E218" s="12"/>
      <c r="F218" s="12"/>
      <c r="G218" s="15"/>
      <c r="H218" s="16">
        <f t="shared" si="3"/>
        <v>0</v>
      </c>
    </row>
    <row r="219" spans="2:8">
      <c r="B219" t="str">
        <f>IFERROR(VLOOKUP(A219,Customers!$A:$B,2,FALSE),"")</f>
        <v/>
      </c>
      <c r="D219" t="str">
        <f>IFERROR(VLOOKUP(C219,'Products Index'!$A:$B,2,FALSE),"")</f>
        <v/>
      </c>
      <c r="E219" s="12"/>
      <c r="F219" s="12"/>
      <c r="G219" s="15"/>
      <c r="H219" s="16">
        <f t="shared" si="3"/>
        <v>0</v>
      </c>
    </row>
    <row r="220" spans="2:8">
      <c r="B220" t="str">
        <f>IFERROR(VLOOKUP(A220,Customers!$A:$B,2,FALSE),"")</f>
        <v/>
      </c>
      <c r="D220" t="str">
        <f>IFERROR(VLOOKUP(C220,'Products Index'!$A:$B,2,FALSE),"")</f>
        <v/>
      </c>
      <c r="E220" s="12"/>
      <c r="F220" s="12"/>
      <c r="G220" s="15"/>
      <c r="H220" s="16">
        <f t="shared" si="3"/>
        <v>0</v>
      </c>
    </row>
    <row r="221" spans="2:8">
      <c r="B221" t="str">
        <f>IFERROR(VLOOKUP(A221,Customers!$A:$B,2,FALSE),"")</f>
        <v/>
      </c>
      <c r="D221" t="str">
        <f>IFERROR(VLOOKUP(C221,'Products Index'!$A:$B,2,FALSE),"")</f>
        <v/>
      </c>
      <c r="E221" s="12"/>
      <c r="F221" s="12"/>
      <c r="G221" s="15"/>
      <c r="H221" s="16">
        <f t="shared" si="3"/>
        <v>0</v>
      </c>
    </row>
    <row r="222" spans="2:8">
      <c r="B222" t="str">
        <f>IFERROR(VLOOKUP(A222,Customers!$A:$B,2,FALSE),"")</f>
        <v/>
      </c>
      <c r="D222" t="str">
        <f>IFERROR(VLOOKUP(C222,'Products Index'!$A:$B,2,FALSE),"")</f>
        <v/>
      </c>
      <c r="E222" s="12"/>
      <c r="F222" s="12"/>
      <c r="G222" s="15"/>
      <c r="H222" s="16">
        <f t="shared" si="3"/>
        <v>0</v>
      </c>
    </row>
    <row r="223" spans="2:8">
      <c r="B223" t="str">
        <f>IFERROR(VLOOKUP(A223,Customers!$A:$B,2,FALSE),"")</f>
        <v/>
      </c>
      <c r="D223" t="str">
        <f>IFERROR(VLOOKUP(C223,'Products Index'!$A:$B,2,FALSE),"")</f>
        <v/>
      </c>
      <c r="E223" s="12"/>
      <c r="F223" s="12"/>
      <c r="G223" s="15"/>
      <c r="H223" s="16">
        <f t="shared" si="3"/>
        <v>0</v>
      </c>
    </row>
    <row r="224" spans="2:8">
      <c r="B224" t="str">
        <f>IFERROR(VLOOKUP(A224,Customers!$A:$B,2,FALSE),"")</f>
        <v/>
      </c>
      <c r="D224" t="str">
        <f>IFERROR(VLOOKUP(C224,'Products Index'!$A:$B,2,FALSE),"")</f>
        <v/>
      </c>
      <c r="E224" s="12"/>
      <c r="F224" s="12"/>
      <c r="G224" s="15"/>
      <c r="H224" s="16">
        <f t="shared" si="3"/>
        <v>0</v>
      </c>
    </row>
    <row r="225" spans="2:8">
      <c r="B225" t="str">
        <f>IFERROR(VLOOKUP(A225,Customers!$A:$B,2,FALSE),"")</f>
        <v/>
      </c>
      <c r="D225" t="str">
        <f>IFERROR(VLOOKUP(C225,'Products Index'!$A:$B,2,FALSE),"")</f>
        <v/>
      </c>
      <c r="E225" s="12"/>
      <c r="F225" s="12"/>
      <c r="G225" s="15"/>
      <c r="H225" s="16">
        <f t="shared" si="3"/>
        <v>0</v>
      </c>
    </row>
    <row r="226" spans="2:8">
      <c r="B226" t="str">
        <f>IFERROR(VLOOKUP(A226,Customers!$A:$B,2,FALSE),"")</f>
        <v/>
      </c>
      <c r="D226" t="str">
        <f>IFERROR(VLOOKUP(C226,'Products Index'!$A:$B,2,FALSE),"")</f>
        <v/>
      </c>
      <c r="E226" s="12"/>
      <c r="F226" s="12"/>
      <c r="G226" s="15"/>
      <c r="H226" s="16">
        <f t="shared" si="3"/>
        <v>0</v>
      </c>
    </row>
    <row r="227" spans="2:8">
      <c r="B227" t="str">
        <f>IFERROR(VLOOKUP(A227,Customers!$A:$B,2,FALSE),"")</f>
        <v/>
      </c>
      <c r="D227" t="str">
        <f>IFERROR(VLOOKUP(C227,'Products Index'!$A:$B,2,FALSE),"")</f>
        <v/>
      </c>
      <c r="E227" s="12"/>
      <c r="F227" s="12"/>
      <c r="G227" s="15"/>
      <c r="H227" s="16">
        <f t="shared" si="3"/>
        <v>0</v>
      </c>
    </row>
    <row r="228" spans="2:8">
      <c r="B228" t="str">
        <f>IFERROR(VLOOKUP(A228,Customers!$A:$B,2,FALSE),"")</f>
        <v/>
      </c>
      <c r="D228" t="str">
        <f>IFERROR(VLOOKUP(C228,'Products Index'!$A:$B,2,FALSE),"")</f>
        <v/>
      </c>
      <c r="E228" s="12"/>
      <c r="F228" s="12"/>
      <c r="G228" s="15"/>
      <c r="H228" s="16">
        <f t="shared" si="3"/>
        <v>0</v>
      </c>
    </row>
    <row r="229" spans="2:8">
      <c r="B229" t="str">
        <f>IFERROR(VLOOKUP(A229,Customers!$A:$B,2,FALSE),"")</f>
        <v/>
      </c>
      <c r="D229" t="str">
        <f>IFERROR(VLOOKUP(C229,'Products Index'!$A:$B,2,FALSE),"")</f>
        <v/>
      </c>
      <c r="E229" s="12"/>
      <c r="F229" s="12"/>
      <c r="G229" s="15"/>
      <c r="H229" s="16">
        <f t="shared" si="3"/>
        <v>0</v>
      </c>
    </row>
    <row r="230" spans="2:8">
      <c r="B230" t="str">
        <f>IFERROR(VLOOKUP(A230,Customers!$A:$B,2,FALSE),"")</f>
        <v/>
      </c>
      <c r="D230" t="str">
        <f>IFERROR(VLOOKUP(C230,'Products Index'!$A:$B,2,FALSE),"")</f>
        <v/>
      </c>
      <c r="E230" s="12"/>
      <c r="F230" s="12"/>
      <c r="G230" s="15"/>
      <c r="H230" s="16">
        <f t="shared" si="3"/>
        <v>0</v>
      </c>
    </row>
    <row r="231" spans="2:8">
      <c r="B231" t="str">
        <f>IFERROR(VLOOKUP(A231,Customers!$A:$B,2,FALSE),"")</f>
        <v/>
      </c>
      <c r="D231" t="str">
        <f>IFERROR(VLOOKUP(C231,'Products Index'!$A:$B,2,FALSE),"")</f>
        <v/>
      </c>
      <c r="E231" s="12"/>
      <c r="F231" s="12"/>
      <c r="G231" s="15"/>
      <c r="H231" s="16">
        <f t="shared" si="3"/>
        <v>0</v>
      </c>
    </row>
    <row r="232" spans="2:8">
      <c r="B232" t="str">
        <f>IFERROR(VLOOKUP(A232,Customers!$A:$B,2,FALSE),"")</f>
        <v/>
      </c>
      <c r="D232" t="str">
        <f>IFERROR(VLOOKUP(C232,'Products Index'!$A:$B,2,FALSE),"")</f>
        <v/>
      </c>
      <c r="E232" s="12"/>
      <c r="F232" s="12"/>
      <c r="G232" s="15"/>
      <c r="H232" s="16">
        <f t="shared" si="3"/>
        <v>0</v>
      </c>
    </row>
    <row r="233" spans="2:8">
      <c r="B233" t="str">
        <f>IFERROR(VLOOKUP(A233,Customers!$A:$B,2,FALSE),"")</f>
        <v/>
      </c>
      <c r="D233" t="str">
        <f>IFERROR(VLOOKUP(C233,'Products Index'!$A:$B,2,FALSE),"")</f>
        <v/>
      </c>
      <c r="E233" s="12"/>
      <c r="F233" s="12"/>
      <c r="G233" s="15"/>
      <c r="H233" s="16">
        <f t="shared" si="3"/>
        <v>0</v>
      </c>
    </row>
    <row r="234" spans="2:8">
      <c r="B234" t="str">
        <f>IFERROR(VLOOKUP(A234,Customers!$A:$B,2,FALSE),"")</f>
        <v/>
      </c>
      <c r="D234" t="str">
        <f>IFERROR(VLOOKUP(C234,'Products Index'!$A:$B,2,FALSE),"")</f>
        <v/>
      </c>
      <c r="E234" s="12"/>
      <c r="F234" s="12"/>
      <c r="G234" s="15"/>
      <c r="H234" s="16">
        <f t="shared" si="3"/>
        <v>0</v>
      </c>
    </row>
    <row r="235" spans="2:8">
      <c r="B235" t="str">
        <f>IFERROR(VLOOKUP(A235,Customers!$A:$B,2,FALSE),"")</f>
        <v/>
      </c>
      <c r="D235" t="str">
        <f>IFERROR(VLOOKUP(C235,'Products Index'!$A:$B,2,FALSE),"")</f>
        <v/>
      </c>
      <c r="E235" s="12"/>
      <c r="F235" s="12"/>
      <c r="G235" s="15"/>
      <c r="H235" s="16">
        <f t="shared" si="3"/>
        <v>0</v>
      </c>
    </row>
    <row r="236" spans="2:8">
      <c r="B236" t="str">
        <f>IFERROR(VLOOKUP(A236,Customers!$A:$B,2,FALSE),"")</f>
        <v/>
      </c>
      <c r="D236" t="str">
        <f>IFERROR(VLOOKUP(C236,'Products Index'!$A:$B,2,FALSE),"")</f>
        <v/>
      </c>
      <c r="E236" s="12"/>
      <c r="F236" s="12"/>
      <c r="G236" s="15"/>
      <c r="H236" s="16">
        <f t="shared" si="3"/>
        <v>0</v>
      </c>
    </row>
    <row r="237" spans="2:8">
      <c r="B237" t="str">
        <f>IFERROR(VLOOKUP(A237,Customers!$A:$B,2,FALSE),"")</f>
        <v/>
      </c>
      <c r="D237" t="str">
        <f>IFERROR(VLOOKUP(C237,'Products Index'!$A:$B,2,FALSE),"")</f>
        <v/>
      </c>
      <c r="E237" s="12"/>
      <c r="F237" s="12"/>
      <c r="G237" s="15"/>
      <c r="H237" s="16">
        <f t="shared" si="3"/>
        <v>0</v>
      </c>
    </row>
    <row r="238" spans="2:8">
      <c r="B238" t="str">
        <f>IFERROR(VLOOKUP(A238,Customers!$A:$B,2,FALSE),"")</f>
        <v/>
      </c>
      <c r="D238" t="str">
        <f>IFERROR(VLOOKUP(C238,'Products Index'!$A:$B,2,FALSE),"")</f>
        <v/>
      </c>
      <c r="E238" s="12"/>
      <c r="F238" s="12"/>
      <c r="G238" s="15"/>
      <c r="H238" s="16">
        <f t="shared" si="3"/>
        <v>0</v>
      </c>
    </row>
    <row r="239" spans="2:8">
      <c r="B239" t="str">
        <f>IFERROR(VLOOKUP(A239,Customers!$A:$B,2,FALSE),"")</f>
        <v/>
      </c>
      <c r="D239" t="str">
        <f>IFERROR(VLOOKUP(C239,'Products Index'!$A:$B,2,FALSE),"")</f>
        <v/>
      </c>
      <c r="E239" s="12"/>
      <c r="F239" s="12"/>
      <c r="G239" s="15"/>
      <c r="H239" s="16">
        <f t="shared" si="3"/>
        <v>0</v>
      </c>
    </row>
    <row r="240" spans="2:8">
      <c r="B240" t="str">
        <f>IFERROR(VLOOKUP(A240,Customers!$A:$B,2,FALSE),"")</f>
        <v/>
      </c>
      <c r="D240" t="str">
        <f>IFERROR(VLOOKUP(C240,'Products Index'!$A:$B,2,FALSE),"")</f>
        <v/>
      </c>
      <c r="E240" s="12"/>
      <c r="F240" s="12"/>
      <c r="G240" s="15"/>
      <c r="H240" s="16">
        <f t="shared" si="3"/>
        <v>0</v>
      </c>
    </row>
    <row r="241" spans="2:8">
      <c r="B241" t="str">
        <f>IFERROR(VLOOKUP(A241,Customers!$A:$B,2,FALSE),"")</f>
        <v/>
      </c>
      <c r="D241" t="str">
        <f>IFERROR(VLOOKUP(C241,'Products Index'!$A:$B,2,FALSE),"")</f>
        <v/>
      </c>
      <c r="E241" s="12"/>
      <c r="F241" s="12"/>
      <c r="G241" s="15"/>
      <c r="H241" s="16">
        <f t="shared" si="3"/>
        <v>0</v>
      </c>
    </row>
    <row r="242" spans="2:8">
      <c r="B242" t="str">
        <f>IFERROR(VLOOKUP(A242,Customers!$A:$B,2,FALSE),"")</f>
        <v/>
      </c>
      <c r="D242" t="str">
        <f>IFERROR(VLOOKUP(C242,'Products Index'!$A:$B,2,FALSE),"")</f>
        <v/>
      </c>
      <c r="E242" s="12"/>
      <c r="F242" s="12"/>
      <c r="G242" s="15"/>
      <c r="H242" s="16">
        <f t="shared" si="3"/>
        <v>0</v>
      </c>
    </row>
    <row r="243" spans="2:8">
      <c r="B243" t="str">
        <f>IFERROR(VLOOKUP(A243,Customers!$A:$B,2,FALSE),"")</f>
        <v/>
      </c>
      <c r="D243" t="str">
        <f>IFERROR(VLOOKUP(C243,'Products Index'!$A:$B,2,FALSE),"")</f>
        <v/>
      </c>
      <c r="E243" s="12"/>
      <c r="F243" s="12"/>
      <c r="G243" s="15"/>
      <c r="H243" s="16">
        <f t="shared" si="3"/>
        <v>0</v>
      </c>
    </row>
    <row r="244" spans="2:8">
      <c r="B244" t="str">
        <f>IFERROR(VLOOKUP(A244,Customers!$A:$B,2,FALSE),"")</f>
        <v/>
      </c>
      <c r="D244" t="str">
        <f>IFERROR(VLOOKUP(C244,'Products Index'!$A:$B,2,FALSE),"")</f>
        <v/>
      </c>
      <c r="E244" s="12"/>
      <c r="F244" s="12"/>
      <c r="G244" s="15"/>
      <c r="H244" s="16">
        <f t="shared" si="3"/>
        <v>0</v>
      </c>
    </row>
    <row r="245" spans="2:8">
      <c r="B245" t="str">
        <f>IFERROR(VLOOKUP(A245,Customers!$A:$B,2,FALSE),"")</f>
        <v/>
      </c>
      <c r="D245" t="str">
        <f>IFERROR(VLOOKUP(C245,'Products Index'!$A:$B,2,FALSE),"")</f>
        <v/>
      </c>
      <c r="E245" s="12"/>
      <c r="F245" s="12"/>
      <c r="G245" s="15"/>
      <c r="H245" s="16">
        <f t="shared" si="3"/>
        <v>0</v>
      </c>
    </row>
    <row r="246" spans="2:8">
      <c r="B246" t="str">
        <f>IFERROR(VLOOKUP(A246,Customers!$A:$B,2,FALSE),"")</f>
        <v/>
      </c>
      <c r="D246" t="str">
        <f>IFERROR(VLOOKUP(C246,'Products Index'!$A:$B,2,FALSE),"")</f>
        <v/>
      </c>
      <c r="E246" s="12"/>
      <c r="F246" s="12"/>
      <c r="G246" s="15"/>
      <c r="H246" s="16">
        <f t="shared" si="3"/>
        <v>0</v>
      </c>
    </row>
    <row r="247" spans="2:8">
      <c r="B247" t="str">
        <f>IFERROR(VLOOKUP(A247,Customers!$A:$B,2,FALSE),"")</f>
        <v/>
      </c>
      <c r="D247" t="str">
        <f>IFERROR(VLOOKUP(C247,'Products Index'!$A:$B,2,FALSE),"")</f>
        <v/>
      </c>
      <c r="E247" s="12"/>
      <c r="F247" s="12"/>
      <c r="G247" s="15"/>
      <c r="H247" s="16">
        <f t="shared" si="3"/>
        <v>0</v>
      </c>
    </row>
    <row r="248" spans="2:8">
      <c r="B248" t="str">
        <f>IFERROR(VLOOKUP(A248,Customers!$A:$B,2,FALSE),"")</f>
        <v/>
      </c>
      <c r="D248" t="str">
        <f>IFERROR(VLOOKUP(C248,'Products Index'!$A:$B,2,FALSE),"")</f>
        <v/>
      </c>
      <c r="E248" s="12"/>
      <c r="F248" s="12"/>
      <c r="G248" s="15"/>
      <c r="H248" s="16">
        <f t="shared" si="3"/>
        <v>0</v>
      </c>
    </row>
    <row r="249" spans="2:8">
      <c r="B249" t="str">
        <f>IFERROR(VLOOKUP(A249,Customers!$A:$B,2,FALSE),"")</f>
        <v/>
      </c>
      <c r="D249" t="str">
        <f>IFERROR(VLOOKUP(C249,'Products Index'!$A:$B,2,FALSE),"")</f>
        <v/>
      </c>
      <c r="E249" s="12"/>
      <c r="F249" s="12"/>
      <c r="G249" s="15"/>
      <c r="H249" s="16">
        <f t="shared" si="3"/>
        <v>0</v>
      </c>
    </row>
    <row r="250" spans="2:8">
      <c r="B250" t="str">
        <f>IFERROR(VLOOKUP(A250,Customers!$A:$B,2,FALSE),"")</f>
        <v/>
      </c>
      <c r="D250" t="str">
        <f>IFERROR(VLOOKUP(C250,'Products Index'!$A:$B,2,FALSE),"")</f>
        <v/>
      </c>
      <c r="E250" s="12"/>
      <c r="F250" s="12"/>
      <c r="G250" s="15"/>
      <c r="H250" s="16">
        <f t="shared" si="3"/>
        <v>0</v>
      </c>
    </row>
    <row r="251" spans="2:8">
      <c r="B251" t="str">
        <f>IFERROR(VLOOKUP(A251,Customers!$A:$B,2,FALSE),"")</f>
        <v/>
      </c>
      <c r="D251" t="str">
        <f>IFERROR(VLOOKUP(C251,'Products Index'!$A:$B,2,FALSE),"")</f>
        <v/>
      </c>
      <c r="E251" s="12"/>
      <c r="F251" s="12"/>
      <c r="G251" s="15"/>
      <c r="H251" s="16">
        <f t="shared" si="3"/>
        <v>0</v>
      </c>
    </row>
    <row r="252" spans="2:8">
      <c r="B252" t="str">
        <f>IFERROR(VLOOKUP(A252,Customers!$A:$B,2,FALSE),"")</f>
        <v/>
      </c>
      <c r="D252" t="str">
        <f>IFERROR(VLOOKUP(C252,'Products Index'!$A:$B,2,FALSE),"")</f>
        <v/>
      </c>
      <c r="E252" s="12"/>
      <c r="F252" s="12"/>
      <c r="G252" s="15"/>
      <c r="H252" s="16">
        <f t="shared" si="3"/>
        <v>0</v>
      </c>
    </row>
    <row r="253" spans="2:8">
      <c r="B253" t="str">
        <f>IFERROR(VLOOKUP(A253,Customers!$A:$B,2,FALSE),"")</f>
        <v/>
      </c>
      <c r="D253" t="str">
        <f>IFERROR(VLOOKUP(C253,'Products Index'!$A:$B,2,FALSE),"")</f>
        <v/>
      </c>
      <c r="E253" s="12"/>
      <c r="F253" s="12"/>
      <c r="G253" s="15"/>
      <c r="H253" s="16">
        <f t="shared" si="3"/>
        <v>0</v>
      </c>
    </row>
    <row r="254" spans="2:8">
      <c r="B254" t="str">
        <f>IFERROR(VLOOKUP(A254,Customers!$A:$B,2,FALSE),"")</f>
        <v/>
      </c>
      <c r="D254" t="str">
        <f>IFERROR(VLOOKUP(C254,'Products Index'!$A:$B,2,FALSE),"")</f>
        <v/>
      </c>
      <c r="E254" s="12"/>
      <c r="F254" s="12"/>
      <c r="G254" s="15"/>
      <c r="H254" s="16">
        <f t="shared" si="3"/>
        <v>0</v>
      </c>
    </row>
    <row r="255" spans="2:8">
      <c r="B255" t="str">
        <f>IFERROR(VLOOKUP(A255,Customers!$A:$B,2,FALSE),"")</f>
        <v/>
      </c>
      <c r="D255" t="str">
        <f>IFERROR(VLOOKUP(C255,'Products Index'!$A:$B,2,FALSE),"")</f>
        <v/>
      </c>
      <c r="E255" s="12"/>
      <c r="F255" s="12"/>
      <c r="G255" s="15"/>
      <c r="H255" s="16">
        <f t="shared" si="3"/>
        <v>0</v>
      </c>
    </row>
    <row r="256" spans="2:8">
      <c r="B256" t="str">
        <f>IFERROR(VLOOKUP(A256,Customers!$A:$B,2,FALSE),"")</f>
        <v/>
      </c>
      <c r="D256" t="str">
        <f>IFERROR(VLOOKUP(C256,'Products Index'!$A:$B,2,FALSE),"")</f>
        <v/>
      </c>
      <c r="E256" s="12"/>
      <c r="F256" s="12"/>
      <c r="G256" s="15"/>
      <c r="H256" s="16">
        <f t="shared" si="3"/>
        <v>0</v>
      </c>
    </row>
    <row r="257" spans="2:8">
      <c r="B257" t="str">
        <f>IFERROR(VLOOKUP(A257,Customers!$A:$B,2,FALSE),"")</f>
        <v/>
      </c>
      <c r="D257" t="str">
        <f>IFERROR(VLOOKUP(C257,'Products Index'!$A:$B,2,FALSE),"")</f>
        <v/>
      </c>
      <c r="E257" s="12"/>
      <c r="F257" s="12"/>
      <c r="G257" s="15"/>
      <c r="H257" s="16">
        <f t="shared" si="3"/>
        <v>0</v>
      </c>
    </row>
    <row r="258" spans="2:8">
      <c r="B258" t="str">
        <f>IFERROR(VLOOKUP(A258,Customers!$A:$B,2,FALSE),"")</f>
        <v/>
      </c>
      <c r="D258" t="str">
        <f>IFERROR(VLOOKUP(C258,'Products Index'!$A:$B,2,FALSE),"")</f>
        <v/>
      </c>
      <c r="E258" s="12"/>
      <c r="F258" s="12"/>
      <c r="G258" s="15"/>
      <c r="H258" s="16">
        <f t="shared" ref="H258:H321" si="4">IFERROR(E258*(1-G258),0)</f>
        <v>0</v>
      </c>
    </row>
    <row r="259" spans="2:8">
      <c r="B259" t="str">
        <f>IFERROR(VLOOKUP(A259,Customers!$A:$B,2,FALSE),"")</f>
        <v/>
      </c>
      <c r="D259" t="str">
        <f>IFERROR(VLOOKUP(C259,'Products Index'!$A:$B,2,FALSE),"")</f>
        <v/>
      </c>
      <c r="E259" s="12"/>
      <c r="F259" s="12"/>
      <c r="G259" s="15"/>
      <c r="H259" s="16">
        <f t="shared" si="4"/>
        <v>0</v>
      </c>
    </row>
    <row r="260" spans="2:8">
      <c r="B260" t="str">
        <f>IFERROR(VLOOKUP(A260,Customers!$A:$B,2,FALSE),"")</f>
        <v/>
      </c>
      <c r="D260" t="str">
        <f>IFERROR(VLOOKUP(C260,'Products Index'!$A:$B,2,FALSE),"")</f>
        <v/>
      </c>
      <c r="E260" s="12"/>
      <c r="F260" s="12"/>
      <c r="G260" s="15"/>
      <c r="H260" s="16">
        <f t="shared" si="4"/>
        <v>0</v>
      </c>
    </row>
    <row r="261" spans="2:8">
      <c r="B261" t="str">
        <f>IFERROR(VLOOKUP(A261,Customers!$A:$B,2,FALSE),"")</f>
        <v/>
      </c>
      <c r="D261" t="str">
        <f>IFERROR(VLOOKUP(C261,'Products Index'!$A:$B,2,FALSE),"")</f>
        <v/>
      </c>
      <c r="E261" s="12"/>
      <c r="F261" s="12"/>
      <c r="G261" s="15"/>
      <c r="H261" s="16">
        <f t="shared" si="4"/>
        <v>0</v>
      </c>
    </row>
    <row r="262" spans="2:8">
      <c r="B262" t="str">
        <f>IFERROR(VLOOKUP(A262,Customers!$A:$B,2,FALSE),"")</f>
        <v/>
      </c>
      <c r="D262" t="str">
        <f>IFERROR(VLOOKUP(C262,'Products Index'!$A:$B,2,FALSE),"")</f>
        <v/>
      </c>
      <c r="E262" s="12"/>
      <c r="F262" s="12"/>
      <c r="G262" s="15"/>
      <c r="H262" s="16">
        <f t="shared" si="4"/>
        <v>0</v>
      </c>
    </row>
    <row r="263" spans="2:8">
      <c r="B263" t="str">
        <f>IFERROR(VLOOKUP(A263,Customers!$A:$B,2,FALSE),"")</f>
        <v/>
      </c>
      <c r="D263" t="str">
        <f>IFERROR(VLOOKUP(C263,'Products Index'!$A:$B,2,FALSE),"")</f>
        <v/>
      </c>
      <c r="E263" s="12"/>
      <c r="F263" s="12"/>
      <c r="G263" s="15"/>
      <c r="H263" s="16">
        <f t="shared" si="4"/>
        <v>0</v>
      </c>
    </row>
    <row r="264" spans="2:8">
      <c r="B264" t="str">
        <f>IFERROR(VLOOKUP(A264,Customers!$A:$B,2,FALSE),"")</f>
        <v/>
      </c>
      <c r="D264" t="str">
        <f>IFERROR(VLOOKUP(C264,'Products Index'!$A:$B,2,FALSE),"")</f>
        <v/>
      </c>
      <c r="E264" s="12"/>
      <c r="F264" s="12"/>
      <c r="G264" s="15"/>
      <c r="H264" s="16">
        <f t="shared" si="4"/>
        <v>0</v>
      </c>
    </row>
    <row r="265" spans="2:8">
      <c r="B265" t="str">
        <f>IFERROR(VLOOKUP(A265,Customers!$A:$B,2,FALSE),"")</f>
        <v/>
      </c>
      <c r="D265" t="str">
        <f>IFERROR(VLOOKUP(C265,'Products Index'!$A:$B,2,FALSE),"")</f>
        <v/>
      </c>
      <c r="E265" s="12"/>
      <c r="F265" s="12"/>
      <c r="G265" s="15"/>
      <c r="H265" s="16">
        <f t="shared" si="4"/>
        <v>0</v>
      </c>
    </row>
    <row r="266" spans="2:8">
      <c r="B266" t="str">
        <f>IFERROR(VLOOKUP(A266,Customers!$A:$B,2,FALSE),"")</f>
        <v/>
      </c>
      <c r="D266" t="str">
        <f>IFERROR(VLOOKUP(C266,'Products Index'!$A:$B,2,FALSE),"")</f>
        <v/>
      </c>
      <c r="E266" s="12"/>
      <c r="F266" s="12"/>
      <c r="G266" s="15"/>
      <c r="H266" s="16">
        <f t="shared" si="4"/>
        <v>0</v>
      </c>
    </row>
    <row r="267" spans="2:8">
      <c r="B267" t="str">
        <f>IFERROR(VLOOKUP(A267,Customers!$A:$B,2,FALSE),"")</f>
        <v/>
      </c>
      <c r="D267" t="str">
        <f>IFERROR(VLOOKUP(C267,'Products Index'!$A:$B,2,FALSE),"")</f>
        <v/>
      </c>
      <c r="E267" s="12"/>
      <c r="F267" s="12"/>
      <c r="G267" s="15"/>
      <c r="H267" s="16">
        <f t="shared" si="4"/>
        <v>0</v>
      </c>
    </row>
    <row r="268" spans="2:8">
      <c r="B268" t="str">
        <f>IFERROR(VLOOKUP(A268,Customers!$A:$B,2,FALSE),"")</f>
        <v/>
      </c>
      <c r="D268" t="str">
        <f>IFERROR(VLOOKUP(C268,'Products Index'!$A:$B,2,FALSE),"")</f>
        <v/>
      </c>
      <c r="E268" s="12"/>
      <c r="F268" s="12"/>
      <c r="G268" s="15"/>
      <c r="H268" s="16">
        <f t="shared" si="4"/>
        <v>0</v>
      </c>
    </row>
    <row r="269" spans="2:8">
      <c r="B269" t="str">
        <f>IFERROR(VLOOKUP(A269,Customers!$A:$B,2,FALSE),"")</f>
        <v/>
      </c>
      <c r="D269" t="str">
        <f>IFERROR(VLOOKUP(C269,'Products Index'!$A:$B,2,FALSE),"")</f>
        <v/>
      </c>
      <c r="E269" s="12"/>
      <c r="F269" s="12"/>
      <c r="G269" s="15"/>
      <c r="H269" s="16">
        <f t="shared" si="4"/>
        <v>0</v>
      </c>
    </row>
    <row r="270" spans="2:8">
      <c r="B270" t="str">
        <f>IFERROR(VLOOKUP(A270,Customers!$A:$B,2,FALSE),"")</f>
        <v/>
      </c>
      <c r="D270" t="str">
        <f>IFERROR(VLOOKUP(C270,'Products Index'!$A:$B,2,FALSE),"")</f>
        <v/>
      </c>
      <c r="E270" s="12"/>
      <c r="F270" s="12"/>
      <c r="G270" s="15"/>
      <c r="H270" s="16">
        <f t="shared" si="4"/>
        <v>0</v>
      </c>
    </row>
    <row r="271" spans="2:8">
      <c r="B271" t="str">
        <f>IFERROR(VLOOKUP(A271,Customers!$A:$B,2,FALSE),"")</f>
        <v/>
      </c>
      <c r="D271" t="str">
        <f>IFERROR(VLOOKUP(C271,'Products Index'!$A:$B,2,FALSE),"")</f>
        <v/>
      </c>
      <c r="E271" s="12"/>
      <c r="F271" s="12"/>
      <c r="G271" s="15"/>
      <c r="H271" s="16">
        <f t="shared" si="4"/>
        <v>0</v>
      </c>
    </row>
    <row r="272" spans="2:8">
      <c r="B272" t="str">
        <f>IFERROR(VLOOKUP(A272,Customers!$A:$B,2,FALSE),"")</f>
        <v/>
      </c>
      <c r="D272" t="str">
        <f>IFERROR(VLOOKUP(C272,'Products Index'!$A:$B,2,FALSE),"")</f>
        <v/>
      </c>
      <c r="E272" s="12"/>
      <c r="F272" s="12"/>
      <c r="G272" s="15"/>
      <c r="H272" s="16">
        <f t="shared" si="4"/>
        <v>0</v>
      </c>
    </row>
    <row r="273" spans="2:8">
      <c r="B273" t="str">
        <f>IFERROR(VLOOKUP(A273,Customers!$A:$B,2,FALSE),"")</f>
        <v/>
      </c>
      <c r="D273" t="str">
        <f>IFERROR(VLOOKUP(C273,'Products Index'!$A:$B,2,FALSE),"")</f>
        <v/>
      </c>
      <c r="E273" s="12"/>
      <c r="F273" s="12"/>
      <c r="G273" s="15"/>
      <c r="H273" s="16">
        <f t="shared" si="4"/>
        <v>0</v>
      </c>
    </row>
    <row r="274" spans="2:8">
      <c r="B274" t="str">
        <f>IFERROR(VLOOKUP(A274,Customers!$A:$B,2,FALSE),"")</f>
        <v/>
      </c>
      <c r="D274" t="str">
        <f>IFERROR(VLOOKUP(C274,'Products Index'!$A:$B,2,FALSE),"")</f>
        <v/>
      </c>
      <c r="E274" s="12"/>
      <c r="F274" s="12"/>
      <c r="G274" s="15"/>
      <c r="H274" s="16">
        <f t="shared" si="4"/>
        <v>0</v>
      </c>
    </row>
    <row r="275" spans="2:8">
      <c r="B275" t="str">
        <f>IFERROR(VLOOKUP(A275,Customers!$A:$B,2,FALSE),"")</f>
        <v/>
      </c>
      <c r="D275" t="str">
        <f>IFERROR(VLOOKUP(C275,'Products Index'!$A:$B,2,FALSE),"")</f>
        <v/>
      </c>
      <c r="E275" s="12"/>
      <c r="F275" s="12"/>
      <c r="G275" s="15"/>
      <c r="H275" s="16">
        <f t="shared" si="4"/>
        <v>0</v>
      </c>
    </row>
    <row r="276" spans="2:8">
      <c r="B276" t="str">
        <f>IFERROR(VLOOKUP(A276,Customers!$A:$B,2,FALSE),"")</f>
        <v/>
      </c>
      <c r="D276" t="str">
        <f>IFERROR(VLOOKUP(C276,'Products Index'!$A:$B,2,FALSE),"")</f>
        <v/>
      </c>
      <c r="E276" s="12"/>
      <c r="F276" s="12"/>
      <c r="G276" s="15"/>
      <c r="H276" s="16">
        <f t="shared" si="4"/>
        <v>0</v>
      </c>
    </row>
    <row r="277" spans="2:8">
      <c r="B277" t="str">
        <f>IFERROR(VLOOKUP(A277,Customers!$A:$B,2,FALSE),"")</f>
        <v/>
      </c>
      <c r="D277" t="str">
        <f>IFERROR(VLOOKUP(C277,'Products Index'!$A:$B,2,FALSE),"")</f>
        <v/>
      </c>
      <c r="E277" s="12"/>
      <c r="F277" s="12"/>
      <c r="G277" s="15"/>
      <c r="H277" s="16">
        <f t="shared" si="4"/>
        <v>0</v>
      </c>
    </row>
    <row r="278" spans="2:8">
      <c r="B278" t="str">
        <f>IFERROR(VLOOKUP(A278,Customers!$A:$B,2,FALSE),"")</f>
        <v/>
      </c>
      <c r="D278" t="str">
        <f>IFERROR(VLOOKUP(C278,'Products Index'!$A:$B,2,FALSE),"")</f>
        <v/>
      </c>
      <c r="E278" s="12"/>
      <c r="F278" s="12"/>
      <c r="G278" s="15"/>
      <c r="H278" s="16">
        <f t="shared" si="4"/>
        <v>0</v>
      </c>
    </row>
    <row r="279" spans="2:8">
      <c r="B279" t="str">
        <f>IFERROR(VLOOKUP(A279,Customers!$A:$B,2,FALSE),"")</f>
        <v/>
      </c>
      <c r="D279" t="str">
        <f>IFERROR(VLOOKUP(C279,'Products Index'!$A:$B,2,FALSE),"")</f>
        <v/>
      </c>
      <c r="E279" s="12"/>
      <c r="F279" s="12"/>
      <c r="G279" s="15"/>
      <c r="H279" s="16">
        <f t="shared" si="4"/>
        <v>0</v>
      </c>
    </row>
    <row r="280" spans="2:8">
      <c r="B280" t="str">
        <f>IFERROR(VLOOKUP(A280,Customers!$A:$B,2,FALSE),"")</f>
        <v/>
      </c>
      <c r="D280" t="str">
        <f>IFERROR(VLOOKUP(C280,'Products Index'!$A:$B,2,FALSE),"")</f>
        <v/>
      </c>
      <c r="E280" s="12"/>
      <c r="F280" s="12"/>
      <c r="G280" s="15"/>
      <c r="H280" s="16">
        <f t="shared" si="4"/>
        <v>0</v>
      </c>
    </row>
    <row r="281" spans="2:8">
      <c r="B281" t="str">
        <f>IFERROR(VLOOKUP(A281,Customers!$A:$B,2,FALSE),"")</f>
        <v/>
      </c>
      <c r="D281" t="str">
        <f>IFERROR(VLOOKUP(C281,'Products Index'!$A:$B,2,FALSE),"")</f>
        <v/>
      </c>
      <c r="E281" s="12"/>
      <c r="F281" s="12"/>
      <c r="G281" s="15"/>
      <c r="H281" s="16">
        <f t="shared" si="4"/>
        <v>0</v>
      </c>
    </row>
    <row r="282" spans="2:8">
      <c r="B282" t="str">
        <f>IFERROR(VLOOKUP(A282,Customers!$A:$B,2,FALSE),"")</f>
        <v/>
      </c>
      <c r="D282" t="str">
        <f>IFERROR(VLOOKUP(C282,'Products Index'!$A:$B,2,FALSE),"")</f>
        <v/>
      </c>
      <c r="E282" s="12"/>
      <c r="F282" s="12"/>
      <c r="G282" s="15"/>
      <c r="H282" s="16">
        <f t="shared" si="4"/>
        <v>0</v>
      </c>
    </row>
    <row r="283" spans="2:8">
      <c r="B283" t="str">
        <f>IFERROR(VLOOKUP(A283,Customers!$A:$B,2,FALSE),"")</f>
        <v/>
      </c>
      <c r="D283" t="str">
        <f>IFERROR(VLOOKUP(C283,'Products Index'!$A:$B,2,FALSE),"")</f>
        <v/>
      </c>
      <c r="E283" s="12"/>
      <c r="F283" s="12"/>
      <c r="G283" s="15"/>
      <c r="H283" s="16">
        <f t="shared" si="4"/>
        <v>0</v>
      </c>
    </row>
    <row r="284" spans="2:8">
      <c r="B284" t="str">
        <f>IFERROR(VLOOKUP(A284,Customers!$A:$B,2,FALSE),"")</f>
        <v/>
      </c>
      <c r="D284" t="str">
        <f>IFERROR(VLOOKUP(C284,'Products Index'!$A:$B,2,FALSE),"")</f>
        <v/>
      </c>
      <c r="E284" s="12"/>
      <c r="F284" s="12"/>
      <c r="G284" s="15"/>
      <c r="H284" s="16">
        <f t="shared" si="4"/>
        <v>0</v>
      </c>
    </row>
    <row r="285" spans="2:8">
      <c r="B285" t="str">
        <f>IFERROR(VLOOKUP(A285,Customers!$A:$B,2,FALSE),"")</f>
        <v/>
      </c>
      <c r="D285" t="str">
        <f>IFERROR(VLOOKUP(C285,'Products Index'!$A:$B,2,FALSE),"")</f>
        <v/>
      </c>
      <c r="E285" s="12"/>
      <c r="F285" s="12"/>
      <c r="G285" s="15"/>
      <c r="H285" s="16">
        <f t="shared" si="4"/>
        <v>0</v>
      </c>
    </row>
    <row r="286" spans="2:8">
      <c r="B286" t="str">
        <f>IFERROR(VLOOKUP(A286,Customers!$A:$B,2,FALSE),"")</f>
        <v/>
      </c>
      <c r="D286" t="str">
        <f>IFERROR(VLOOKUP(C286,'Products Index'!$A:$B,2,FALSE),"")</f>
        <v/>
      </c>
      <c r="E286" s="12"/>
      <c r="F286" s="12"/>
      <c r="G286" s="15"/>
      <c r="H286" s="16">
        <f t="shared" si="4"/>
        <v>0</v>
      </c>
    </row>
    <row r="287" spans="2:8">
      <c r="B287" t="str">
        <f>IFERROR(VLOOKUP(A287,Customers!$A:$B,2,FALSE),"")</f>
        <v/>
      </c>
      <c r="D287" t="str">
        <f>IFERROR(VLOOKUP(C287,'Products Index'!$A:$B,2,FALSE),"")</f>
        <v/>
      </c>
      <c r="E287" s="12"/>
      <c r="F287" s="12"/>
      <c r="G287" s="15"/>
      <c r="H287" s="16">
        <f t="shared" si="4"/>
        <v>0</v>
      </c>
    </row>
    <row r="288" spans="2:8">
      <c r="B288" t="str">
        <f>IFERROR(VLOOKUP(A288,Customers!$A:$B,2,FALSE),"")</f>
        <v/>
      </c>
      <c r="D288" t="str">
        <f>IFERROR(VLOOKUP(C288,'Products Index'!$A:$B,2,FALSE),"")</f>
        <v/>
      </c>
      <c r="E288" s="12"/>
      <c r="F288" s="12"/>
      <c r="G288" s="15"/>
      <c r="H288" s="16">
        <f t="shared" si="4"/>
        <v>0</v>
      </c>
    </row>
    <row r="289" spans="2:8">
      <c r="B289" t="str">
        <f>IFERROR(VLOOKUP(A289,Customers!$A:$B,2,FALSE),"")</f>
        <v/>
      </c>
      <c r="D289" t="str">
        <f>IFERROR(VLOOKUP(C289,'Products Index'!$A:$B,2,FALSE),"")</f>
        <v/>
      </c>
      <c r="E289" s="12"/>
      <c r="F289" s="12"/>
      <c r="G289" s="15"/>
      <c r="H289" s="16">
        <f t="shared" si="4"/>
        <v>0</v>
      </c>
    </row>
    <row r="290" spans="2:8">
      <c r="B290" t="str">
        <f>IFERROR(VLOOKUP(A290,Customers!$A:$B,2,FALSE),"")</f>
        <v/>
      </c>
      <c r="D290" t="str">
        <f>IFERROR(VLOOKUP(C290,'Products Index'!$A:$B,2,FALSE),"")</f>
        <v/>
      </c>
      <c r="E290" s="12"/>
      <c r="F290" s="12"/>
      <c r="G290" s="15"/>
      <c r="H290" s="16">
        <f t="shared" si="4"/>
        <v>0</v>
      </c>
    </row>
    <row r="291" spans="2:8">
      <c r="B291" t="str">
        <f>IFERROR(VLOOKUP(A291,Customers!$A:$B,2,FALSE),"")</f>
        <v/>
      </c>
      <c r="D291" t="str">
        <f>IFERROR(VLOOKUP(C291,'Products Index'!$A:$B,2,FALSE),"")</f>
        <v/>
      </c>
      <c r="E291" s="12"/>
      <c r="F291" s="12"/>
      <c r="G291" s="15"/>
      <c r="H291" s="16">
        <f t="shared" si="4"/>
        <v>0</v>
      </c>
    </row>
    <row r="292" spans="2:8">
      <c r="B292" t="str">
        <f>IFERROR(VLOOKUP(A292,Customers!$A:$B,2,FALSE),"")</f>
        <v/>
      </c>
      <c r="D292" t="str">
        <f>IFERROR(VLOOKUP(C292,'Products Index'!$A:$B,2,FALSE),"")</f>
        <v/>
      </c>
      <c r="E292" s="12"/>
      <c r="F292" s="12"/>
      <c r="G292" s="15"/>
      <c r="H292" s="16">
        <f t="shared" si="4"/>
        <v>0</v>
      </c>
    </row>
    <row r="293" spans="2:8">
      <c r="B293" t="str">
        <f>IFERROR(VLOOKUP(A293,Customers!$A:$B,2,FALSE),"")</f>
        <v/>
      </c>
      <c r="D293" t="str">
        <f>IFERROR(VLOOKUP(C293,'Products Index'!$A:$B,2,FALSE),"")</f>
        <v/>
      </c>
      <c r="E293" s="12"/>
      <c r="F293" s="12"/>
      <c r="G293" s="15"/>
      <c r="H293" s="16">
        <f t="shared" si="4"/>
        <v>0</v>
      </c>
    </row>
    <row r="294" spans="2:8">
      <c r="B294" t="str">
        <f>IFERROR(VLOOKUP(A294,Customers!$A:$B,2,FALSE),"")</f>
        <v/>
      </c>
      <c r="D294" t="str">
        <f>IFERROR(VLOOKUP(C294,'Products Index'!$A:$B,2,FALSE),"")</f>
        <v/>
      </c>
      <c r="E294" s="12"/>
      <c r="F294" s="12"/>
      <c r="G294" s="15"/>
      <c r="H294" s="16">
        <f t="shared" si="4"/>
        <v>0</v>
      </c>
    </row>
    <row r="295" spans="2:8">
      <c r="B295" t="str">
        <f>IFERROR(VLOOKUP(A295,Customers!$A:$B,2,FALSE),"")</f>
        <v/>
      </c>
      <c r="D295" t="str">
        <f>IFERROR(VLOOKUP(C295,'Products Index'!$A:$B,2,FALSE),"")</f>
        <v/>
      </c>
      <c r="E295" s="12"/>
      <c r="F295" s="12"/>
      <c r="G295" s="15"/>
      <c r="H295" s="16">
        <f t="shared" si="4"/>
        <v>0</v>
      </c>
    </row>
    <row r="296" spans="2:8">
      <c r="B296" t="str">
        <f>IFERROR(VLOOKUP(A296,Customers!$A:$B,2,FALSE),"")</f>
        <v/>
      </c>
      <c r="D296" t="str">
        <f>IFERROR(VLOOKUP(C296,'Products Index'!$A:$B,2,FALSE),"")</f>
        <v/>
      </c>
      <c r="E296" s="12"/>
      <c r="F296" s="12"/>
      <c r="G296" s="15"/>
      <c r="H296" s="16">
        <f t="shared" si="4"/>
        <v>0</v>
      </c>
    </row>
    <row r="297" spans="2:8">
      <c r="B297" t="str">
        <f>IFERROR(VLOOKUP(A297,Customers!$A:$B,2,FALSE),"")</f>
        <v/>
      </c>
      <c r="D297" t="str">
        <f>IFERROR(VLOOKUP(C297,'Products Index'!$A:$B,2,FALSE),"")</f>
        <v/>
      </c>
      <c r="E297" s="12"/>
      <c r="F297" s="12"/>
      <c r="G297" s="15"/>
      <c r="H297" s="16">
        <f t="shared" si="4"/>
        <v>0</v>
      </c>
    </row>
    <row r="298" spans="2:8">
      <c r="B298" t="str">
        <f>IFERROR(VLOOKUP(A298,Customers!$A:$B,2,FALSE),"")</f>
        <v/>
      </c>
      <c r="D298" t="str">
        <f>IFERROR(VLOOKUP(C298,'Products Index'!$A:$B,2,FALSE),"")</f>
        <v/>
      </c>
      <c r="E298" s="12"/>
      <c r="F298" s="12"/>
      <c r="G298" s="15"/>
      <c r="H298" s="16">
        <f t="shared" si="4"/>
        <v>0</v>
      </c>
    </row>
    <row r="299" spans="2:8">
      <c r="B299" t="str">
        <f>IFERROR(VLOOKUP(A299,Customers!$A:$B,2,FALSE),"")</f>
        <v/>
      </c>
      <c r="D299" t="str">
        <f>IFERROR(VLOOKUP(C299,'Products Index'!$A:$B,2,FALSE),"")</f>
        <v/>
      </c>
      <c r="E299" s="12"/>
      <c r="F299" s="12"/>
      <c r="G299" s="15"/>
      <c r="H299" s="16">
        <f t="shared" si="4"/>
        <v>0</v>
      </c>
    </row>
    <row r="300" spans="2:8">
      <c r="B300" t="str">
        <f>IFERROR(VLOOKUP(A300,Customers!$A:$B,2,FALSE),"")</f>
        <v/>
      </c>
      <c r="D300" t="str">
        <f>IFERROR(VLOOKUP(C300,'Products Index'!$A:$B,2,FALSE),"")</f>
        <v/>
      </c>
      <c r="E300" s="12"/>
      <c r="F300" s="12"/>
      <c r="G300" s="15"/>
      <c r="H300" s="16">
        <f t="shared" si="4"/>
        <v>0</v>
      </c>
    </row>
    <row r="301" spans="2:8">
      <c r="B301" t="str">
        <f>IFERROR(VLOOKUP(A301,Customers!$A:$B,2,FALSE),"")</f>
        <v/>
      </c>
      <c r="D301" t="str">
        <f>IFERROR(VLOOKUP(C301,'Products Index'!$A:$B,2,FALSE),"")</f>
        <v/>
      </c>
      <c r="E301" s="12"/>
      <c r="F301" s="12"/>
      <c r="G301" s="15"/>
      <c r="H301" s="16">
        <f t="shared" si="4"/>
        <v>0</v>
      </c>
    </row>
    <row r="302" spans="2:8">
      <c r="B302" t="str">
        <f>IFERROR(VLOOKUP(A302,Customers!$A:$B,2,FALSE),"")</f>
        <v/>
      </c>
      <c r="D302" t="str">
        <f>IFERROR(VLOOKUP(C302,'Products Index'!$A:$B,2,FALSE),"")</f>
        <v/>
      </c>
      <c r="E302" s="12"/>
      <c r="F302" s="12"/>
      <c r="G302" s="15"/>
      <c r="H302" s="16">
        <f t="shared" si="4"/>
        <v>0</v>
      </c>
    </row>
    <row r="303" spans="2:8">
      <c r="B303" t="str">
        <f>IFERROR(VLOOKUP(A303,Customers!$A:$B,2,FALSE),"")</f>
        <v/>
      </c>
      <c r="D303" t="str">
        <f>IFERROR(VLOOKUP(C303,'Products Index'!$A:$B,2,FALSE),"")</f>
        <v/>
      </c>
      <c r="E303" s="12"/>
      <c r="F303" s="12"/>
      <c r="G303" s="15"/>
      <c r="H303" s="16">
        <f t="shared" si="4"/>
        <v>0</v>
      </c>
    </row>
    <row r="304" spans="2:8">
      <c r="B304" t="str">
        <f>IFERROR(VLOOKUP(A304,Customers!$A:$B,2,FALSE),"")</f>
        <v/>
      </c>
      <c r="D304" t="str">
        <f>IFERROR(VLOOKUP(C304,'Products Index'!$A:$B,2,FALSE),"")</f>
        <v/>
      </c>
      <c r="E304" s="12"/>
      <c r="F304" s="12"/>
      <c r="G304" s="15"/>
      <c r="H304" s="16">
        <f t="shared" si="4"/>
        <v>0</v>
      </c>
    </row>
    <row r="305" spans="2:8">
      <c r="B305" t="str">
        <f>IFERROR(VLOOKUP(A305,Customers!$A:$B,2,FALSE),"")</f>
        <v/>
      </c>
      <c r="D305" t="str">
        <f>IFERROR(VLOOKUP(C305,'Products Index'!$A:$B,2,FALSE),"")</f>
        <v/>
      </c>
      <c r="E305" s="12"/>
      <c r="F305" s="12"/>
      <c r="G305" s="15"/>
      <c r="H305" s="16">
        <f t="shared" si="4"/>
        <v>0</v>
      </c>
    </row>
    <row r="306" spans="2:8">
      <c r="B306" t="str">
        <f>IFERROR(VLOOKUP(A306,Customers!$A:$B,2,FALSE),"")</f>
        <v/>
      </c>
      <c r="D306" t="str">
        <f>IFERROR(VLOOKUP(C306,'Products Index'!$A:$B,2,FALSE),"")</f>
        <v/>
      </c>
      <c r="E306" s="12"/>
      <c r="F306" s="12"/>
      <c r="G306" s="15"/>
      <c r="H306" s="16">
        <f t="shared" si="4"/>
        <v>0</v>
      </c>
    </row>
    <row r="307" spans="2:8">
      <c r="B307" t="str">
        <f>IFERROR(VLOOKUP(A307,Customers!$A:$B,2,FALSE),"")</f>
        <v/>
      </c>
      <c r="D307" t="str">
        <f>IFERROR(VLOOKUP(C307,'Products Index'!$A:$B,2,FALSE),"")</f>
        <v/>
      </c>
      <c r="E307" s="12"/>
      <c r="F307" s="12"/>
      <c r="G307" s="15"/>
      <c r="H307" s="16">
        <f t="shared" si="4"/>
        <v>0</v>
      </c>
    </row>
    <row r="308" spans="2:8">
      <c r="B308" t="str">
        <f>IFERROR(VLOOKUP(A308,Customers!$A:$B,2,FALSE),"")</f>
        <v/>
      </c>
      <c r="D308" t="str">
        <f>IFERROR(VLOOKUP(C308,'Products Index'!$A:$B,2,FALSE),"")</f>
        <v/>
      </c>
      <c r="E308" s="12"/>
      <c r="F308" s="12"/>
      <c r="G308" s="15"/>
      <c r="H308" s="16">
        <f t="shared" si="4"/>
        <v>0</v>
      </c>
    </row>
    <row r="309" spans="2:8">
      <c r="B309" t="str">
        <f>IFERROR(VLOOKUP(A309,Customers!$A:$B,2,FALSE),"")</f>
        <v/>
      </c>
      <c r="D309" t="str">
        <f>IFERROR(VLOOKUP(C309,'Products Index'!$A:$B,2,FALSE),"")</f>
        <v/>
      </c>
      <c r="E309" s="12"/>
      <c r="F309" s="12"/>
      <c r="G309" s="15"/>
      <c r="H309" s="16">
        <f t="shared" si="4"/>
        <v>0</v>
      </c>
    </row>
    <row r="310" spans="2:8">
      <c r="B310" t="str">
        <f>IFERROR(VLOOKUP(A310,Customers!$A:$B,2,FALSE),"")</f>
        <v/>
      </c>
      <c r="D310" t="str">
        <f>IFERROR(VLOOKUP(C310,'Products Index'!$A:$B,2,FALSE),"")</f>
        <v/>
      </c>
      <c r="E310" s="12"/>
      <c r="F310" s="12"/>
      <c r="G310" s="15"/>
      <c r="H310" s="16">
        <f t="shared" si="4"/>
        <v>0</v>
      </c>
    </row>
    <row r="311" spans="2:8">
      <c r="B311" t="str">
        <f>IFERROR(VLOOKUP(A311,Customers!$A:$B,2,FALSE),"")</f>
        <v/>
      </c>
      <c r="D311" t="str">
        <f>IFERROR(VLOOKUP(C311,'Products Index'!$A:$B,2,FALSE),"")</f>
        <v/>
      </c>
      <c r="E311" s="12"/>
      <c r="F311" s="12"/>
      <c r="G311" s="15"/>
      <c r="H311" s="16">
        <f t="shared" si="4"/>
        <v>0</v>
      </c>
    </row>
    <row r="312" spans="2:8">
      <c r="B312" t="str">
        <f>IFERROR(VLOOKUP(A312,Customers!$A:$B,2,FALSE),"")</f>
        <v/>
      </c>
      <c r="D312" t="str">
        <f>IFERROR(VLOOKUP(C312,'Products Index'!$A:$B,2,FALSE),"")</f>
        <v/>
      </c>
      <c r="E312" s="12"/>
      <c r="F312" s="12"/>
      <c r="G312" s="15"/>
      <c r="H312" s="16">
        <f t="shared" si="4"/>
        <v>0</v>
      </c>
    </row>
    <row r="313" spans="2:8">
      <c r="B313" t="str">
        <f>IFERROR(VLOOKUP(A313,Customers!$A:$B,2,FALSE),"")</f>
        <v/>
      </c>
      <c r="D313" t="str">
        <f>IFERROR(VLOOKUP(C313,'Products Index'!$A:$B,2,FALSE),"")</f>
        <v/>
      </c>
      <c r="E313" s="12"/>
      <c r="F313" s="12"/>
      <c r="G313" s="15"/>
      <c r="H313" s="16">
        <f t="shared" si="4"/>
        <v>0</v>
      </c>
    </row>
    <row r="314" spans="2:8">
      <c r="B314" t="str">
        <f>IFERROR(VLOOKUP(A314,Customers!$A:$B,2,FALSE),"")</f>
        <v/>
      </c>
      <c r="D314" t="str">
        <f>IFERROR(VLOOKUP(C314,'Products Index'!$A:$B,2,FALSE),"")</f>
        <v/>
      </c>
      <c r="E314" s="12"/>
      <c r="F314" s="12"/>
      <c r="G314" s="15"/>
      <c r="H314" s="16">
        <f t="shared" si="4"/>
        <v>0</v>
      </c>
    </row>
    <row r="315" spans="2:8">
      <c r="B315" t="str">
        <f>IFERROR(VLOOKUP(A315,Customers!$A:$B,2,FALSE),"")</f>
        <v/>
      </c>
      <c r="D315" t="str">
        <f>IFERROR(VLOOKUP(C315,'Products Index'!$A:$B,2,FALSE),"")</f>
        <v/>
      </c>
      <c r="E315" s="12"/>
      <c r="F315" s="12"/>
      <c r="G315" s="15"/>
      <c r="H315" s="16">
        <f t="shared" si="4"/>
        <v>0</v>
      </c>
    </row>
    <row r="316" spans="2:8">
      <c r="B316" t="str">
        <f>IFERROR(VLOOKUP(A316,Customers!$A:$B,2,FALSE),"")</f>
        <v/>
      </c>
      <c r="D316" t="str">
        <f>IFERROR(VLOOKUP(C316,'Products Index'!$A:$B,2,FALSE),"")</f>
        <v/>
      </c>
      <c r="E316" s="12"/>
      <c r="F316" s="12"/>
      <c r="G316" s="15"/>
      <c r="H316" s="16">
        <f t="shared" si="4"/>
        <v>0</v>
      </c>
    </row>
    <row r="317" spans="2:8">
      <c r="B317" t="str">
        <f>IFERROR(VLOOKUP(A317,Customers!$A:$B,2,FALSE),"")</f>
        <v/>
      </c>
      <c r="D317" t="str">
        <f>IFERROR(VLOOKUP(C317,'Products Index'!$A:$B,2,FALSE),"")</f>
        <v/>
      </c>
      <c r="E317" s="12"/>
      <c r="F317" s="12"/>
      <c r="G317" s="15"/>
      <c r="H317" s="16">
        <f t="shared" si="4"/>
        <v>0</v>
      </c>
    </row>
    <row r="318" spans="2:8">
      <c r="B318" t="str">
        <f>IFERROR(VLOOKUP(A318,Customers!$A:$B,2,FALSE),"")</f>
        <v/>
      </c>
      <c r="D318" t="str">
        <f>IFERROR(VLOOKUP(C318,'Products Index'!$A:$B,2,FALSE),"")</f>
        <v/>
      </c>
      <c r="E318" s="12"/>
      <c r="F318" s="12"/>
      <c r="G318" s="15"/>
      <c r="H318" s="16">
        <f t="shared" si="4"/>
        <v>0</v>
      </c>
    </row>
    <row r="319" spans="2:8">
      <c r="B319" t="str">
        <f>IFERROR(VLOOKUP(A319,Customers!$A:$B,2,FALSE),"")</f>
        <v/>
      </c>
      <c r="D319" t="str">
        <f>IFERROR(VLOOKUP(C319,'Products Index'!$A:$B,2,FALSE),"")</f>
        <v/>
      </c>
      <c r="E319" s="12"/>
      <c r="F319" s="12"/>
      <c r="G319" s="15"/>
      <c r="H319" s="16">
        <f t="shared" si="4"/>
        <v>0</v>
      </c>
    </row>
    <row r="320" spans="2:8">
      <c r="B320" t="str">
        <f>IFERROR(VLOOKUP(A320,Customers!$A:$B,2,FALSE),"")</f>
        <v/>
      </c>
      <c r="D320" t="str">
        <f>IFERROR(VLOOKUP(C320,'Products Index'!$A:$B,2,FALSE),"")</f>
        <v/>
      </c>
      <c r="E320" s="12"/>
      <c r="F320" s="12"/>
      <c r="G320" s="15"/>
      <c r="H320" s="16">
        <f t="shared" si="4"/>
        <v>0</v>
      </c>
    </row>
    <row r="321" spans="2:8">
      <c r="B321" t="str">
        <f>IFERROR(VLOOKUP(A321,Customers!$A:$B,2,FALSE),"")</f>
        <v/>
      </c>
      <c r="D321" t="str">
        <f>IFERROR(VLOOKUP(C321,'Products Index'!$A:$B,2,FALSE),"")</f>
        <v/>
      </c>
      <c r="E321" s="12"/>
      <c r="F321" s="12"/>
      <c r="G321" s="15"/>
      <c r="H321" s="16">
        <f t="shared" si="4"/>
        <v>0</v>
      </c>
    </row>
    <row r="322" spans="2:8">
      <c r="B322" t="str">
        <f>IFERROR(VLOOKUP(A322,Customers!$A:$B,2,FALSE),"")</f>
        <v/>
      </c>
      <c r="D322" t="str">
        <f>IFERROR(VLOOKUP(C322,'Products Index'!$A:$B,2,FALSE),"")</f>
        <v/>
      </c>
      <c r="E322" s="12"/>
      <c r="F322" s="12"/>
      <c r="G322" s="15"/>
      <c r="H322" s="16">
        <f t="shared" ref="H322:H385" si="5">IFERROR(E322*(1-G322),0)</f>
        <v>0</v>
      </c>
    </row>
    <row r="323" spans="2:8">
      <c r="B323" t="str">
        <f>IFERROR(VLOOKUP(A323,Customers!$A:$B,2,FALSE),"")</f>
        <v/>
      </c>
      <c r="D323" t="str">
        <f>IFERROR(VLOOKUP(C323,'Products Index'!$A:$B,2,FALSE),"")</f>
        <v/>
      </c>
      <c r="E323" s="12"/>
      <c r="F323" s="12"/>
      <c r="G323" s="15"/>
      <c r="H323" s="16">
        <f t="shared" si="5"/>
        <v>0</v>
      </c>
    </row>
    <row r="324" spans="2:8">
      <c r="B324" t="str">
        <f>IFERROR(VLOOKUP(A324,Customers!$A:$B,2,FALSE),"")</f>
        <v/>
      </c>
      <c r="D324" t="str">
        <f>IFERROR(VLOOKUP(C324,'Products Index'!$A:$B,2,FALSE),"")</f>
        <v/>
      </c>
      <c r="E324" s="12"/>
      <c r="F324" s="12"/>
      <c r="G324" s="15"/>
      <c r="H324" s="16">
        <f t="shared" si="5"/>
        <v>0</v>
      </c>
    </row>
    <row r="325" spans="2:8">
      <c r="B325" t="str">
        <f>IFERROR(VLOOKUP(A325,Customers!$A:$B,2,FALSE),"")</f>
        <v/>
      </c>
      <c r="D325" t="str">
        <f>IFERROR(VLOOKUP(C325,'Products Index'!$A:$B,2,FALSE),"")</f>
        <v/>
      </c>
      <c r="E325" s="12"/>
      <c r="F325" s="12"/>
      <c r="G325" s="15"/>
      <c r="H325" s="16">
        <f t="shared" si="5"/>
        <v>0</v>
      </c>
    </row>
    <row r="326" spans="2:8">
      <c r="B326" t="str">
        <f>IFERROR(VLOOKUP(A326,Customers!$A:$B,2,FALSE),"")</f>
        <v/>
      </c>
      <c r="D326" t="str">
        <f>IFERROR(VLOOKUP(C326,'Products Index'!$A:$B,2,FALSE),"")</f>
        <v/>
      </c>
      <c r="E326" s="12"/>
      <c r="F326" s="12"/>
      <c r="G326" s="15"/>
      <c r="H326" s="16">
        <f t="shared" si="5"/>
        <v>0</v>
      </c>
    </row>
    <row r="327" spans="2:8">
      <c r="B327" t="str">
        <f>IFERROR(VLOOKUP(A327,Customers!$A:$B,2,FALSE),"")</f>
        <v/>
      </c>
      <c r="D327" t="str">
        <f>IFERROR(VLOOKUP(C327,'Products Index'!$A:$B,2,FALSE),"")</f>
        <v/>
      </c>
      <c r="E327" s="12"/>
      <c r="F327" s="12"/>
      <c r="G327" s="15"/>
      <c r="H327" s="16">
        <f t="shared" si="5"/>
        <v>0</v>
      </c>
    </row>
    <row r="328" spans="2:8">
      <c r="B328" t="str">
        <f>IFERROR(VLOOKUP(A328,Customers!$A:$B,2,FALSE),"")</f>
        <v/>
      </c>
      <c r="D328" t="str">
        <f>IFERROR(VLOOKUP(C328,'Products Index'!$A:$B,2,FALSE),"")</f>
        <v/>
      </c>
      <c r="E328" s="12"/>
      <c r="F328" s="12"/>
      <c r="G328" s="15"/>
      <c r="H328" s="16">
        <f t="shared" si="5"/>
        <v>0</v>
      </c>
    </row>
    <row r="329" spans="2:8">
      <c r="B329" t="str">
        <f>IFERROR(VLOOKUP(A329,Customers!$A:$B,2,FALSE),"")</f>
        <v/>
      </c>
      <c r="D329" t="str">
        <f>IFERROR(VLOOKUP(C329,'Products Index'!$A:$B,2,FALSE),"")</f>
        <v/>
      </c>
      <c r="E329" s="12"/>
      <c r="F329" s="12"/>
      <c r="G329" s="15"/>
      <c r="H329" s="16">
        <f t="shared" si="5"/>
        <v>0</v>
      </c>
    </row>
    <row r="330" spans="2:8">
      <c r="B330" t="str">
        <f>IFERROR(VLOOKUP(A330,Customers!$A:$B,2,FALSE),"")</f>
        <v/>
      </c>
      <c r="D330" t="str">
        <f>IFERROR(VLOOKUP(C330,'Products Index'!$A:$B,2,FALSE),"")</f>
        <v/>
      </c>
      <c r="E330" s="12"/>
      <c r="F330" s="12"/>
      <c r="G330" s="15"/>
      <c r="H330" s="16">
        <f t="shared" si="5"/>
        <v>0</v>
      </c>
    </row>
    <row r="331" spans="2:8">
      <c r="B331" t="str">
        <f>IFERROR(VLOOKUP(A331,Customers!$A:$B,2,FALSE),"")</f>
        <v/>
      </c>
      <c r="D331" t="str">
        <f>IFERROR(VLOOKUP(C331,'Products Index'!$A:$B,2,FALSE),"")</f>
        <v/>
      </c>
      <c r="E331" s="12"/>
      <c r="F331" s="12"/>
      <c r="G331" s="15"/>
      <c r="H331" s="16">
        <f t="shared" si="5"/>
        <v>0</v>
      </c>
    </row>
    <row r="332" spans="2:8">
      <c r="B332" t="str">
        <f>IFERROR(VLOOKUP(A332,Customers!$A:$B,2,FALSE),"")</f>
        <v/>
      </c>
      <c r="D332" t="str">
        <f>IFERROR(VLOOKUP(C332,'Products Index'!$A:$B,2,FALSE),"")</f>
        <v/>
      </c>
      <c r="E332" s="12"/>
      <c r="F332" s="12"/>
      <c r="G332" s="15"/>
      <c r="H332" s="16">
        <f t="shared" si="5"/>
        <v>0</v>
      </c>
    </row>
    <row r="333" spans="2:8">
      <c r="B333" t="str">
        <f>IFERROR(VLOOKUP(A333,Customers!$A:$B,2,FALSE),"")</f>
        <v/>
      </c>
      <c r="D333" t="str">
        <f>IFERROR(VLOOKUP(C333,'Products Index'!$A:$B,2,FALSE),"")</f>
        <v/>
      </c>
      <c r="E333" s="12"/>
      <c r="F333" s="12"/>
      <c r="G333" s="15"/>
      <c r="H333" s="16">
        <f t="shared" si="5"/>
        <v>0</v>
      </c>
    </row>
    <row r="334" spans="2:8">
      <c r="B334" t="str">
        <f>IFERROR(VLOOKUP(A334,Customers!$A:$B,2,FALSE),"")</f>
        <v/>
      </c>
      <c r="D334" t="str">
        <f>IFERROR(VLOOKUP(C334,'Products Index'!$A:$B,2,FALSE),"")</f>
        <v/>
      </c>
      <c r="E334" s="12"/>
      <c r="F334" s="12"/>
      <c r="G334" s="15"/>
      <c r="H334" s="16">
        <f t="shared" si="5"/>
        <v>0</v>
      </c>
    </row>
    <row r="335" spans="2:8">
      <c r="B335" t="str">
        <f>IFERROR(VLOOKUP(A335,Customers!$A:$B,2,FALSE),"")</f>
        <v/>
      </c>
      <c r="D335" t="str">
        <f>IFERROR(VLOOKUP(C335,'Products Index'!$A:$B,2,FALSE),"")</f>
        <v/>
      </c>
      <c r="E335" s="12"/>
      <c r="F335" s="12"/>
      <c r="G335" s="15"/>
      <c r="H335" s="16">
        <f t="shared" si="5"/>
        <v>0</v>
      </c>
    </row>
    <row r="336" spans="2:8">
      <c r="B336" t="str">
        <f>IFERROR(VLOOKUP(A336,Customers!$A:$B,2,FALSE),"")</f>
        <v/>
      </c>
      <c r="D336" t="str">
        <f>IFERROR(VLOOKUP(C336,'Products Index'!$A:$B,2,FALSE),"")</f>
        <v/>
      </c>
      <c r="E336" s="12"/>
      <c r="F336" s="12"/>
      <c r="G336" s="15"/>
      <c r="H336" s="16">
        <f t="shared" si="5"/>
        <v>0</v>
      </c>
    </row>
    <row r="337" spans="2:8">
      <c r="B337" t="str">
        <f>IFERROR(VLOOKUP(A337,Customers!$A:$B,2,FALSE),"")</f>
        <v/>
      </c>
      <c r="D337" t="str">
        <f>IFERROR(VLOOKUP(C337,'Products Index'!$A:$B,2,FALSE),"")</f>
        <v/>
      </c>
      <c r="E337" s="12"/>
      <c r="F337" s="12"/>
      <c r="G337" s="15"/>
      <c r="H337" s="16">
        <f t="shared" si="5"/>
        <v>0</v>
      </c>
    </row>
    <row r="338" spans="2:8">
      <c r="B338" t="str">
        <f>IFERROR(VLOOKUP(A338,Customers!$A:$B,2,FALSE),"")</f>
        <v/>
      </c>
      <c r="D338" t="str">
        <f>IFERROR(VLOOKUP(C338,'Products Index'!$A:$B,2,FALSE),"")</f>
        <v/>
      </c>
      <c r="E338" s="12"/>
      <c r="F338" s="12"/>
      <c r="G338" s="15"/>
      <c r="H338" s="16">
        <f t="shared" si="5"/>
        <v>0</v>
      </c>
    </row>
    <row r="339" spans="2:8">
      <c r="B339" t="str">
        <f>IFERROR(VLOOKUP(A339,Customers!$A:$B,2,FALSE),"")</f>
        <v/>
      </c>
      <c r="D339" t="str">
        <f>IFERROR(VLOOKUP(C339,'Products Index'!$A:$B,2,FALSE),"")</f>
        <v/>
      </c>
      <c r="E339" s="12"/>
      <c r="F339" s="12"/>
      <c r="G339" s="15"/>
      <c r="H339" s="16">
        <f t="shared" si="5"/>
        <v>0</v>
      </c>
    </row>
    <row r="340" spans="2:8">
      <c r="B340" t="str">
        <f>IFERROR(VLOOKUP(A340,Customers!$A:$B,2,FALSE),"")</f>
        <v/>
      </c>
      <c r="D340" t="str">
        <f>IFERROR(VLOOKUP(C340,'Products Index'!$A:$B,2,FALSE),"")</f>
        <v/>
      </c>
      <c r="E340" s="12"/>
      <c r="F340" s="12"/>
      <c r="G340" s="15"/>
      <c r="H340" s="16">
        <f t="shared" si="5"/>
        <v>0</v>
      </c>
    </row>
    <row r="341" spans="2:8">
      <c r="B341" t="str">
        <f>IFERROR(VLOOKUP(A341,Customers!$A:$B,2,FALSE),"")</f>
        <v/>
      </c>
      <c r="D341" t="str">
        <f>IFERROR(VLOOKUP(C341,'Products Index'!$A:$B,2,FALSE),"")</f>
        <v/>
      </c>
      <c r="E341" s="12"/>
      <c r="F341" s="12"/>
      <c r="G341" s="15"/>
      <c r="H341" s="16">
        <f t="shared" si="5"/>
        <v>0</v>
      </c>
    </row>
    <row r="342" spans="2:8">
      <c r="B342" t="str">
        <f>IFERROR(VLOOKUP(A342,Customers!$A:$B,2,FALSE),"")</f>
        <v/>
      </c>
      <c r="D342" t="str">
        <f>IFERROR(VLOOKUP(C342,'Products Index'!$A:$B,2,FALSE),"")</f>
        <v/>
      </c>
      <c r="E342" s="12"/>
      <c r="F342" s="12"/>
      <c r="G342" s="15"/>
      <c r="H342" s="16">
        <f t="shared" si="5"/>
        <v>0</v>
      </c>
    </row>
    <row r="343" spans="2:8">
      <c r="B343" t="str">
        <f>IFERROR(VLOOKUP(A343,Customers!$A:$B,2,FALSE),"")</f>
        <v/>
      </c>
      <c r="D343" t="str">
        <f>IFERROR(VLOOKUP(C343,'Products Index'!$A:$B,2,FALSE),"")</f>
        <v/>
      </c>
      <c r="E343" s="12"/>
      <c r="F343" s="12"/>
      <c r="G343" s="15"/>
      <c r="H343" s="16">
        <f t="shared" si="5"/>
        <v>0</v>
      </c>
    </row>
    <row r="344" spans="2:8">
      <c r="B344" t="str">
        <f>IFERROR(VLOOKUP(A344,Customers!$A:$B,2,FALSE),"")</f>
        <v/>
      </c>
      <c r="D344" t="str">
        <f>IFERROR(VLOOKUP(C344,'Products Index'!$A:$B,2,FALSE),"")</f>
        <v/>
      </c>
      <c r="E344" s="12"/>
      <c r="F344" s="12"/>
      <c r="G344" s="15"/>
      <c r="H344" s="16">
        <f t="shared" si="5"/>
        <v>0</v>
      </c>
    </row>
    <row r="345" spans="2:8">
      <c r="B345" t="str">
        <f>IFERROR(VLOOKUP(A345,Customers!$A:$B,2,FALSE),"")</f>
        <v/>
      </c>
      <c r="D345" t="str">
        <f>IFERROR(VLOOKUP(C345,'Products Index'!$A:$B,2,FALSE),"")</f>
        <v/>
      </c>
      <c r="E345" s="12"/>
      <c r="F345" s="12"/>
      <c r="G345" s="15"/>
      <c r="H345" s="16">
        <f t="shared" si="5"/>
        <v>0</v>
      </c>
    </row>
    <row r="346" spans="2:8">
      <c r="B346" t="str">
        <f>IFERROR(VLOOKUP(A346,Customers!$A:$B,2,FALSE),"")</f>
        <v/>
      </c>
      <c r="D346" t="str">
        <f>IFERROR(VLOOKUP(C346,'Products Index'!$A:$B,2,FALSE),"")</f>
        <v/>
      </c>
      <c r="E346" s="12"/>
      <c r="F346" s="12"/>
      <c r="G346" s="15"/>
      <c r="H346" s="16">
        <f t="shared" si="5"/>
        <v>0</v>
      </c>
    </row>
    <row r="347" spans="2:8">
      <c r="B347" t="str">
        <f>IFERROR(VLOOKUP(A347,Customers!$A:$B,2,FALSE),"")</f>
        <v/>
      </c>
      <c r="D347" t="str">
        <f>IFERROR(VLOOKUP(C347,'Products Index'!$A:$B,2,FALSE),"")</f>
        <v/>
      </c>
      <c r="E347" s="12"/>
      <c r="F347" s="12"/>
      <c r="G347" s="15"/>
      <c r="H347" s="16">
        <f t="shared" si="5"/>
        <v>0</v>
      </c>
    </row>
    <row r="348" spans="2:8">
      <c r="B348" t="str">
        <f>IFERROR(VLOOKUP(A348,Customers!$A:$B,2,FALSE),"")</f>
        <v/>
      </c>
      <c r="D348" t="str">
        <f>IFERROR(VLOOKUP(C348,'Products Index'!$A:$B,2,FALSE),"")</f>
        <v/>
      </c>
      <c r="E348" s="12"/>
      <c r="F348" s="12"/>
      <c r="G348" s="15"/>
      <c r="H348" s="16">
        <f t="shared" si="5"/>
        <v>0</v>
      </c>
    </row>
    <row r="349" spans="2:8">
      <c r="B349" t="str">
        <f>IFERROR(VLOOKUP(A349,Customers!$A:$B,2,FALSE),"")</f>
        <v/>
      </c>
      <c r="D349" t="str">
        <f>IFERROR(VLOOKUP(C349,'Products Index'!$A:$B,2,FALSE),"")</f>
        <v/>
      </c>
      <c r="E349" s="12"/>
      <c r="F349" s="12"/>
      <c r="G349" s="15"/>
      <c r="H349" s="16">
        <f t="shared" si="5"/>
        <v>0</v>
      </c>
    </row>
    <row r="350" spans="2:8">
      <c r="B350" t="str">
        <f>IFERROR(VLOOKUP(A350,Customers!$A:$B,2,FALSE),"")</f>
        <v/>
      </c>
      <c r="D350" t="str">
        <f>IFERROR(VLOOKUP(C350,'Products Index'!$A:$B,2,FALSE),"")</f>
        <v/>
      </c>
      <c r="E350" s="12"/>
      <c r="F350" s="12"/>
      <c r="G350" s="15"/>
      <c r="H350" s="16">
        <f t="shared" si="5"/>
        <v>0</v>
      </c>
    </row>
    <row r="351" spans="2:8">
      <c r="B351" t="str">
        <f>IFERROR(VLOOKUP(A351,Customers!$A:$B,2,FALSE),"")</f>
        <v/>
      </c>
      <c r="D351" t="str">
        <f>IFERROR(VLOOKUP(C351,'Products Index'!$A:$B,2,FALSE),"")</f>
        <v/>
      </c>
      <c r="E351" s="12"/>
      <c r="F351" s="12"/>
      <c r="G351" s="15"/>
      <c r="H351" s="16">
        <f t="shared" si="5"/>
        <v>0</v>
      </c>
    </row>
    <row r="352" spans="2:8">
      <c r="B352" t="str">
        <f>IFERROR(VLOOKUP(A352,Customers!$A:$B,2,FALSE),"")</f>
        <v/>
      </c>
      <c r="D352" t="str">
        <f>IFERROR(VLOOKUP(C352,'Products Index'!$A:$B,2,FALSE),"")</f>
        <v/>
      </c>
      <c r="E352" s="12"/>
      <c r="F352" s="12"/>
      <c r="G352" s="15"/>
      <c r="H352" s="16">
        <f t="shared" si="5"/>
        <v>0</v>
      </c>
    </row>
    <row r="353" spans="2:8">
      <c r="B353" t="str">
        <f>IFERROR(VLOOKUP(A353,Customers!$A:$B,2,FALSE),"")</f>
        <v/>
      </c>
      <c r="D353" t="str">
        <f>IFERROR(VLOOKUP(C353,'Products Index'!$A:$B,2,FALSE),"")</f>
        <v/>
      </c>
      <c r="E353" s="12"/>
      <c r="F353" s="12"/>
      <c r="G353" s="15"/>
      <c r="H353" s="16">
        <f t="shared" si="5"/>
        <v>0</v>
      </c>
    </row>
    <row r="354" spans="2:8">
      <c r="B354" t="str">
        <f>IFERROR(VLOOKUP(A354,Customers!$A:$B,2,FALSE),"")</f>
        <v/>
      </c>
      <c r="D354" t="str">
        <f>IFERROR(VLOOKUP(C354,'Products Index'!$A:$B,2,FALSE),"")</f>
        <v/>
      </c>
      <c r="E354" s="12"/>
      <c r="F354" s="12"/>
      <c r="G354" s="15"/>
      <c r="H354" s="16">
        <f t="shared" si="5"/>
        <v>0</v>
      </c>
    </row>
    <row r="355" spans="2:8">
      <c r="B355" t="str">
        <f>IFERROR(VLOOKUP(A355,Customers!$A:$B,2,FALSE),"")</f>
        <v/>
      </c>
      <c r="D355" t="str">
        <f>IFERROR(VLOOKUP(C355,'Products Index'!$A:$B,2,FALSE),"")</f>
        <v/>
      </c>
      <c r="E355" s="12"/>
      <c r="F355" s="12"/>
      <c r="G355" s="15"/>
      <c r="H355" s="16">
        <f t="shared" si="5"/>
        <v>0</v>
      </c>
    </row>
    <row r="356" spans="2:8">
      <c r="B356" t="str">
        <f>IFERROR(VLOOKUP(A356,Customers!$A:$B,2,FALSE),"")</f>
        <v/>
      </c>
      <c r="D356" t="str">
        <f>IFERROR(VLOOKUP(C356,'Products Index'!$A:$B,2,FALSE),"")</f>
        <v/>
      </c>
      <c r="E356" s="12"/>
      <c r="F356" s="12"/>
      <c r="G356" s="15"/>
      <c r="H356" s="16">
        <f t="shared" si="5"/>
        <v>0</v>
      </c>
    </row>
    <row r="357" spans="2:8">
      <c r="B357" t="str">
        <f>IFERROR(VLOOKUP(A357,Customers!$A:$B,2,FALSE),"")</f>
        <v/>
      </c>
      <c r="D357" t="str">
        <f>IFERROR(VLOOKUP(C357,'Products Index'!$A:$B,2,FALSE),"")</f>
        <v/>
      </c>
      <c r="E357" s="12"/>
      <c r="F357" s="12"/>
      <c r="G357" s="15"/>
      <c r="H357" s="16">
        <f t="shared" si="5"/>
        <v>0</v>
      </c>
    </row>
    <row r="358" spans="2:8">
      <c r="B358" t="str">
        <f>IFERROR(VLOOKUP(A358,Customers!$A:$B,2,FALSE),"")</f>
        <v/>
      </c>
      <c r="D358" t="str">
        <f>IFERROR(VLOOKUP(C358,'Products Index'!$A:$B,2,FALSE),"")</f>
        <v/>
      </c>
      <c r="E358" s="12"/>
      <c r="F358" s="12"/>
      <c r="G358" s="15"/>
      <c r="H358" s="16">
        <f t="shared" si="5"/>
        <v>0</v>
      </c>
    </row>
    <row r="359" spans="2:8">
      <c r="B359" t="str">
        <f>IFERROR(VLOOKUP(A359,Customers!$A:$B,2,FALSE),"")</f>
        <v/>
      </c>
      <c r="D359" t="str">
        <f>IFERROR(VLOOKUP(C359,'Products Index'!$A:$B,2,FALSE),"")</f>
        <v/>
      </c>
      <c r="E359" s="12"/>
      <c r="F359" s="12"/>
      <c r="G359" s="15"/>
      <c r="H359" s="16">
        <f t="shared" si="5"/>
        <v>0</v>
      </c>
    </row>
    <row r="360" spans="2:8">
      <c r="B360" t="str">
        <f>IFERROR(VLOOKUP(A360,Customers!$A:$B,2,FALSE),"")</f>
        <v/>
      </c>
      <c r="D360" t="str">
        <f>IFERROR(VLOOKUP(C360,'Products Index'!$A:$B,2,FALSE),"")</f>
        <v/>
      </c>
      <c r="E360" s="12"/>
      <c r="F360" s="12"/>
      <c r="G360" s="15"/>
      <c r="H360" s="16">
        <f t="shared" si="5"/>
        <v>0</v>
      </c>
    </row>
    <row r="361" spans="2:8">
      <c r="B361" t="str">
        <f>IFERROR(VLOOKUP(A361,Customers!$A:$B,2,FALSE),"")</f>
        <v/>
      </c>
      <c r="D361" t="str">
        <f>IFERROR(VLOOKUP(C361,'Products Index'!$A:$B,2,FALSE),"")</f>
        <v/>
      </c>
      <c r="E361" s="12"/>
      <c r="F361" s="12"/>
      <c r="G361" s="15"/>
      <c r="H361" s="16">
        <f t="shared" si="5"/>
        <v>0</v>
      </c>
    </row>
    <row r="362" spans="2:8">
      <c r="B362" t="str">
        <f>IFERROR(VLOOKUP(A362,Customers!$A:$B,2,FALSE),"")</f>
        <v/>
      </c>
      <c r="D362" t="str">
        <f>IFERROR(VLOOKUP(C362,'Products Index'!$A:$B,2,FALSE),"")</f>
        <v/>
      </c>
      <c r="E362" s="12"/>
      <c r="F362" s="12"/>
      <c r="G362" s="15"/>
      <c r="H362" s="16">
        <f t="shared" si="5"/>
        <v>0</v>
      </c>
    </row>
    <row r="363" spans="2:8">
      <c r="B363" t="str">
        <f>IFERROR(VLOOKUP(A363,Customers!$A:$B,2,FALSE),"")</f>
        <v/>
      </c>
      <c r="D363" t="str">
        <f>IFERROR(VLOOKUP(C363,'Products Index'!$A:$B,2,FALSE),"")</f>
        <v/>
      </c>
      <c r="E363" s="12"/>
      <c r="F363" s="12"/>
      <c r="G363" s="15"/>
      <c r="H363" s="16">
        <f t="shared" si="5"/>
        <v>0</v>
      </c>
    </row>
    <row r="364" spans="2:8">
      <c r="B364" t="str">
        <f>IFERROR(VLOOKUP(A364,Customers!$A:$B,2,FALSE),"")</f>
        <v/>
      </c>
      <c r="D364" t="str">
        <f>IFERROR(VLOOKUP(C364,'Products Index'!$A:$B,2,FALSE),"")</f>
        <v/>
      </c>
      <c r="E364" s="12"/>
      <c r="F364" s="12"/>
      <c r="G364" s="15"/>
      <c r="H364" s="16">
        <f t="shared" si="5"/>
        <v>0</v>
      </c>
    </row>
    <row r="365" spans="2:8">
      <c r="B365" t="str">
        <f>IFERROR(VLOOKUP(A365,Customers!$A:$B,2,FALSE),"")</f>
        <v/>
      </c>
      <c r="D365" t="str">
        <f>IFERROR(VLOOKUP(C365,'Products Index'!$A:$B,2,FALSE),"")</f>
        <v/>
      </c>
      <c r="E365" s="12"/>
      <c r="F365" s="12"/>
      <c r="G365" s="15"/>
      <c r="H365" s="16">
        <f t="shared" si="5"/>
        <v>0</v>
      </c>
    </row>
    <row r="366" spans="2:8">
      <c r="B366" t="str">
        <f>IFERROR(VLOOKUP(A366,Customers!$A:$B,2,FALSE),"")</f>
        <v/>
      </c>
      <c r="D366" t="str">
        <f>IFERROR(VLOOKUP(C366,'Products Index'!$A:$B,2,FALSE),"")</f>
        <v/>
      </c>
      <c r="E366" s="12"/>
      <c r="F366" s="12"/>
      <c r="G366" s="15"/>
      <c r="H366" s="16">
        <f t="shared" si="5"/>
        <v>0</v>
      </c>
    </row>
    <row r="367" spans="2:8">
      <c r="B367" t="str">
        <f>IFERROR(VLOOKUP(A367,Customers!$A:$B,2,FALSE),"")</f>
        <v/>
      </c>
      <c r="D367" t="str">
        <f>IFERROR(VLOOKUP(C367,'Products Index'!$A:$B,2,FALSE),"")</f>
        <v/>
      </c>
      <c r="E367" s="12"/>
      <c r="F367" s="12"/>
      <c r="G367" s="15"/>
      <c r="H367" s="16">
        <f t="shared" si="5"/>
        <v>0</v>
      </c>
    </row>
    <row r="368" spans="2:8">
      <c r="B368" t="str">
        <f>IFERROR(VLOOKUP(A368,Customers!$A:$B,2,FALSE),"")</f>
        <v/>
      </c>
      <c r="D368" t="str">
        <f>IFERROR(VLOOKUP(C368,'Products Index'!$A:$B,2,FALSE),"")</f>
        <v/>
      </c>
      <c r="E368" s="12"/>
      <c r="F368" s="12"/>
      <c r="G368" s="15"/>
      <c r="H368" s="16">
        <f t="shared" si="5"/>
        <v>0</v>
      </c>
    </row>
    <row r="369" spans="2:8">
      <c r="B369" t="str">
        <f>IFERROR(VLOOKUP(A369,Customers!$A:$B,2,FALSE),"")</f>
        <v/>
      </c>
      <c r="D369" t="str">
        <f>IFERROR(VLOOKUP(C369,'Products Index'!$A:$B,2,FALSE),"")</f>
        <v/>
      </c>
      <c r="E369" s="12"/>
      <c r="F369" s="12"/>
      <c r="G369" s="15"/>
      <c r="H369" s="16">
        <f t="shared" si="5"/>
        <v>0</v>
      </c>
    </row>
    <row r="370" spans="2:8">
      <c r="B370" t="str">
        <f>IFERROR(VLOOKUP(A370,Customers!$A:$B,2,FALSE),"")</f>
        <v/>
      </c>
      <c r="D370" t="str">
        <f>IFERROR(VLOOKUP(C370,'Products Index'!$A:$B,2,FALSE),"")</f>
        <v/>
      </c>
      <c r="E370" s="12"/>
      <c r="F370" s="12"/>
      <c r="G370" s="15"/>
      <c r="H370" s="16">
        <f t="shared" si="5"/>
        <v>0</v>
      </c>
    </row>
    <row r="371" spans="2:8">
      <c r="B371" t="str">
        <f>IFERROR(VLOOKUP(A371,Customers!$A:$B,2,FALSE),"")</f>
        <v/>
      </c>
      <c r="D371" t="str">
        <f>IFERROR(VLOOKUP(C371,'Products Index'!$A:$B,2,FALSE),"")</f>
        <v/>
      </c>
      <c r="E371" s="12"/>
      <c r="F371" s="12"/>
      <c r="G371" s="15"/>
      <c r="H371" s="16">
        <f t="shared" si="5"/>
        <v>0</v>
      </c>
    </row>
    <row r="372" spans="2:8">
      <c r="B372" t="str">
        <f>IFERROR(VLOOKUP(A372,Customers!$A:$B,2,FALSE),"")</f>
        <v/>
      </c>
      <c r="D372" t="str">
        <f>IFERROR(VLOOKUP(C372,'Products Index'!$A:$B,2,FALSE),"")</f>
        <v/>
      </c>
      <c r="E372" s="12"/>
      <c r="F372" s="12"/>
      <c r="G372" s="15"/>
      <c r="H372" s="16">
        <f t="shared" si="5"/>
        <v>0</v>
      </c>
    </row>
    <row r="373" spans="2:8">
      <c r="B373" t="str">
        <f>IFERROR(VLOOKUP(A373,Customers!$A:$B,2,FALSE),"")</f>
        <v/>
      </c>
      <c r="D373" t="str">
        <f>IFERROR(VLOOKUP(C373,'Products Index'!$A:$B,2,FALSE),"")</f>
        <v/>
      </c>
      <c r="E373" s="12"/>
      <c r="F373" s="12"/>
      <c r="G373" s="15"/>
      <c r="H373" s="16">
        <f t="shared" si="5"/>
        <v>0</v>
      </c>
    </row>
    <row r="374" spans="2:8">
      <c r="B374" t="str">
        <f>IFERROR(VLOOKUP(A374,Customers!$A:$B,2,FALSE),"")</f>
        <v/>
      </c>
      <c r="D374" t="str">
        <f>IFERROR(VLOOKUP(C374,'Products Index'!$A:$B,2,FALSE),"")</f>
        <v/>
      </c>
      <c r="E374" s="12"/>
      <c r="F374" s="12"/>
      <c r="G374" s="15"/>
      <c r="H374" s="16">
        <f t="shared" si="5"/>
        <v>0</v>
      </c>
    </row>
    <row r="375" spans="2:8">
      <c r="B375" t="str">
        <f>IFERROR(VLOOKUP(A375,Customers!$A:$B,2,FALSE),"")</f>
        <v/>
      </c>
      <c r="D375" t="str">
        <f>IFERROR(VLOOKUP(C375,'Products Index'!$A:$B,2,FALSE),"")</f>
        <v/>
      </c>
      <c r="E375" s="12"/>
      <c r="F375" s="12"/>
      <c r="G375" s="15"/>
      <c r="H375" s="16">
        <f t="shared" si="5"/>
        <v>0</v>
      </c>
    </row>
    <row r="376" spans="2:8">
      <c r="B376" t="str">
        <f>IFERROR(VLOOKUP(A376,Customers!$A:$B,2,FALSE),"")</f>
        <v/>
      </c>
      <c r="D376" t="str">
        <f>IFERROR(VLOOKUP(C376,'Products Index'!$A:$B,2,FALSE),"")</f>
        <v/>
      </c>
      <c r="E376" s="12"/>
      <c r="F376" s="12"/>
      <c r="G376" s="15"/>
      <c r="H376" s="16">
        <f t="shared" si="5"/>
        <v>0</v>
      </c>
    </row>
    <row r="377" spans="2:8">
      <c r="B377" t="str">
        <f>IFERROR(VLOOKUP(A377,Customers!$A:$B,2,FALSE),"")</f>
        <v/>
      </c>
      <c r="D377" t="str">
        <f>IFERROR(VLOOKUP(C377,'Products Index'!$A:$B,2,FALSE),"")</f>
        <v/>
      </c>
      <c r="E377" s="12"/>
      <c r="F377" s="12"/>
      <c r="G377" s="15"/>
      <c r="H377" s="16">
        <f t="shared" si="5"/>
        <v>0</v>
      </c>
    </row>
    <row r="378" spans="2:8">
      <c r="B378" t="str">
        <f>IFERROR(VLOOKUP(A378,Customers!$A:$B,2,FALSE),"")</f>
        <v/>
      </c>
      <c r="D378" t="str">
        <f>IFERROR(VLOOKUP(C378,'Products Index'!$A:$B,2,FALSE),"")</f>
        <v/>
      </c>
      <c r="E378" s="12"/>
      <c r="F378" s="12"/>
      <c r="G378" s="15"/>
      <c r="H378" s="16">
        <f t="shared" si="5"/>
        <v>0</v>
      </c>
    </row>
    <row r="379" spans="2:8">
      <c r="B379" t="str">
        <f>IFERROR(VLOOKUP(A379,Customers!$A:$B,2,FALSE),"")</f>
        <v/>
      </c>
      <c r="D379" t="str">
        <f>IFERROR(VLOOKUP(C379,'Products Index'!$A:$B,2,FALSE),"")</f>
        <v/>
      </c>
      <c r="E379" s="12"/>
      <c r="F379" s="12"/>
      <c r="G379" s="15"/>
      <c r="H379" s="16">
        <f t="shared" si="5"/>
        <v>0</v>
      </c>
    </row>
    <row r="380" spans="2:8">
      <c r="B380" t="str">
        <f>IFERROR(VLOOKUP(A380,Customers!$A:$B,2,FALSE),"")</f>
        <v/>
      </c>
      <c r="D380" t="str">
        <f>IFERROR(VLOOKUP(C380,'Products Index'!$A:$B,2,FALSE),"")</f>
        <v/>
      </c>
      <c r="E380" s="12"/>
      <c r="F380" s="12"/>
      <c r="G380" s="15"/>
      <c r="H380" s="16">
        <f t="shared" si="5"/>
        <v>0</v>
      </c>
    </row>
    <row r="381" spans="2:8">
      <c r="B381" t="str">
        <f>IFERROR(VLOOKUP(A381,Customers!$A:$B,2,FALSE),"")</f>
        <v/>
      </c>
      <c r="D381" t="str">
        <f>IFERROR(VLOOKUP(C381,'Products Index'!$A:$B,2,FALSE),"")</f>
        <v/>
      </c>
      <c r="E381" s="12"/>
      <c r="F381" s="12"/>
      <c r="G381" s="15"/>
      <c r="H381" s="16">
        <f t="shared" si="5"/>
        <v>0</v>
      </c>
    </row>
    <row r="382" spans="2:8">
      <c r="B382" t="str">
        <f>IFERROR(VLOOKUP(A382,Customers!$A:$B,2,FALSE),"")</f>
        <v/>
      </c>
      <c r="D382" t="str">
        <f>IFERROR(VLOOKUP(C382,'Products Index'!$A:$B,2,FALSE),"")</f>
        <v/>
      </c>
      <c r="E382" s="12"/>
      <c r="F382" s="12"/>
      <c r="G382" s="15"/>
      <c r="H382" s="16">
        <f t="shared" si="5"/>
        <v>0</v>
      </c>
    </row>
    <row r="383" spans="2:8">
      <c r="B383" t="str">
        <f>IFERROR(VLOOKUP(A383,Customers!$A:$B,2,FALSE),"")</f>
        <v/>
      </c>
      <c r="D383" t="str">
        <f>IFERROR(VLOOKUP(C383,'Products Index'!$A:$B,2,FALSE),"")</f>
        <v/>
      </c>
      <c r="E383" s="12"/>
      <c r="F383" s="12"/>
      <c r="G383" s="15"/>
      <c r="H383" s="16">
        <f t="shared" si="5"/>
        <v>0</v>
      </c>
    </row>
    <row r="384" spans="2:8">
      <c r="B384" t="str">
        <f>IFERROR(VLOOKUP(A384,Customers!$A:$B,2,FALSE),"")</f>
        <v/>
      </c>
      <c r="D384" t="str">
        <f>IFERROR(VLOOKUP(C384,'Products Index'!$A:$B,2,FALSE),"")</f>
        <v/>
      </c>
      <c r="E384" s="12"/>
      <c r="F384" s="12"/>
      <c r="G384" s="15"/>
      <c r="H384" s="16">
        <f t="shared" si="5"/>
        <v>0</v>
      </c>
    </row>
    <row r="385" spans="2:8">
      <c r="B385" t="str">
        <f>IFERROR(VLOOKUP(A385,Customers!$A:$B,2,FALSE),"")</f>
        <v/>
      </c>
      <c r="D385" t="str">
        <f>IFERROR(VLOOKUP(C385,'Products Index'!$A:$B,2,FALSE),"")</f>
        <v/>
      </c>
      <c r="E385" s="12"/>
      <c r="F385" s="12"/>
      <c r="G385" s="15"/>
      <c r="H385" s="16">
        <f t="shared" si="5"/>
        <v>0</v>
      </c>
    </row>
    <row r="386" spans="2:8">
      <c r="B386" t="str">
        <f>IFERROR(VLOOKUP(A386,Customers!$A:$B,2,FALSE),"")</f>
        <v/>
      </c>
      <c r="D386" t="str">
        <f>IFERROR(VLOOKUP(C386,'Products Index'!$A:$B,2,FALSE),"")</f>
        <v/>
      </c>
      <c r="E386" s="12"/>
      <c r="F386" s="12"/>
      <c r="G386" s="15"/>
      <c r="H386" s="16">
        <f t="shared" ref="H386:H449" si="6">IFERROR(E386*(1-G386),0)</f>
        <v>0</v>
      </c>
    </row>
    <row r="387" spans="2:8">
      <c r="B387" t="str">
        <f>IFERROR(VLOOKUP(A387,Customers!$A:$B,2,FALSE),"")</f>
        <v/>
      </c>
      <c r="D387" t="str">
        <f>IFERROR(VLOOKUP(C387,'Products Index'!$A:$B,2,FALSE),"")</f>
        <v/>
      </c>
      <c r="E387" s="12"/>
      <c r="F387" s="12"/>
      <c r="G387" s="15"/>
      <c r="H387" s="16">
        <f t="shared" si="6"/>
        <v>0</v>
      </c>
    </row>
    <row r="388" spans="2:8">
      <c r="B388" t="str">
        <f>IFERROR(VLOOKUP(A388,Customers!$A:$B,2,FALSE),"")</f>
        <v/>
      </c>
      <c r="D388" t="str">
        <f>IFERROR(VLOOKUP(C388,'Products Index'!$A:$B,2,FALSE),"")</f>
        <v/>
      </c>
      <c r="E388" s="12"/>
      <c r="F388" s="12"/>
      <c r="G388" s="15"/>
      <c r="H388" s="16">
        <f t="shared" si="6"/>
        <v>0</v>
      </c>
    </row>
    <row r="389" spans="2:8">
      <c r="B389" t="str">
        <f>IFERROR(VLOOKUP(A389,Customers!$A:$B,2,FALSE),"")</f>
        <v/>
      </c>
      <c r="D389" t="str">
        <f>IFERROR(VLOOKUP(C389,'Products Index'!$A:$B,2,FALSE),"")</f>
        <v/>
      </c>
      <c r="E389" s="12"/>
      <c r="F389" s="12"/>
      <c r="G389" s="15"/>
      <c r="H389" s="16">
        <f t="shared" si="6"/>
        <v>0</v>
      </c>
    </row>
    <row r="390" spans="2:8">
      <c r="B390" t="str">
        <f>IFERROR(VLOOKUP(A390,Customers!$A:$B,2,FALSE),"")</f>
        <v/>
      </c>
      <c r="D390" t="str">
        <f>IFERROR(VLOOKUP(C390,'Products Index'!$A:$B,2,FALSE),"")</f>
        <v/>
      </c>
      <c r="E390" s="12"/>
      <c r="F390" s="12"/>
      <c r="G390" s="15"/>
      <c r="H390" s="16">
        <f t="shared" si="6"/>
        <v>0</v>
      </c>
    </row>
    <row r="391" spans="2:8">
      <c r="B391" t="str">
        <f>IFERROR(VLOOKUP(A391,Customers!$A:$B,2,FALSE),"")</f>
        <v/>
      </c>
      <c r="D391" t="str">
        <f>IFERROR(VLOOKUP(C391,'Products Index'!$A:$B,2,FALSE),"")</f>
        <v/>
      </c>
      <c r="E391" s="12"/>
      <c r="F391" s="12"/>
      <c r="G391" s="15"/>
      <c r="H391" s="16">
        <f t="shared" si="6"/>
        <v>0</v>
      </c>
    </row>
    <row r="392" spans="2:8">
      <c r="B392" t="str">
        <f>IFERROR(VLOOKUP(A392,Customers!$A:$B,2,FALSE),"")</f>
        <v/>
      </c>
      <c r="D392" t="str">
        <f>IFERROR(VLOOKUP(C392,'Products Index'!$A:$B,2,FALSE),"")</f>
        <v/>
      </c>
      <c r="E392" s="12"/>
      <c r="F392" s="12"/>
      <c r="G392" s="15"/>
      <c r="H392" s="16">
        <f t="shared" si="6"/>
        <v>0</v>
      </c>
    </row>
    <row r="393" spans="2:8">
      <c r="B393" t="str">
        <f>IFERROR(VLOOKUP(A393,Customers!$A:$B,2,FALSE),"")</f>
        <v/>
      </c>
      <c r="D393" t="str">
        <f>IFERROR(VLOOKUP(C393,'Products Index'!$A:$B,2,FALSE),"")</f>
        <v/>
      </c>
      <c r="E393" s="12"/>
      <c r="F393" s="12"/>
      <c r="G393" s="15"/>
      <c r="H393" s="16">
        <f t="shared" si="6"/>
        <v>0</v>
      </c>
    </row>
    <row r="394" spans="2:8">
      <c r="B394" t="str">
        <f>IFERROR(VLOOKUP(A394,Customers!$A:$B,2,FALSE),"")</f>
        <v/>
      </c>
      <c r="D394" t="str">
        <f>IFERROR(VLOOKUP(C394,'Products Index'!$A:$B,2,FALSE),"")</f>
        <v/>
      </c>
      <c r="E394" s="12"/>
      <c r="F394" s="12"/>
      <c r="G394" s="15"/>
      <c r="H394" s="16">
        <f t="shared" si="6"/>
        <v>0</v>
      </c>
    </row>
    <row r="395" spans="2:8">
      <c r="B395" t="str">
        <f>IFERROR(VLOOKUP(A395,Customers!$A:$B,2,FALSE),"")</f>
        <v/>
      </c>
      <c r="D395" t="str">
        <f>IFERROR(VLOOKUP(C395,'Products Index'!$A:$B,2,FALSE),"")</f>
        <v/>
      </c>
      <c r="E395" s="12"/>
      <c r="F395" s="12"/>
      <c r="G395" s="15"/>
      <c r="H395" s="16">
        <f t="shared" si="6"/>
        <v>0</v>
      </c>
    </row>
    <row r="396" spans="2:8">
      <c r="B396" t="str">
        <f>IFERROR(VLOOKUP(A396,Customers!$A:$B,2,FALSE),"")</f>
        <v/>
      </c>
      <c r="D396" t="str">
        <f>IFERROR(VLOOKUP(C396,'Products Index'!$A:$B,2,FALSE),"")</f>
        <v/>
      </c>
      <c r="E396" s="12"/>
      <c r="F396" s="12"/>
      <c r="G396" s="15"/>
      <c r="H396" s="16">
        <f t="shared" si="6"/>
        <v>0</v>
      </c>
    </row>
    <row r="397" spans="2:8">
      <c r="B397" t="str">
        <f>IFERROR(VLOOKUP(A397,Customers!$A:$B,2,FALSE),"")</f>
        <v/>
      </c>
      <c r="D397" t="str">
        <f>IFERROR(VLOOKUP(C397,'Products Index'!$A:$B,2,FALSE),"")</f>
        <v/>
      </c>
      <c r="E397" s="12"/>
      <c r="F397" s="12"/>
      <c r="G397" s="15"/>
      <c r="H397" s="16">
        <f t="shared" si="6"/>
        <v>0</v>
      </c>
    </row>
    <row r="398" spans="2:8">
      <c r="B398" t="str">
        <f>IFERROR(VLOOKUP(A398,Customers!$A:$B,2,FALSE),"")</f>
        <v/>
      </c>
      <c r="D398" t="str">
        <f>IFERROR(VLOOKUP(C398,'Products Index'!$A:$B,2,FALSE),"")</f>
        <v/>
      </c>
      <c r="E398" s="12"/>
      <c r="F398" s="12"/>
      <c r="G398" s="15"/>
      <c r="H398" s="16">
        <f t="shared" si="6"/>
        <v>0</v>
      </c>
    </row>
    <row r="399" spans="2:8">
      <c r="B399" t="str">
        <f>IFERROR(VLOOKUP(A399,Customers!$A:$B,2,FALSE),"")</f>
        <v/>
      </c>
      <c r="D399" t="str">
        <f>IFERROR(VLOOKUP(C399,'Products Index'!$A:$B,2,FALSE),"")</f>
        <v/>
      </c>
      <c r="E399" s="12"/>
      <c r="F399" s="12"/>
      <c r="G399" s="15"/>
      <c r="H399" s="16">
        <f t="shared" si="6"/>
        <v>0</v>
      </c>
    </row>
    <row r="400" spans="2:8">
      <c r="B400" t="str">
        <f>IFERROR(VLOOKUP(A400,Customers!$A:$B,2,FALSE),"")</f>
        <v/>
      </c>
      <c r="D400" t="str">
        <f>IFERROR(VLOOKUP(C400,'Products Index'!$A:$B,2,FALSE),"")</f>
        <v/>
      </c>
      <c r="E400" s="12"/>
      <c r="F400" s="12"/>
      <c r="G400" s="15"/>
      <c r="H400" s="16">
        <f t="shared" si="6"/>
        <v>0</v>
      </c>
    </row>
    <row r="401" spans="2:8">
      <c r="B401" t="str">
        <f>IFERROR(VLOOKUP(A401,Customers!$A:$B,2,FALSE),"")</f>
        <v/>
      </c>
      <c r="D401" t="str">
        <f>IFERROR(VLOOKUP(C401,'Products Index'!$A:$B,2,FALSE),"")</f>
        <v/>
      </c>
      <c r="E401" s="12"/>
      <c r="F401" s="12"/>
      <c r="G401" s="15"/>
      <c r="H401" s="16">
        <f t="shared" si="6"/>
        <v>0</v>
      </c>
    </row>
    <row r="402" spans="2:8">
      <c r="B402" t="str">
        <f>IFERROR(VLOOKUP(A402,Customers!$A:$B,2,FALSE),"")</f>
        <v/>
      </c>
      <c r="D402" t="str">
        <f>IFERROR(VLOOKUP(C402,'Products Index'!$A:$B,2,FALSE),"")</f>
        <v/>
      </c>
      <c r="E402" s="12"/>
      <c r="F402" s="12"/>
      <c r="G402" s="15"/>
      <c r="H402" s="16">
        <f t="shared" si="6"/>
        <v>0</v>
      </c>
    </row>
    <row r="403" spans="2:8">
      <c r="B403" t="str">
        <f>IFERROR(VLOOKUP(A403,Customers!$A:$B,2,FALSE),"")</f>
        <v/>
      </c>
      <c r="D403" t="str">
        <f>IFERROR(VLOOKUP(C403,'Products Index'!$A:$B,2,FALSE),"")</f>
        <v/>
      </c>
      <c r="E403" s="12"/>
      <c r="F403" s="12"/>
      <c r="G403" s="15"/>
      <c r="H403" s="16">
        <f t="shared" si="6"/>
        <v>0</v>
      </c>
    </row>
    <row r="404" spans="2:8">
      <c r="B404" t="str">
        <f>IFERROR(VLOOKUP(A404,Customers!$A:$B,2,FALSE),"")</f>
        <v/>
      </c>
      <c r="D404" t="str">
        <f>IFERROR(VLOOKUP(C404,'Products Index'!$A:$B,2,FALSE),"")</f>
        <v/>
      </c>
      <c r="E404" s="12"/>
      <c r="F404" s="12"/>
      <c r="G404" s="15"/>
      <c r="H404" s="16">
        <f t="shared" si="6"/>
        <v>0</v>
      </c>
    </row>
    <row r="405" spans="2:8">
      <c r="B405" t="str">
        <f>IFERROR(VLOOKUP(A405,Customers!$A:$B,2,FALSE),"")</f>
        <v/>
      </c>
      <c r="D405" t="str">
        <f>IFERROR(VLOOKUP(C405,'Products Index'!$A:$B,2,FALSE),"")</f>
        <v/>
      </c>
      <c r="E405" s="12"/>
      <c r="F405" s="12"/>
      <c r="G405" s="15"/>
      <c r="H405" s="16">
        <f t="shared" si="6"/>
        <v>0</v>
      </c>
    </row>
    <row r="406" spans="2:8">
      <c r="B406" t="str">
        <f>IFERROR(VLOOKUP(A406,Customers!$A:$B,2,FALSE),"")</f>
        <v/>
      </c>
      <c r="D406" t="str">
        <f>IFERROR(VLOOKUP(C406,'Products Index'!$A:$B,2,FALSE),"")</f>
        <v/>
      </c>
      <c r="E406" s="12"/>
      <c r="F406" s="12"/>
      <c r="G406" s="15"/>
      <c r="H406" s="16">
        <f t="shared" si="6"/>
        <v>0</v>
      </c>
    </row>
    <row r="407" spans="2:8">
      <c r="B407" t="str">
        <f>IFERROR(VLOOKUP(A407,Customers!$A:$B,2,FALSE),"")</f>
        <v/>
      </c>
      <c r="D407" t="str">
        <f>IFERROR(VLOOKUP(C407,'Products Index'!$A:$B,2,FALSE),"")</f>
        <v/>
      </c>
      <c r="E407" s="12"/>
      <c r="F407" s="12"/>
      <c r="G407" s="15"/>
      <c r="H407" s="16">
        <f t="shared" si="6"/>
        <v>0</v>
      </c>
    </row>
    <row r="408" spans="2:8">
      <c r="B408" t="str">
        <f>IFERROR(VLOOKUP(A408,Customers!$A:$B,2,FALSE),"")</f>
        <v/>
      </c>
      <c r="D408" t="str">
        <f>IFERROR(VLOOKUP(C408,'Products Index'!$A:$B,2,FALSE),"")</f>
        <v/>
      </c>
      <c r="E408" s="12"/>
      <c r="F408" s="12"/>
      <c r="G408" s="15"/>
      <c r="H408" s="16">
        <f t="shared" si="6"/>
        <v>0</v>
      </c>
    </row>
    <row r="409" spans="2:8">
      <c r="B409" t="str">
        <f>IFERROR(VLOOKUP(A409,Customers!$A:$B,2,FALSE),"")</f>
        <v/>
      </c>
      <c r="D409" t="str">
        <f>IFERROR(VLOOKUP(C409,'Products Index'!$A:$B,2,FALSE),"")</f>
        <v/>
      </c>
      <c r="E409" s="12"/>
      <c r="F409" s="12"/>
      <c r="G409" s="15"/>
      <c r="H409" s="16">
        <f t="shared" si="6"/>
        <v>0</v>
      </c>
    </row>
    <row r="410" spans="2:8">
      <c r="B410" t="str">
        <f>IFERROR(VLOOKUP(A410,Customers!$A:$B,2,FALSE),"")</f>
        <v/>
      </c>
      <c r="D410" t="str">
        <f>IFERROR(VLOOKUP(C410,'Products Index'!$A:$B,2,FALSE),"")</f>
        <v/>
      </c>
      <c r="E410" s="12"/>
      <c r="F410" s="12"/>
      <c r="G410" s="15"/>
      <c r="H410" s="16">
        <f t="shared" si="6"/>
        <v>0</v>
      </c>
    </row>
    <row r="411" spans="2:8">
      <c r="B411" t="str">
        <f>IFERROR(VLOOKUP(A411,Customers!$A:$B,2,FALSE),"")</f>
        <v/>
      </c>
      <c r="D411" t="str">
        <f>IFERROR(VLOOKUP(C411,'Products Index'!$A:$B,2,FALSE),"")</f>
        <v/>
      </c>
      <c r="E411" s="12"/>
      <c r="F411" s="12"/>
      <c r="G411" s="15"/>
      <c r="H411" s="16">
        <f t="shared" si="6"/>
        <v>0</v>
      </c>
    </row>
    <row r="412" spans="2:8">
      <c r="B412" t="str">
        <f>IFERROR(VLOOKUP(A412,Customers!$A:$B,2,FALSE),"")</f>
        <v/>
      </c>
      <c r="D412" t="str">
        <f>IFERROR(VLOOKUP(C412,'Products Index'!$A:$B,2,FALSE),"")</f>
        <v/>
      </c>
      <c r="E412" s="12"/>
      <c r="F412" s="12"/>
      <c r="G412" s="15"/>
      <c r="H412" s="16">
        <f t="shared" si="6"/>
        <v>0</v>
      </c>
    </row>
    <row r="413" spans="2:8">
      <c r="B413" t="str">
        <f>IFERROR(VLOOKUP(A413,Customers!$A:$B,2,FALSE),"")</f>
        <v/>
      </c>
      <c r="D413" t="str">
        <f>IFERROR(VLOOKUP(C413,'Products Index'!$A:$B,2,FALSE),"")</f>
        <v/>
      </c>
      <c r="E413" s="12"/>
      <c r="F413" s="12"/>
      <c r="G413" s="15"/>
      <c r="H413" s="16">
        <f t="shared" si="6"/>
        <v>0</v>
      </c>
    </row>
    <row r="414" spans="2:8">
      <c r="B414" t="str">
        <f>IFERROR(VLOOKUP(A414,Customers!$A:$B,2,FALSE),"")</f>
        <v/>
      </c>
      <c r="D414" t="str">
        <f>IFERROR(VLOOKUP(C414,'Products Index'!$A:$B,2,FALSE),"")</f>
        <v/>
      </c>
      <c r="E414" s="12"/>
      <c r="F414" s="12"/>
      <c r="G414" s="15"/>
      <c r="H414" s="16">
        <f t="shared" si="6"/>
        <v>0</v>
      </c>
    </row>
    <row r="415" spans="2:8">
      <c r="B415" t="str">
        <f>IFERROR(VLOOKUP(A415,Customers!$A:$B,2,FALSE),"")</f>
        <v/>
      </c>
      <c r="D415" t="str">
        <f>IFERROR(VLOOKUP(C415,'Products Index'!$A:$B,2,FALSE),"")</f>
        <v/>
      </c>
      <c r="E415" s="12"/>
      <c r="F415" s="12"/>
      <c r="G415" s="15"/>
      <c r="H415" s="16">
        <f t="shared" si="6"/>
        <v>0</v>
      </c>
    </row>
    <row r="416" spans="2:8">
      <c r="B416" t="str">
        <f>IFERROR(VLOOKUP(A416,Customers!$A:$B,2,FALSE),"")</f>
        <v/>
      </c>
      <c r="D416" t="str">
        <f>IFERROR(VLOOKUP(C416,'Products Index'!$A:$B,2,FALSE),"")</f>
        <v/>
      </c>
      <c r="E416" s="12"/>
      <c r="F416" s="12"/>
      <c r="G416" s="15"/>
      <c r="H416" s="16">
        <f t="shared" si="6"/>
        <v>0</v>
      </c>
    </row>
    <row r="417" spans="2:8">
      <c r="B417" t="str">
        <f>IFERROR(VLOOKUP(A417,Customers!$A:$B,2,FALSE),"")</f>
        <v/>
      </c>
      <c r="D417" t="str">
        <f>IFERROR(VLOOKUP(C417,'Products Index'!$A:$B,2,FALSE),"")</f>
        <v/>
      </c>
      <c r="E417" s="12"/>
      <c r="F417" s="12"/>
      <c r="G417" s="15"/>
      <c r="H417" s="16">
        <f t="shared" si="6"/>
        <v>0</v>
      </c>
    </row>
    <row r="418" spans="2:8">
      <c r="B418" t="str">
        <f>IFERROR(VLOOKUP(A418,Customers!$A:$B,2,FALSE),"")</f>
        <v/>
      </c>
      <c r="D418" t="str">
        <f>IFERROR(VLOOKUP(C418,'Products Index'!$A:$B,2,FALSE),"")</f>
        <v/>
      </c>
      <c r="E418" s="12"/>
      <c r="F418" s="12"/>
      <c r="G418" s="15"/>
      <c r="H418" s="16">
        <f t="shared" si="6"/>
        <v>0</v>
      </c>
    </row>
    <row r="419" spans="2:8">
      <c r="B419" t="str">
        <f>IFERROR(VLOOKUP(A419,Customers!$A:$B,2,FALSE),"")</f>
        <v/>
      </c>
      <c r="D419" t="str">
        <f>IFERROR(VLOOKUP(C419,'Products Index'!$A:$B,2,FALSE),"")</f>
        <v/>
      </c>
      <c r="E419" s="12"/>
      <c r="F419" s="12"/>
      <c r="G419" s="15"/>
      <c r="H419" s="16">
        <f t="shared" si="6"/>
        <v>0</v>
      </c>
    </row>
    <row r="420" spans="2:8">
      <c r="B420" t="str">
        <f>IFERROR(VLOOKUP(A420,Customers!$A:$B,2,FALSE),"")</f>
        <v/>
      </c>
      <c r="D420" t="str">
        <f>IFERROR(VLOOKUP(C420,'Products Index'!$A:$B,2,FALSE),"")</f>
        <v/>
      </c>
      <c r="E420" s="12"/>
      <c r="F420" s="12"/>
      <c r="G420" s="15"/>
      <c r="H420" s="16">
        <f t="shared" si="6"/>
        <v>0</v>
      </c>
    </row>
    <row r="421" spans="2:8">
      <c r="B421" t="str">
        <f>IFERROR(VLOOKUP(A421,Customers!$A:$B,2,FALSE),"")</f>
        <v/>
      </c>
      <c r="D421" t="str">
        <f>IFERROR(VLOOKUP(C421,'Products Index'!$A:$B,2,FALSE),"")</f>
        <v/>
      </c>
      <c r="E421" s="12"/>
      <c r="F421" s="12"/>
      <c r="G421" s="15"/>
      <c r="H421" s="16">
        <f t="shared" si="6"/>
        <v>0</v>
      </c>
    </row>
    <row r="422" spans="2:8">
      <c r="B422" t="str">
        <f>IFERROR(VLOOKUP(A422,Customers!$A:$B,2,FALSE),"")</f>
        <v/>
      </c>
      <c r="D422" t="str">
        <f>IFERROR(VLOOKUP(C422,'Products Index'!$A:$B,2,FALSE),"")</f>
        <v/>
      </c>
      <c r="E422" s="12"/>
      <c r="F422" s="12"/>
      <c r="G422" s="15"/>
      <c r="H422" s="16">
        <f t="shared" si="6"/>
        <v>0</v>
      </c>
    </row>
    <row r="423" spans="2:8">
      <c r="B423" t="str">
        <f>IFERROR(VLOOKUP(A423,Customers!$A:$B,2,FALSE),"")</f>
        <v/>
      </c>
      <c r="D423" t="str">
        <f>IFERROR(VLOOKUP(C423,'Products Index'!$A:$B,2,FALSE),"")</f>
        <v/>
      </c>
      <c r="E423" s="12"/>
      <c r="F423" s="12"/>
      <c r="G423" s="15"/>
      <c r="H423" s="16">
        <f t="shared" si="6"/>
        <v>0</v>
      </c>
    </row>
    <row r="424" spans="2:8">
      <c r="B424" t="str">
        <f>IFERROR(VLOOKUP(A424,Customers!$A:$B,2,FALSE),"")</f>
        <v/>
      </c>
      <c r="D424" t="str">
        <f>IFERROR(VLOOKUP(C424,'Products Index'!$A:$B,2,FALSE),"")</f>
        <v/>
      </c>
      <c r="E424" s="12"/>
      <c r="F424" s="12"/>
      <c r="G424" s="15"/>
      <c r="H424" s="16">
        <f t="shared" si="6"/>
        <v>0</v>
      </c>
    </row>
    <row r="425" spans="2:8">
      <c r="B425" t="str">
        <f>IFERROR(VLOOKUP(A425,Customers!$A:$B,2,FALSE),"")</f>
        <v/>
      </c>
      <c r="D425" t="str">
        <f>IFERROR(VLOOKUP(C425,'Products Index'!$A:$B,2,FALSE),"")</f>
        <v/>
      </c>
      <c r="E425" s="12"/>
      <c r="F425" s="12"/>
      <c r="G425" s="15"/>
      <c r="H425" s="16">
        <f t="shared" si="6"/>
        <v>0</v>
      </c>
    </row>
    <row r="426" spans="2:8">
      <c r="B426" t="str">
        <f>IFERROR(VLOOKUP(A426,Customers!$A:$B,2,FALSE),"")</f>
        <v/>
      </c>
      <c r="D426" t="str">
        <f>IFERROR(VLOOKUP(C426,'Products Index'!$A:$B,2,FALSE),"")</f>
        <v/>
      </c>
      <c r="E426" s="12"/>
      <c r="F426" s="12"/>
      <c r="G426" s="15"/>
      <c r="H426" s="16">
        <f t="shared" si="6"/>
        <v>0</v>
      </c>
    </row>
    <row r="427" spans="2:8">
      <c r="B427" t="str">
        <f>IFERROR(VLOOKUP(A427,Customers!$A:$B,2,FALSE),"")</f>
        <v/>
      </c>
      <c r="D427" t="str">
        <f>IFERROR(VLOOKUP(C427,'Products Index'!$A:$B,2,FALSE),"")</f>
        <v/>
      </c>
      <c r="E427" s="12"/>
      <c r="F427" s="12"/>
      <c r="G427" s="15"/>
      <c r="H427" s="16">
        <f t="shared" si="6"/>
        <v>0</v>
      </c>
    </row>
    <row r="428" spans="2:8">
      <c r="B428" t="str">
        <f>IFERROR(VLOOKUP(A428,Customers!$A:$B,2,FALSE),"")</f>
        <v/>
      </c>
      <c r="D428" t="str">
        <f>IFERROR(VLOOKUP(C428,'Products Index'!$A:$B,2,FALSE),"")</f>
        <v/>
      </c>
      <c r="E428" s="12"/>
      <c r="F428" s="12"/>
      <c r="G428" s="15"/>
      <c r="H428" s="16">
        <f t="shared" si="6"/>
        <v>0</v>
      </c>
    </row>
    <row r="429" spans="2:8">
      <c r="B429" t="str">
        <f>IFERROR(VLOOKUP(A429,Customers!$A:$B,2,FALSE),"")</f>
        <v/>
      </c>
      <c r="D429" t="str">
        <f>IFERROR(VLOOKUP(C429,'Products Index'!$A:$B,2,FALSE),"")</f>
        <v/>
      </c>
      <c r="E429" s="12"/>
      <c r="F429" s="12"/>
      <c r="G429" s="15"/>
      <c r="H429" s="16">
        <f t="shared" si="6"/>
        <v>0</v>
      </c>
    </row>
    <row r="430" spans="2:8">
      <c r="B430" t="str">
        <f>IFERROR(VLOOKUP(A430,Customers!$A:$B,2,FALSE),"")</f>
        <v/>
      </c>
      <c r="D430" t="str">
        <f>IFERROR(VLOOKUP(C430,'Products Index'!$A:$B,2,FALSE),"")</f>
        <v/>
      </c>
      <c r="E430" s="12"/>
      <c r="F430" s="12"/>
      <c r="G430" s="15"/>
      <c r="H430" s="16">
        <f t="shared" si="6"/>
        <v>0</v>
      </c>
    </row>
    <row r="431" spans="2:8">
      <c r="B431" t="str">
        <f>IFERROR(VLOOKUP(A431,Customers!$A:$B,2,FALSE),"")</f>
        <v/>
      </c>
      <c r="D431" t="str">
        <f>IFERROR(VLOOKUP(C431,'Products Index'!$A:$B,2,FALSE),"")</f>
        <v/>
      </c>
      <c r="E431" s="12"/>
      <c r="F431" s="12"/>
      <c r="G431" s="15"/>
      <c r="H431" s="16">
        <f t="shared" si="6"/>
        <v>0</v>
      </c>
    </row>
    <row r="432" spans="2:8">
      <c r="B432" t="str">
        <f>IFERROR(VLOOKUP(A432,Customers!$A:$B,2,FALSE),"")</f>
        <v/>
      </c>
      <c r="D432" t="str">
        <f>IFERROR(VLOOKUP(C432,'Products Index'!$A:$B,2,FALSE),"")</f>
        <v/>
      </c>
      <c r="E432" s="12"/>
      <c r="F432" s="12"/>
      <c r="G432" s="15"/>
      <c r="H432" s="16">
        <f t="shared" si="6"/>
        <v>0</v>
      </c>
    </row>
    <row r="433" spans="2:8">
      <c r="B433" t="str">
        <f>IFERROR(VLOOKUP(A433,Customers!$A:$B,2,FALSE),"")</f>
        <v/>
      </c>
      <c r="D433" t="str">
        <f>IFERROR(VLOOKUP(C433,'Products Index'!$A:$B,2,FALSE),"")</f>
        <v/>
      </c>
      <c r="E433" s="12"/>
      <c r="F433" s="12"/>
      <c r="G433" s="15"/>
      <c r="H433" s="16">
        <f t="shared" si="6"/>
        <v>0</v>
      </c>
    </row>
    <row r="434" spans="2:8">
      <c r="B434" t="str">
        <f>IFERROR(VLOOKUP(A434,Customers!$A:$B,2,FALSE),"")</f>
        <v/>
      </c>
      <c r="D434" t="str">
        <f>IFERROR(VLOOKUP(C434,'Products Index'!$A:$B,2,FALSE),"")</f>
        <v/>
      </c>
      <c r="E434" s="12"/>
      <c r="F434" s="12"/>
      <c r="G434" s="15"/>
      <c r="H434" s="16">
        <f t="shared" si="6"/>
        <v>0</v>
      </c>
    </row>
    <row r="435" spans="2:8">
      <c r="B435" t="str">
        <f>IFERROR(VLOOKUP(A435,Customers!$A:$B,2,FALSE),"")</f>
        <v/>
      </c>
      <c r="D435" t="str">
        <f>IFERROR(VLOOKUP(C435,'Products Index'!$A:$B,2,FALSE),"")</f>
        <v/>
      </c>
      <c r="E435" s="12"/>
      <c r="F435" s="12"/>
      <c r="G435" s="15"/>
      <c r="H435" s="16">
        <f t="shared" si="6"/>
        <v>0</v>
      </c>
    </row>
    <row r="436" spans="2:8">
      <c r="B436" t="str">
        <f>IFERROR(VLOOKUP(A436,Customers!$A:$B,2,FALSE),"")</f>
        <v/>
      </c>
      <c r="D436" t="str">
        <f>IFERROR(VLOOKUP(C436,'Products Index'!$A:$B,2,FALSE),"")</f>
        <v/>
      </c>
      <c r="E436" s="12"/>
      <c r="F436" s="12"/>
      <c r="G436" s="15"/>
      <c r="H436" s="16">
        <f t="shared" si="6"/>
        <v>0</v>
      </c>
    </row>
    <row r="437" spans="2:8">
      <c r="B437" t="str">
        <f>IFERROR(VLOOKUP(A437,Customers!$A:$B,2,FALSE),"")</f>
        <v/>
      </c>
      <c r="D437" t="str">
        <f>IFERROR(VLOOKUP(C437,'Products Index'!$A:$B,2,FALSE),"")</f>
        <v/>
      </c>
      <c r="E437" s="12"/>
      <c r="F437" s="12"/>
      <c r="G437" s="15"/>
      <c r="H437" s="16">
        <f t="shared" si="6"/>
        <v>0</v>
      </c>
    </row>
    <row r="438" spans="2:8">
      <c r="B438" t="str">
        <f>IFERROR(VLOOKUP(A438,Customers!$A:$B,2,FALSE),"")</f>
        <v/>
      </c>
      <c r="D438" t="str">
        <f>IFERROR(VLOOKUP(C438,'Products Index'!$A:$B,2,FALSE),"")</f>
        <v/>
      </c>
      <c r="E438" s="12"/>
      <c r="F438" s="12"/>
      <c r="G438" s="15"/>
      <c r="H438" s="16">
        <f t="shared" si="6"/>
        <v>0</v>
      </c>
    </row>
    <row r="439" spans="2:8">
      <c r="B439" t="str">
        <f>IFERROR(VLOOKUP(A439,Customers!$A:$B,2,FALSE),"")</f>
        <v/>
      </c>
      <c r="D439" t="str">
        <f>IFERROR(VLOOKUP(C439,'Products Index'!$A:$B,2,FALSE),"")</f>
        <v/>
      </c>
      <c r="E439" s="12"/>
      <c r="F439" s="12"/>
      <c r="G439" s="15"/>
      <c r="H439" s="16">
        <f t="shared" si="6"/>
        <v>0</v>
      </c>
    </row>
    <row r="440" spans="2:8">
      <c r="B440" t="str">
        <f>IFERROR(VLOOKUP(A440,Customers!$A:$B,2,FALSE),"")</f>
        <v/>
      </c>
      <c r="D440" t="str">
        <f>IFERROR(VLOOKUP(C440,'Products Index'!$A:$B,2,FALSE),"")</f>
        <v/>
      </c>
      <c r="E440" s="12"/>
      <c r="F440" s="12"/>
      <c r="G440" s="15"/>
      <c r="H440" s="16">
        <f t="shared" si="6"/>
        <v>0</v>
      </c>
    </row>
    <row r="441" spans="2:8">
      <c r="B441" t="str">
        <f>IFERROR(VLOOKUP(A441,Customers!$A:$B,2,FALSE),"")</f>
        <v/>
      </c>
      <c r="D441" t="str">
        <f>IFERROR(VLOOKUP(C441,'Products Index'!$A:$B,2,FALSE),"")</f>
        <v/>
      </c>
      <c r="E441" s="12"/>
      <c r="F441" s="12"/>
      <c r="G441" s="15"/>
      <c r="H441" s="16">
        <f t="shared" si="6"/>
        <v>0</v>
      </c>
    </row>
    <row r="442" spans="2:8">
      <c r="B442" t="str">
        <f>IFERROR(VLOOKUP(A442,Customers!$A:$B,2,FALSE),"")</f>
        <v/>
      </c>
      <c r="D442" t="str">
        <f>IFERROR(VLOOKUP(C442,'Products Index'!$A:$B,2,FALSE),"")</f>
        <v/>
      </c>
      <c r="E442" s="12"/>
      <c r="F442" s="12"/>
      <c r="G442" s="15"/>
      <c r="H442" s="16">
        <f t="shared" si="6"/>
        <v>0</v>
      </c>
    </row>
    <row r="443" spans="2:8">
      <c r="B443" t="str">
        <f>IFERROR(VLOOKUP(A443,Customers!$A:$B,2,FALSE),"")</f>
        <v/>
      </c>
      <c r="D443" t="str">
        <f>IFERROR(VLOOKUP(C443,'Products Index'!$A:$B,2,FALSE),"")</f>
        <v/>
      </c>
      <c r="E443" s="12"/>
      <c r="F443" s="12"/>
      <c r="G443" s="15"/>
      <c r="H443" s="16">
        <f t="shared" si="6"/>
        <v>0</v>
      </c>
    </row>
    <row r="444" spans="2:8">
      <c r="B444" t="str">
        <f>IFERROR(VLOOKUP(A444,Customers!$A:$B,2,FALSE),"")</f>
        <v/>
      </c>
      <c r="D444" t="str">
        <f>IFERROR(VLOOKUP(C444,'Products Index'!$A:$B,2,FALSE),"")</f>
        <v/>
      </c>
      <c r="E444" s="12"/>
      <c r="F444" s="12"/>
      <c r="G444" s="15"/>
      <c r="H444" s="16">
        <f t="shared" si="6"/>
        <v>0</v>
      </c>
    </row>
    <row r="445" spans="2:8">
      <c r="B445" t="str">
        <f>IFERROR(VLOOKUP(A445,Customers!$A:$B,2,FALSE),"")</f>
        <v/>
      </c>
      <c r="D445" t="str">
        <f>IFERROR(VLOOKUP(C445,'Products Index'!$A:$B,2,FALSE),"")</f>
        <v/>
      </c>
      <c r="E445" s="12"/>
      <c r="F445" s="12"/>
      <c r="G445" s="15"/>
      <c r="H445" s="16">
        <f t="shared" si="6"/>
        <v>0</v>
      </c>
    </row>
    <row r="446" spans="2:8">
      <c r="B446" t="str">
        <f>IFERROR(VLOOKUP(A446,Customers!$A:$B,2,FALSE),"")</f>
        <v/>
      </c>
      <c r="D446" t="str">
        <f>IFERROR(VLOOKUP(C446,'Products Index'!$A:$B,2,FALSE),"")</f>
        <v/>
      </c>
      <c r="E446" s="12"/>
      <c r="F446" s="12"/>
      <c r="G446" s="15"/>
      <c r="H446" s="16">
        <f t="shared" si="6"/>
        <v>0</v>
      </c>
    </row>
    <row r="447" spans="2:8">
      <c r="B447" t="str">
        <f>IFERROR(VLOOKUP(A447,Customers!$A:$B,2,FALSE),"")</f>
        <v/>
      </c>
      <c r="D447" t="str">
        <f>IFERROR(VLOOKUP(C447,'Products Index'!$A:$B,2,FALSE),"")</f>
        <v/>
      </c>
      <c r="E447" s="12"/>
      <c r="F447" s="12"/>
      <c r="G447" s="15"/>
      <c r="H447" s="16">
        <f t="shared" si="6"/>
        <v>0</v>
      </c>
    </row>
    <row r="448" spans="2:8">
      <c r="B448" t="str">
        <f>IFERROR(VLOOKUP(A448,Customers!$A:$B,2,FALSE),"")</f>
        <v/>
      </c>
      <c r="D448" t="str">
        <f>IFERROR(VLOOKUP(C448,'Products Index'!$A:$B,2,FALSE),"")</f>
        <v/>
      </c>
      <c r="E448" s="12"/>
      <c r="F448" s="12"/>
      <c r="G448" s="15"/>
      <c r="H448" s="16">
        <f t="shared" si="6"/>
        <v>0</v>
      </c>
    </row>
    <row r="449" spans="2:8">
      <c r="B449" t="str">
        <f>IFERROR(VLOOKUP(A449,Customers!$A:$B,2,FALSE),"")</f>
        <v/>
      </c>
      <c r="D449" t="str">
        <f>IFERROR(VLOOKUP(C449,'Products Index'!$A:$B,2,FALSE),"")</f>
        <v/>
      </c>
      <c r="E449" s="12"/>
      <c r="F449" s="12"/>
      <c r="G449" s="15"/>
      <c r="H449" s="16">
        <f t="shared" si="6"/>
        <v>0</v>
      </c>
    </row>
    <row r="450" spans="2:8">
      <c r="B450" t="str">
        <f>IFERROR(VLOOKUP(A450,Customers!$A:$B,2,FALSE),"")</f>
        <v/>
      </c>
      <c r="D450" t="str">
        <f>IFERROR(VLOOKUP(C450,'Products Index'!$A:$B,2,FALSE),"")</f>
        <v/>
      </c>
      <c r="E450" s="12"/>
      <c r="F450" s="12"/>
      <c r="G450" s="15"/>
      <c r="H450" s="16">
        <f t="shared" ref="H450:H501" si="7">IFERROR(E450*(1-G450),0)</f>
        <v>0</v>
      </c>
    </row>
    <row r="451" spans="2:8">
      <c r="B451" t="str">
        <f>IFERROR(VLOOKUP(A451,Customers!$A:$B,2,FALSE),"")</f>
        <v/>
      </c>
      <c r="D451" t="str">
        <f>IFERROR(VLOOKUP(C451,'Products Index'!$A:$B,2,FALSE),"")</f>
        <v/>
      </c>
      <c r="E451" s="12"/>
      <c r="F451" s="12"/>
      <c r="G451" s="15"/>
      <c r="H451" s="16">
        <f t="shared" si="7"/>
        <v>0</v>
      </c>
    </row>
    <row r="452" spans="2:8">
      <c r="B452" t="str">
        <f>IFERROR(VLOOKUP(A452,Customers!$A:$B,2,FALSE),"")</f>
        <v/>
      </c>
      <c r="D452" t="str">
        <f>IFERROR(VLOOKUP(C452,'Products Index'!$A:$B,2,FALSE),"")</f>
        <v/>
      </c>
      <c r="E452" s="12"/>
      <c r="F452" s="12"/>
      <c r="G452" s="15"/>
      <c r="H452" s="16">
        <f t="shared" si="7"/>
        <v>0</v>
      </c>
    </row>
    <row r="453" spans="2:8">
      <c r="B453" t="str">
        <f>IFERROR(VLOOKUP(A453,Customers!$A:$B,2,FALSE),"")</f>
        <v/>
      </c>
      <c r="D453" t="str">
        <f>IFERROR(VLOOKUP(C453,'Products Index'!$A:$B,2,FALSE),"")</f>
        <v/>
      </c>
      <c r="E453" s="12"/>
      <c r="F453" s="12"/>
      <c r="G453" s="15"/>
      <c r="H453" s="16">
        <f t="shared" si="7"/>
        <v>0</v>
      </c>
    </row>
    <row r="454" spans="2:8">
      <c r="B454" t="str">
        <f>IFERROR(VLOOKUP(A454,Customers!$A:$B,2,FALSE),"")</f>
        <v/>
      </c>
      <c r="D454" t="str">
        <f>IFERROR(VLOOKUP(C454,'Products Index'!$A:$B,2,FALSE),"")</f>
        <v/>
      </c>
      <c r="E454" s="12"/>
      <c r="F454" s="12"/>
      <c r="G454" s="15"/>
      <c r="H454" s="16">
        <f t="shared" si="7"/>
        <v>0</v>
      </c>
    </row>
    <row r="455" spans="2:8">
      <c r="B455" t="str">
        <f>IFERROR(VLOOKUP(A455,Customers!$A:$B,2,FALSE),"")</f>
        <v/>
      </c>
      <c r="D455" t="str">
        <f>IFERROR(VLOOKUP(C455,'Products Index'!$A:$B,2,FALSE),"")</f>
        <v/>
      </c>
      <c r="E455" s="12"/>
      <c r="F455" s="12"/>
      <c r="G455" s="15"/>
      <c r="H455" s="16">
        <f t="shared" si="7"/>
        <v>0</v>
      </c>
    </row>
    <row r="456" spans="2:8">
      <c r="B456" t="str">
        <f>IFERROR(VLOOKUP(A456,Customers!$A:$B,2,FALSE),"")</f>
        <v/>
      </c>
      <c r="D456" t="str">
        <f>IFERROR(VLOOKUP(C456,'Products Index'!$A:$B,2,FALSE),"")</f>
        <v/>
      </c>
      <c r="E456" s="12"/>
      <c r="F456" s="12"/>
      <c r="G456" s="15"/>
      <c r="H456" s="16">
        <f t="shared" si="7"/>
        <v>0</v>
      </c>
    </row>
    <row r="457" spans="2:8">
      <c r="B457" t="str">
        <f>IFERROR(VLOOKUP(A457,Customers!$A:$B,2,FALSE),"")</f>
        <v/>
      </c>
      <c r="D457" t="str">
        <f>IFERROR(VLOOKUP(C457,'Products Index'!$A:$B,2,FALSE),"")</f>
        <v/>
      </c>
      <c r="E457" s="12"/>
      <c r="F457" s="12"/>
      <c r="G457" s="15"/>
      <c r="H457" s="16">
        <f t="shared" si="7"/>
        <v>0</v>
      </c>
    </row>
    <row r="458" spans="2:8">
      <c r="B458" t="str">
        <f>IFERROR(VLOOKUP(A458,Customers!$A:$B,2,FALSE),"")</f>
        <v/>
      </c>
      <c r="D458" t="str">
        <f>IFERROR(VLOOKUP(C458,'Products Index'!$A:$B,2,FALSE),"")</f>
        <v/>
      </c>
      <c r="E458" s="12"/>
      <c r="F458" s="12"/>
      <c r="G458" s="15"/>
      <c r="H458" s="16">
        <f t="shared" si="7"/>
        <v>0</v>
      </c>
    </row>
    <row r="459" spans="2:8">
      <c r="B459" t="str">
        <f>IFERROR(VLOOKUP(A459,Customers!$A:$B,2,FALSE),"")</f>
        <v/>
      </c>
      <c r="D459" t="str">
        <f>IFERROR(VLOOKUP(C459,'Products Index'!$A:$B,2,FALSE),"")</f>
        <v/>
      </c>
      <c r="E459" s="12"/>
      <c r="F459" s="12"/>
      <c r="G459" s="15"/>
      <c r="H459" s="16">
        <f t="shared" si="7"/>
        <v>0</v>
      </c>
    </row>
    <row r="460" spans="2:8">
      <c r="B460" t="str">
        <f>IFERROR(VLOOKUP(A460,Customers!$A:$B,2,FALSE),"")</f>
        <v/>
      </c>
      <c r="D460" t="str">
        <f>IFERROR(VLOOKUP(C460,'Products Index'!$A:$B,2,FALSE),"")</f>
        <v/>
      </c>
      <c r="E460" s="12"/>
      <c r="F460" s="12"/>
      <c r="G460" s="15"/>
      <c r="H460" s="16">
        <f t="shared" si="7"/>
        <v>0</v>
      </c>
    </row>
    <row r="461" spans="2:8">
      <c r="B461" t="str">
        <f>IFERROR(VLOOKUP(A461,Customers!$A:$B,2,FALSE),"")</f>
        <v/>
      </c>
      <c r="D461" t="str">
        <f>IFERROR(VLOOKUP(C461,'Products Index'!$A:$B,2,FALSE),"")</f>
        <v/>
      </c>
      <c r="E461" s="12"/>
      <c r="F461" s="12"/>
      <c r="G461" s="15"/>
      <c r="H461" s="16">
        <f t="shared" si="7"/>
        <v>0</v>
      </c>
    </row>
    <row r="462" spans="2:8">
      <c r="B462" t="str">
        <f>IFERROR(VLOOKUP(A462,Customers!$A:$B,2,FALSE),"")</f>
        <v/>
      </c>
      <c r="D462" t="str">
        <f>IFERROR(VLOOKUP(C462,'Products Index'!$A:$B,2,FALSE),"")</f>
        <v/>
      </c>
      <c r="E462" s="12"/>
      <c r="F462" s="12"/>
      <c r="G462" s="15"/>
      <c r="H462" s="16">
        <f t="shared" si="7"/>
        <v>0</v>
      </c>
    </row>
    <row r="463" spans="2:8">
      <c r="B463" t="str">
        <f>IFERROR(VLOOKUP(A463,Customers!$A:$B,2,FALSE),"")</f>
        <v/>
      </c>
      <c r="D463" t="str">
        <f>IFERROR(VLOOKUP(C463,'Products Index'!$A:$B,2,FALSE),"")</f>
        <v/>
      </c>
      <c r="E463" s="12"/>
      <c r="F463" s="12"/>
      <c r="G463" s="15"/>
      <c r="H463" s="16">
        <f t="shared" si="7"/>
        <v>0</v>
      </c>
    </row>
    <row r="464" spans="2:8">
      <c r="B464" t="str">
        <f>IFERROR(VLOOKUP(A464,Customers!$A:$B,2,FALSE),"")</f>
        <v/>
      </c>
      <c r="D464" t="str">
        <f>IFERROR(VLOOKUP(C464,'Products Index'!$A:$B,2,FALSE),"")</f>
        <v/>
      </c>
      <c r="E464" s="12"/>
      <c r="F464" s="12"/>
      <c r="G464" s="15"/>
      <c r="H464" s="16">
        <f t="shared" si="7"/>
        <v>0</v>
      </c>
    </row>
    <row r="465" spans="2:8">
      <c r="B465" t="str">
        <f>IFERROR(VLOOKUP(A465,Customers!$A:$B,2,FALSE),"")</f>
        <v/>
      </c>
      <c r="D465" t="str">
        <f>IFERROR(VLOOKUP(C465,'Products Index'!$A:$B,2,FALSE),"")</f>
        <v/>
      </c>
      <c r="E465" s="12"/>
      <c r="F465" s="12"/>
      <c r="G465" s="15"/>
      <c r="H465" s="16">
        <f t="shared" si="7"/>
        <v>0</v>
      </c>
    </row>
    <row r="466" spans="2:8">
      <c r="B466" t="str">
        <f>IFERROR(VLOOKUP(A466,Customers!$A:$B,2,FALSE),"")</f>
        <v/>
      </c>
      <c r="D466" t="str">
        <f>IFERROR(VLOOKUP(C466,'Products Index'!$A:$B,2,FALSE),"")</f>
        <v/>
      </c>
      <c r="E466" s="12"/>
      <c r="F466" s="12"/>
      <c r="G466" s="15"/>
      <c r="H466" s="16">
        <f t="shared" si="7"/>
        <v>0</v>
      </c>
    </row>
    <row r="467" spans="2:8">
      <c r="B467" t="str">
        <f>IFERROR(VLOOKUP(A467,Customers!$A:$B,2,FALSE),"")</f>
        <v/>
      </c>
      <c r="D467" t="str">
        <f>IFERROR(VLOOKUP(C467,'Products Index'!$A:$B,2,FALSE),"")</f>
        <v/>
      </c>
      <c r="E467" s="12"/>
      <c r="F467" s="12"/>
      <c r="G467" s="15"/>
      <c r="H467" s="16">
        <f t="shared" si="7"/>
        <v>0</v>
      </c>
    </row>
    <row r="468" spans="2:8">
      <c r="B468" t="str">
        <f>IFERROR(VLOOKUP(A468,Customers!$A:$B,2,FALSE),"")</f>
        <v/>
      </c>
      <c r="D468" t="str">
        <f>IFERROR(VLOOKUP(C468,'Products Index'!$A:$B,2,FALSE),"")</f>
        <v/>
      </c>
      <c r="E468" s="12"/>
      <c r="F468" s="12"/>
      <c r="G468" s="15"/>
      <c r="H468" s="16">
        <f t="shared" si="7"/>
        <v>0</v>
      </c>
    </row>
    <row r="469" spans="2:8">
      <c r="B469" t="str">
        <f>IFERROR(VLOOKUP(A469,Customers!$A:$B,2,FALSE),"")</f>
        <v/>
      </c>
      <c r="D469" t="str">
        <f>IFERROR(VLOOKUP(C469,'Products Index'!$A:$B,2,FALSE),"")</f>
        <v/>
      </c>
      <c r="E469" s="12"/>
      <c r="F469" s="12"/>
      <c r="G469" s="15"/>
      <c r="H469" s="16">
        <f t="shared" si="7"/>
        <v>0</v>
      </c>
    </row>
    <row r="470" spans="2:8">
      <c r="B470" t="str">
        <f>IFERROR(VLOOKUP(A470,Customers!$A:$B,2,FALSE),"")</f>
        <v/>
      </c>
      <c r="D470" t="str">
        <f>IFERROR(VLOOKUP(C470,'Products Index'!$A:$B,2,FALSE),"")</f>
        <v/>
      </c>
      <c r="E470" s="12"/>
      <c r="F470" s="12"/>
      <c r="G470" s="15"/>
      <c r="H470" s="16">
        <f t="shared" si="7"/>
        <v>0</v>
      </c>
    </row>
    <row r="471" spans="2:8">
      <c r="B471" t="str">
        <f>IFERROR(VLOOKUP(A471,Customers!$A:$B,2,FALSE),"")</f>
        <v/>
      </c>
      <c r="D471" t="str">
        <f>IFERROR(VLOOKUP(C471,'Products Index'!$A:$B,2,FALSE),"")</f>
        <v/>
      </c>
      <c r="E471" s="12"/>
      <c r="F471" s="12"/>
      <c r="G471" s="15"/>
      <c r="H471" s="16">
        <f t="shared" si="7"/>
        <v>0</v>
      </c>
    </row>
    <row r="472" spans="2:8">
      <c r="B472" t="str">
        <f>IFERROR(VLOOKUP(A472,Customers!$A:$B,2,FALSE),"")</f>
        <v/>
      </c>
      <c r="D472" t="str">
        <f>IFERROR(VLOOKUP(C472,'Products Index'!$A:$B,2,FALSE),"")</f>
        <v/>
      </c>
      <c r="E472" s="12"/>
      <c r="F472" s="12"/>
      <c r="G472" s="15"/>
      <c r="H472" s="16">
        <f t="shared" si="7"/>
        <v>0</v>
      </c>
    </row>
    <row r="473" spans="2:8">
      <c r="B473" t="str">
        <f>IFERROR(VLOOKUP(A473,Customers!$A:$B,2,FALSE),"")</f>
        <v/>
      </c>
      <c r="D473" t="str">
        <f>IFERROR(VLOOKUP(C473,'Products Index'!$A:$B,2,FALSE),"")</f>
        <v/>
      </c>
      <c r="E473" s="12"/>
      <c r="F473" s="12"/>
      <c r="G473" s="15"/>
      <c r="H473" s="16">
        <f t="shared" si="7"/>
        <v>0</v>
      </c>
    </row>
    <row r="474" spans="2:8">
      <c r="B474" t="str">
        <f>IFERROR(VLOOKUP(A474,Customers!$A:$B,2,FALSE),"")</f>
        <v/>
      </c>
      <c r="D474" t="str">
        <f>IFERROR(VLOOKUP(C474,'Products Index'!$A:$B,2,FALSE),"")</f>
        <v/>
      </c>
      <c r="E474" s="12"/>
      <c r="F474" s="12"/>
      <c r="G474" s="15"/>
      <c r="H474" s="16">
        <f t="shared" si="7"/>
        <v>0</v>
      </c>
    </row>
    <row r="475" spans="2:8">
      <c r="B475" t="str">
        <f>IFERROR(VLOOKUP(A475,Customers!$A:$B,2,FALSE),"")</f>
        <v/>
      </c>
      <c r="D475" t="str">
        <f>IFERROR(VLOOKUP(C475,'Products Index'!$A:$B,2,FALSE),"")</f>
        <v/>
      </c>
      <c r="E475" s="12"/>
      <c r="F475" s="12"/>
      <c r="G475" s="15"/>
      <c r="H475" s="16">
        <f t="shared" si="7"/>
        <v>0</v>
      </c>
    </row>
    <row r="476" spans="2:8">
      <c r="B476" t="str">
        <f>IFERROR(VLOOKUP(A476,Customers!$A:$B,2,FALSE),"")</f>
        <v/>
      </c>
      <c r="D476" t="str">
        <f>IFERROR(VLOOKUP(C476,'Products Index'!$A:$B,2,FALSE),"")</f>
        <v/>
      </c>
      <c r="E476" s="12"/>
      <c r="F476" s="12"/>
      <c r="G476" s="15"/>
      <c r="H476" s="16">
        <f t="shared" si="7"/>
        <v>0</v>
      </c>
    </row>
    <row r="477" spans="2:8">
      <c r="B477" t="str">
        <f>IFERROR(VLOOKUP(A477,Customers!$A:$B,2,FALSE),"")</f>
        <v/>
      </c>
      <c r="D477" t="str">
        <f>IFERROR(VLOOKUP(C477,'Products Index'!$A:$B,2,FALSE),"")</f>
        <v/>
      </c>
      <c r="E477" s="12"/>
      <c r="F477" s="12"/>
      <c r="G477" s="15"/>
      <c r="H477" s="16">
        <f t="shared" si="7"/>
        <v>0</v>
      </c>
    </row>
    <row r="478" spans="2:8">
      <c r="B478" t="str">
        <f>IFERROR(VLOOKUP(A478,Customers!$A:$B,2,FALSE),"")</f>
        <v/>
      </c>
      <c r="D478" t="str">
        <f>IFERROR(VLOOKUP(C478,'Products Index'!$A:$B,2,FALSE),"")</f>
        <v/>
      </c>
      <c r="E478" s="12"/>
      <c r="F478" s="12"/>
      <c r="G478" s="15"/>
      <c r="H478" s="16">
        <f t="shared" si="7"/>
        <v>0</v>
      </c>
    </row>
    <row r="479" spans="2:8">
      <c r="B479" t="str">
        <f>IFERROR(VLOOKUP(A479,Customers!$A:$B,2,FALSE),"")</f>
        <v/>
      </c>
      <c r="D479" t="str">
        <f>IFERROR(VLOOKUP(C479,'Products Index'!$A:$B,2,FALSE),"")</f>
        <v/>
      </c>
      <c r="E479" s="12"/>
      <c r="F479" s="12"/>
      <c r="G479" s="15"/>
      <c r="H479" s="16">
        <f t="shared" si="7"/>
        <v>0</v>
      </c>
    </row>
    <row r="480" spans="2:8">
      <c r="B480" t="str">
        <f>IFERROR(VLOOKUP(A480,Customers!$A:$B,2,FALSE),"")</f>
        <v/>
      </c>
      <c r="D480" t="str">
        <f>IFERROR(VLOOKUP(C480,'Products Index'!$A:$B,2,FALSE),"")</f>
        <v/>
      </c>
      <c r="E480" s="12"/>
      <c r="F480" s="12"/>
      <c r="G480" s="15"/>
      <c r="H480" s="16">
        <f t="shared" si="7"/>
        <v>0</v>
      </c>
    </row>
    <row r="481" spans="2:8">
      <c r="B481" t="str">
        <f>IFERROR(VLOOKUP(A481,Customers!$A:$B,2,FALSE),"")</f>
        <v/>
      </c>
      <c r="D481" t="str">
        <f>IFERROR(VLOOKUP(C481,'Products Index'!$A:$B,2,FALSE),"")</f>
        <v/>
      </c>
      <c r="E481" s="12"/>
      <c r="F481" s="12"/>
      <c r="G481" s="15"/>
      <c r="H481" s="16">
        <f t="shared" si="7"/>
        <v>0</v>
      </c>
    </row>
    <row r="482" spans="2:8">
      <c r="B482" t="str">
        <f>IFERROR(VLOOKUP(A482,Customers!$A:$B,2,FALSE),"")</f>
        <v/>
      </c>
      <c r="D482" t="str">
        <f>IFERROR(VLOOKUP(C482,'Products Index'!$A:$B,2,FALSE),"")</f>
        <v/>
      </c>
      <c r="E482" s="12"/>
      <c r="F482" s="12"/>
      <c r="G482" s="15"/>
      <c r="H482" s="16">
        <f t="shared" si="7"/>
        <v>0</v>
      </c>
    </row>
    <row r="483" spans="2:8">
      <c r="B483" t="str">
        <f>IFERROR(VLOOKUP(A483,Customers!$A:$B,2,FALSE),"")</f>
        <v/>
      </c>
      <c r="D483" t="str">
        <f>IFERROR(VLOOKUP(C483,'Products Index'!$A:$B,2,FALSE),"")</f>
        <v/>
      </c>
      <c r="E483" s="12"/>
      <c r="F483" s="12"/>
      <c r="G483" s="15"/>
      <c r="H483" s="16">
        <f t="shared" si="7"/>
        <v>0</v>
      </c>
    </row>
    <row r="484" spans="2:8">
      <c r="B484" t="str">
        <f>IFERROR(VLOOKUP(A484,Customers!$A:$B,2,FALSE),"")</f>
        <v/>
      </c>
      <c r="D484" t="str">
        <f>IFERROR(VLOOKUP(C484,'Products Index'!$A:$B,2,FALSE),"")</f>
        <v/>
      </c>
      <c r="E484" s="12"/>
      <c r="F484" s="12"/>
      <c r="G484" s="15"/>
      <c r="H484" s="16">
        <f t="shared" si="7"/>
        <v>0</v>
      </c>
    </row>
    <row r="485" spans="2:8">
      <c r="B485" t="str">
        <f>IFERROR(VLOOKUP(A485,Customers!$A:$B,2,FALSE),"")</f>
        <v/>
      </c>
      <c r="D485" t="str">
        <f>IFERROR(VLOOKUP(C485,'Products Index'!$A:$B,2,FALSE),"")</f>
        <v/>
      </c>
      <c r="E485" s="12"/>
      <c r="F485" s="12"/>
      <c r="G485" s="15"/>
      <c r="H485" s="16">
        <f t="shared" si="7"/>
        <v>0</v>
      </c>
    </row>
    <row r="486" spans="2:8">
      <c r="B486" t="str">
        <f>IFERROR(VLOOKUP(A486,Customers!$A:$B,2,FALSE),"")</f>
        <v/>
      </c>
      <c r="D486" t="str">
        <f>IFERROR(VLOOKUP(C486,'Products Index'!$A:$B,2,FALSE),"")</f>
        <v/>
      </c>
      <c r="E486" s="12"/>
      <c r="F486" s="12"/>
      <c r="G486" s="15"/>
      <c r="H486" s="16">
        <f t="shared" si="7"/>
        <v>0</v>
      </c>
    </row>
    <row r="487" spans="2:8">
      <c r="B487" t="str">
        <f>IFERROR(VLOOKUP(A487,Customers!$A:$B,2,FALSE),"")</f>
        <v/>
      </c>
      <c r="D487" t="str">
        <f>IFERROR(VLOOKUP(C487,'Products Index'!$A:$B,2,FALSE),"")</f>
        <v/>
      </c>
      <c r="E487" s="12"/>
      <c r="F487" s="12"/>
      <c r="G487" s="15"/>
      <c r="H487" s="16">
        <f t="shared" si="7"/>
        <v>0</v>
      </c>
    </row>
    <row r="488" spans="2:8">
      <c r="B488" t="str">
        <f>IFERROR(VLOOKUP(A488,Customers!$A:$B,2,FALSE),"")</f>
        <v/>
      </c>
      <c r="D488" t="str">
        <f>IFERROR(VLOOKUP(C488,'Products Index'!$A:$B,2,FALSE),"")</f>
        <v/>
      </c>
      <c r="E488" s="12"/>
      <c r="F488" s="12"/>
      <c r="G488" s="15"/>
      <c r="H488" s="16">
        <f t="shared" si="7"/>
        <v>0</v>
      </c>
    </row>
    <row r="489" spans="2:8">
      <c r="B489" t="str">
        <f>IFERROR(VLOOKUP(A489,Customers!$A:$B,2,FALSE),"")</f>
        <v/>
      </c>
      <c r="D489" t="str">
        <f>IFERROR(VLOOKUP(C489,'Products Index'!$A:$B,2,FALSE),"")</f>
        <v/>
      </c>
      <c r="E489" s="12"/>
      <c r="F489" s="12"/>
      <c r="G489" s="15"/>
      <c r="H489" s="16">
        <f t="shared" si="7"/>
        <v>0</v>
      </c>
    </row>
    <row r="490" spans="2:8">
      <c r="B490" t="str">
        <f>IFERROR(VLOOKUP(A490,Customers!$A:$B,2,FALSE),"")</f>
        <v/>
      </c>
      <c r="D490" t="str">
        <f>IFERROR(VLOOKUP(C490,'Products Index'!$A:$B,2,FALSE),"")</f>
        <v/>
      </c>
      <c r="E490" s="12"/>
      <c r="F490" s="12"/>
      <c r="G490" s="15"/>
      <c r="H490" s="16">
        <f t="shared" si="7"/>
        <v>0</v>
      </c>
    </row>
    <row r="491" spans="2:8">
      <c r="B491" t="str">
        <f>IFERROR(VLOOKUP(A491,Customers!$A:$B,2,FALSE),"")</f>
        <v/>
      </c>
      <c r="D491" t="str">
        <f>IFERROR(VLOOKUP(C491,'Products Index'!$A:$B,2,FALSE),"")</f>
        <v/>
      </c>
      <c r="E491" s="12"/>
      <c r="F491" s="12"/>
      <c r="G491" s="15"/>
      <c r="H491" s="16">
        <f t="shared" si="7"/>
        <v>0</v>
      </c>
    </row>
    <row r="492" spans="2:8">
      <c r="B492" t="str">
        <f>IFERROR(VLOOKUP(A492,Customers!$A:$B,2,FALSE),"")</f>
        <v/>
      </c>
      <c r="D492" t="str">
        <f>IFERROR(VLOOKUP(C492,'Products Index'!$A:$B,2,FALSE),"")</f>
        <v/>
      </c>
      <c r="E492" s="12"/>
      <c r="F492" s="12"/>
      <c r="G492" s="15"/>
      <c r="H492" s="16">
        <f t="shared" si="7"/>
        <v>0</v>
      </c>
    </row>
    <row r="493" spans="2:8">
      <c r="B493" t="str">
        <f>IFERROR(VLOOKUP(A493,Customers!$A:$B,2,FALSE),"")</f>
        <v/>
      </c>
      <c r="D493" t="str">
        <f>IFERROR(VLOOKUP(C493,'Products Index'!$A:$B,2,FALSE),"")</f>
        <v/>
      </c>
      <c r="E493" s="12"/>
      <c r="F493" s="12"/>
      <c r="G493" s="15"/>
      <c r="H493" s="16">
        <f t="shared" si="7"/>
        <v>0</v>
      </c>
    </row>
    <row r="494" spans="2:8">
      <c r="B494" t="str">
        <f>IFERROR(VLOOKUP(A494,Customers!$A:$B,2,FALSE),"")</f>
        <v/>
      </c>
      <c r="D494" t="str">
        <f>IFERROR(VLOOKUP(C494,'Products Index'!$A:$B,2,FALSE),"")</f>
        <v/>
      </c>
      <c r="E494" s="12"/>
      <c r="F494" s="12"/>
      <c r="G494" s="15"/>
      <c r="H494" s="16">
        <f t="shared" si="7"/>
        <v>0</v>
      </c>
    </row>
    <row r="495" spans="2:8">
      <c r="B495" t="str">
        <f>IFERROR(VLOOKUP(A495,Customers!$A:$B,2,FALSE),"")</f>
        <v/>
      </c>
      <c r="D495" t="str">
        <f>IFERROR(VLOOKUP(C495,'Products Index'!$A:$B,2,FALSE),"")</f>
        <v/>
      </c>
      <c r="E495" s="12"/>
      <c r="F495" s="12"/>
      <c r="G495" s="15"/>
      <c r="H495" s="16">
        <f t="shared" si="7"/>
        <v>0</v>
      </c>
    </row>
    <row r="496" spans="2:8">
      <c r="B496" t="str">
        <f>IFERROR(VLOOKUP(A496,Customers!$A:$B,2,FALSE),"")</f>
        <v/>
      </c>
      <c r="D496" t="str">
        <f>IFERROR(VLOOKUP(C496,'Products Index'!$A:$B,2,FALSE),"")</f>
        <v/>
      </c>
      <c r="E496" s="12"/>
      <c r="F496" s="12"/>
      <c r="G496" s="15"/>
      <c r="H496" s="16">
        <f t="shared" si="7"/>
        <v>0</v>
      </c>
    </row>
    <row r="497" spans="2:8">
      <c r="B497" t="str">
        <f>IFERROR(VLOOKUP(A497,Customers!$A:$B,2,FALSE),"")</f>
        <v/>
      </c>
      <c r="D497" t="str">
        <f>IFERROR(VLOOKUP(C497,'Products Index'!$A:$B,2,FALSE),"")</f>
        <v/>
      </c>
      <c r="E497" s="12"/>
      <c r="F497" s="12"/>
      <c r="G497" s="15"/>
      <c r="H497" s="16">
        <f t="shared" si="7"/>
        <v>0</v>
      </c>
    </row>
    <row r="498" spans="2:8">
      <c r="B498" t="str">
        <f>IFERROR(VLOOKUP(A498,Customers!$A:$B,2,FALSE),"")</f>
        <v/>
      </c>
      <c r="D498" t="str">
        <f>IFERROR(VLOOKUP(C498,'Products Index'!$A:$B,2,FALSE),"")</f>
        <v/>
      </c>
      <c r="E498" s="12"/>
      <c r="F498" s="12"/>
      <c r="G498" s="15"/>
      <c r="H498" s="16">
        <f t="shared" si="7"/>
        <v>0</v>
      </c>
    </row>
    <row r="499" spans="2:8">
      <c r="B499" t="str">
        <f>IFERROR(VLOOKUP(A499,Customers!$A:$B,2,FALSE),"")</f>
        <v/>
      </c>
      <c r="D499" t="str">
        <f>IFERROR(VLOOKUP(C499,'Products Index'!$A:$B,2,FALSE),"")</f>
        <v/>
      </c>
      <c r="E499" s="12"/>
      <c r="F499" s="12"/>
      <c r="G499" s="15"/>
      <c r="H499" s="16">
        <f t="shared" si="7"/>
        <v>0</v>
      </c>
    </row>
    <row r="500" spans="2:8">
      <c r="B500" t="str">
        <f>IFERROR(VLOOKUP(A500,Customers!$A:$B,2,FALSE),"")</f>
        <v/>
      </c>
      <c r="D500" t="str">
        <f>IFERROR(VLOOKUP(C500,'Products Index'!$A:$B,2,FALSE),"")</f>
        <v/>
      </c>
      <c r="E500" s="12"/>
      <c r="F500" s="12"/>
      <c r="G500" s="15"/>
      <c r="H500" s="16">
        <f t="shared" si="7"/>
        <v>0</v>
      </c>
    </row>
    <row r="501" spans="2:8">
      <c r="B501" t="str">
        <f>IFERROR(VLOOKUP(A501,Customers!$A:$B,2,FALSE),"")</f>
        <v/>
      </c>
      <c r="D501" t="str">
        <f>IFERROR(VLOOKUP(C501,'Products Index'!$A:$B,2,FALSE),"")</f>
        <v/>
      </c>
      <c r="E501" s="12"/>
      <c r="F501" s="12"/>
      <c r="G501" s="15"/>
      <c r="H501" s="16">
        <f t="shared" si="7"/>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64"/>
  <sheetViews>
    <sheetView showGridLines="0" workbookViewId="0"/>
  </sheetViews>
  <sheetFormatPr defaultRowHeight="14.5"/>
  <cols>
    <col min="1" max="1" width="12" customWidth="1"/>
    <col min="2" max="8" width="14" customWidth="1"/>
  </cols>
  <sheetData>
    <row r="1" spans="1:8" ht="20">
      <c r="A1" s="1" t="s">
        <v>71</v>
      </c>
    </row>
    <row r="2" spans="1:8">
      <c r="A2" s="2" t="s">
        <v>72</v>
      </c>
    </row>
    <row r="4" spans="1:8">
      <c r="A4" s="5" t="s">
        <v>73</v>
      </c>
      <c r="B4" s="5" t="s">
        <v>74</v>
      </c>
      <c r="C4" s="5" t="s">
        <v>75</v>
      </c>
      <c r="D4" s="5" t="s">
        <v>76</v>
      </c>
      <c r="E4" s="5" t="s">
        <v>77</v>
      </c>
      <c r="F4" s="5" t="s">
        <v>78</v>
      </c>
      <c r="G4" s="5" t="s">
        <v>79</v>
      </c>
      <c r="H4" s="5" t="s">
        <v>80</v>
      </c>
    </row>
    <row r="5" spans="1:8">
      <c r="A5" s="18"/>
      <c r="B5" s="8"/>
      <c r="C5" s="8"/>
      <c r="D5" s="8"/>
      <c r="E5" s="8"/>
      <c r="F5" s="8"/>
      <c r="G5" s="8"/>
      <c r="H5" s="19">
        <f t="shared" ref="H5:H36" si="0">SUM(B5:G5)</f>
        <v>0</v>
      </c>
    </row>
    <row r="6" spans="1:8">
      <c r="A6" s="18"/>
      <c r="B6" s="8"/>
      <c r="C6" s="8"/>
      <c r="D6" s="8"/>
      <c r="E6" s="8"/>
      <c r="F6" s="8"/>
      <c r="G6" s="8"/>
      <c r="H6" s="19">
        <f t="shared" si="0"/>
        <v>0</v>
      </c>
    </row>
    <row r="7" spans="1:8">
      <c r="A7" s="18"/>
      <c r="B7" s="8"/>
      <c r="C7" s="8"/>
      <c r="D7" s="8"/>
      <c r="E7" s="8"/>
      <c r="F7" s="8"/>
      <c r="G7" s="8"/>
      <c r="H7" s="19">
        <f t="shared" si="0"/>
        <v>0</v>
      </c>
    </row>
    <row r="8" spans="1:8">
      <c r="A8" s="18"/>
      <c r="B8" s="8"/>
      <c r="C8" s="8"/>
      <c r="D8" s="8"/>
      <c r="E8" s="8"/>
      <c r="F8" s="8"/>
      <c r="G8" s="8"/>
      <c r="H8" s="19">
        <f t="shared" si="0"/>
        <v>0</v>
      </c>
    </row>
    <row r="9" spans="1:8">
      <c r="A9" s="18"/>
      <c r="B9" s="8"/>
      <c r="C9" s="8"/>
      <c r="D9" s="8"/>
      <c r="E9" s="8"/>
      <c r="F9" s="8"/>
      <c r="G9" s="8"/>
      <c r="H9" s="19">
        <f t="shared" si="0"/>
        <v>0</v>
      </c>
    </row>
    <row r="10" spans="1:8">
      <c r="A10" s="18"/>
      <c r="B10" s="8"/>
      <c r="C10" s="8"/>
      <c r="D10" s="8"/>
      <c r="E10" s="8"/>
      <c r="F10" s="8"/>
      <c r="G10" s="8"/>
      <c r="H10" s="19">
        <f t="shared" si="0"/>
        <v>0</v>
      </c>
    </row>
    <row r="11" spans="1:8">
      <c r="A11" s="18"/>
      <c r="B11" s="8"/>
      <c r="C11" s="8"/>
      <c r="D11" s="8"/>
      <c r="E11" s="8"/>
      <c r="F11" s="8"/>
      <c r="G11" s="8"/>
      <c r="H11" s="19">
        <f t="shared" si="0"/>
        <v>0</v>
      </c>
    </row>
    <row r="12" spans="1:8">
      <c r="A12" s="18"/>
      <c r="B12" s="8"/>
      <c r="C12" s="8"/>
      <c r="D12" s="8"/>
      <c r="E12" s="8"/>
      <c r="F12" s="8"/>
      <c r="G12" s="8"/>
      <c r="H12" s="19">
        <f t="shared" si="0"/>
        <v>0</v>
      </c>
    </row>
    <row r="13" spans="1:8">
      <c r="A13" s="18"/>
      <c r="B13" s="8"/>
      <c r="C13" s="8"/>
      <c r="D13" s="8"/>
      <c r="E13" s="8"/>
      <c r="F13" s="8"/>
      <c r="G13" s="8"/>
      <c r="H13" s="19">
        <f t="shared" si="0"/>
        <v>0</v>
      </c>
    </row>
    <row r="14" spans="1:8">
      <c r="A14" s="18"/>
      <c r="B14" s="8"/>
      <c r="C14" s="8"/>
      <c r="D14" s="8"/>
      <c r="E14" s="8"/>
      <c r="F14" s="8"/>
      <c r="G14" s="8"/>
      <c r="H14" s="19">
        <f t="shared" si="0"/>
        <v>0</v>
      </c>
    </row>
    <row r="15" spans="1:8">
      <c r="A15" s="18"/>
      <c r="B15" s="8"/>
      <c r="C15" s="8"/>
      <c r="D15" s="8"/>
      <c r="E15" s="8"/>
      <c r="F15" s="8"/>
      <c r="G15" s="8"/>
      <c r="H15" s="19">
        <f t="shared" si="0"/>
        <v>0</v>
      </c>
    </row>
    <row r="16" spans="1:8">
      <c r="A16" s="18"/>
      <c r="B16" s="8"/>
      <c r="C16" s="8"/>
      <c r="D16" s="8"/>
      <c r="E16" s="8"/>
      <c r="F16" s="8"/>
      <c r="G16" s="8"/>
      <c r="H16" s="19">
        <f t="shared" si="0"/>
        <v>0</v>
      </c>
    </row>
    <row r="17" spans="1:8">
      <c r="A17" s="18"/>
      <c r="B17" s="8"/>
      <c r="C17" s="8"/>
      <c r="D17" s="8"/>
      <c r="E17" s="8"/>
      <c r="F17" s="8"/>
      <c r="G17" s="8"/>
      <c r="H17" s="19">
        <f t="shared" si="0"/>
        <v>0</v>
      </c>
    </row>
    <row r="18" spans="1:8">
      <c r="A18" s="18"/>
      <c r="B18" s="8"/>
      <c r="C18" s="8"/>
      <c r="D18" s="8"/>
      <c r="E18" s="8"/>
      <c r="F18" s="8"/>
      <c r="G18" s="8"/>
      <c r="H18" s="19">
        <f t="shared" si="0"/>
        <v>0</v>
      </c>
    </row>
    <row r="19" spans="1:8">
      <c r="A19" s="18"/>
      <c r="B19" s="8"/>
      <c r="C19" s="8"/>
      <c r="D19" s="8"/>
      <c r="E19" s="8"/>
      <c r="F19" s="8"/>
      <c r="G19" s="8"/>
      <c r="H19" s="19">
        <f t="shared" si="0"/>
        <v>0</v>
      </c>
    </row>
    <row r="20" spans="1:8">
      <c r="A20" s="18"/>
      <c r="B20" s="8"/>
      <c r="C20" s="8"/>
      <c r="D20" s="8"/>
      <c r="E20" s="8"/>
      <c r="F20" s="8"/>
      <c r="G20" s="8"/>
      <c r="H20" s="19">
        <f t="shared" si="0"/>
        <v>0</v>
      </c>
    </row>
    <row r="21" spans="1:8">
      <c r="A21" s="20"/>
      <c r="B21" s="12"/>
      <c r="C21" s="12"/>
      <c r="D21" s="12"/>
      <c r="E21" s="12"/>
      <c r="F21" s="12"/>
      <c r="G21" s="12"/>
      <c r="H21" s="16">
        <f t="shared" si="0"/>
        <v>0</v>
      </c>
    </row>
    <row r="22" spans="1:8">
      <c r="A22" s="20"/>
      <c r="B22" s="12"/>
      <c r="C22" s="12"/>
      <c r="D22" s="12"/>
      <c r="E22" s="12"/>
      <c r="F22" s="12"/>
      <c r="G22" s="12"/>
      <c r="H22" s="16">
        <f t="shared" si="0"/>
        <v>0</v>
      </c>
    </row>
    <row r="23" spans="1:8">
      <c r="A23" s="20"/>
      <c r="B23" s="12"/>
      <c r="C23" s="12"/>
      <c r="D23" s="12"/>
      <c r="E23" s="12"/>
      <c r="F23" s="12"/>
      <c r="G23" s="12"/>
      <c r="H23" s="16">
        <f t="shared" si="0"/>
        <v>0</v>
      </c>
    </row>
    <row r="24" spans="1:8">
      <c r="A24" s="20"/>
      <c r="B24" s="12"/>
      <c r="C24" s="12"/>
      <c r="D24" s="12"/>
      <c r="E24" s="12"/>
      <c r="F24" s="12"/>
      <c r="G24" s="12"/>
      <c r="H24" s="16">
        <f t="shared" si="0"/>
        <v>0</v>
      </c>
    </row>
    <row r="25" spans="1:8">
      <c r="A25" s="20"/>
      <c r="B25" s="12"/>
      <c r="C25" s="12"/>
      <c r="D25" s="12"/>
      <c r="E25" s="12"/>
      <c r="F25" s="12"/>
      <c r="G25" s="12"/>
      <c r="H25" s="16">
        <f t="shared" si="0"/>
        <v>0</v>
      </c>
    </row>
    <row r="26" spans="1:8">
      <c r="A26" s="20"/>
      <c r="B26" s="12"/>
      <c r="C26" s="12"/>
      <c r="D26" s="12"/>
      <c r="E26" s="12"/>
      <c r="F26" s="12"/>
      <c r="G26" s="12"/>
      <c r="H26" s="16">
        <f t="shared" si="0"/>
        <v>0</v>
      </c>
    </row>
    <row r="27" spans="1:8">
      <c r="A27" s="20"/>
      <c r="B27" s="12"/>
      <c r="C27" s="12"/>
      <c r="D27" s="12"/>
      <c r="E27" s="12"/>
      <c r="F27" s="12"/>
      <c r="G27" s="12"/>
      <c r="H27" s="16">
        <f t="shared" si="0"/>
        <v>0</v>
      </c>
    </row>
    <row r="28" spans="1:8">
      <c r="A28" s="20"/>
      <c r="B28" s="12"/>
      <c r="C28" s="12"/>
      <c r="D28" s="12"/>
      <c r="E28" s="12"/>
      <c r="F28" s="12"/>
      <c r="G28" s="12"/>
      <c r="H28" s="16">
        <f t="shared" si="0"/>
        <v>0</v>
      </c>
    </row>
    <row r="29" spans="1:8">
      <c r="A29" s="20"/>
      <c r="B29" s="12"/>
      <c r="C29" s="12"/>
      <c r="D29" s="12"/>
      <c r="E29" s="12"/>
      <c r="F29" s="12"/>
      <c r="G29" s="12"/>
      <c r="H29" s="16">
        <f t="shared" si="0"/>
        <v>0</v>
      </c>
    </row>
    <row r="30" spans="1:8">
      <c r="A30" s="20"/>
      <c r="B30" s="12"/>
      <c r="C30" s="12"/>
      <c r="D30" s="12"/>
      <c r="E30" s="12"/>
      <c r="F30" s="12"/>
      <c r="G30" s="12"/>
      <c r="H30" s="16">
        <f t="shared" si="0"/>
        <v>0</v>
      </c>
    </row>
    <row r="31" spans="1:8">
      <c r="A31" s="20"/>
      <c r="B31" s="12"/>
      <c r="C31" s="12"/>
      <c r="D31" s="12"/>
      <c r="E31" s="12"/>
      <c r="F31" s="12"/>
      <c r="G31" s="12"/>
      <c r="H31" s="16">
        <f t="shared" si="0"/>
        <v>0</v>
      </c>
    </row>
    <row r="32" spans="1:8">
      <c r="A32" s="20"/>
      <c r="B32" s="12"/>
      <c r="C32" s="12"/>
      <c r="D32" s="12"/>
      <c r="E32" s="12"/>
      <c r="F32" s="12"/>
      <c r="G32" s="12"/>
      <c r="H32" s="16">
        <f t="shared" si="0"/>
        <v>0</v>
      </c>
    </row>
    <row r="33" spans="1:8">
      <c r="A33" s="20"/>
      <c r="B33" s="12"/>
      <c r="C33" s="12"/>
      <c r="D33" s="12"/>
      <c r="E33" s="12"/>
      <c r="F33" s="12"/>
      <c r="G33" s="12"/>
      <c r="H33" s="16">
        <f t="shared" si="0"/>
        <v>0</v>
      </c>
    </row>
    <row r="34" spans="1:8">
      <c r="A34" s="20"/>
      <c r="B34" s="12"/>
      <c r="C34" s="12"/>
      <c r="D34" s="12"/>
      <c r="E34" s="12"/>
      <c r="F34" s="12"/>
      <c r="G34" s="12"/>
      <c r="H34" s="16">
        <f t="shared" si="0"/>
        <v>0</v>
      </c>
    </row>
    <row r="35" spans="1:8">
      <c r="A35" s="20"/>
      <c r="B35" s="12"/>
      <c r="C35" s="12"/>
      <c r="D35" s="12"/>
      <c r="E35" s="12"/>
      <c r="F35" s="12"/>
      <c r="G35" s="12"/>
      <c r="H35" s="16">
        <f t="shared" si="0"/>
        <v>0</v>
      </c>
    </row>
    <row r="36" spans="1:8">
      <c r="A36" s="20"/>
      <c r="B36" s="12"/>
      <c r="C36" s="12"/>
      <c r="D36" s="12"/>
      <c r="E36" s="12"/>
      <c r="F36" s="12"/>
      <c r="G36" s="12"/>
      <c r="H36" s="16">
        <f t="shared" si="0"/>
        <v>0</v>
      </c>
    </row>
    <row r="37" spans="1:8">
      <c r="A37" s="20"/>
      <c r="B37" s="12"/>
      <c r="C37" s="12"/>
      <c r="D37" s="12"/>
      <c r="E37" s="12"/>
      <c r="F37" s="12"/>
      <c r="G37" s="12"/>
      <c r="H37" s="16">
        <f t="shared" ref="H37:H64" si="1">SUM(B37:G37)</f>
        <v>0</v>
      </c>
    </row>
    <row r="38" spans="1:8">
      <c r="A38" s="20"/>
      <c r="B38" s="12"/>
      <c r="C38" s="12"/>
      <c r="D38" s="12"/>
      <c r="E38" s="12"/>
      <c r="F38" s="12"/>
      <c r="G38" s="12"/>
      <c r="H38" s="16">
        <f t="shared" si="1"/>
        <v>0</v>
      </c>
    </row>
    <row r="39" spans="1:8">
      <c r="A39" s="20"/>
      <c r="B39" s="12"/>
      <c r="C39" s="12"/>
      <c r="D39" s="12"/>
      <c r="E39" s="12"/>
      <c r="F39" s="12"/>
      <c r="G39" s="12"/>
      <c r="H39" s="16">
        <f t="shared" si="1"/>
        <v>0</v>
      </c>
    </row>
    <row r="40" spans="1:8">
      <c r="A40" s="20"/>
      <c r="B40" s="12"/>
      <c r="C40" s="12"/>
      <c r="D40" s="12"/>
      <c r="E40" s="12"/>
      <c r="F40" s="12"/>
      <c r="G40" s="12"/>
      <c r="H40" s="16">
        <f t="shared" si="1"/>
        <v>0</v>
      </c>
    </row>
    <row r="41" spans="1:8">
      <c r="A41" s="20"/>
      <c r="B41" s="12"/>
      <c r="C41" s="12"/>
      <c r="D41" s="12"/>
      <c r="E41" s="12"/>
      <c r="F41" s="12"/>
      <c r="G41" s="12"/>
      <c r="H41" s="16">
        <f t="shared" si="1"/>
        <v>0</v>
      </c>
    </row>
    <row r="42" spans="1:8">
      <c r="A42" s="20"/>
      <c r="B42" s="12"/>
      <c r="C42" s="12"/>
      <c r="D42" s="12"/>
      <c r="E42" s="12"/>
      <c r="F42" s="12"/>
      <c r="G42" s="12"/>
      <c r="H42" s="16">
        <f t="shared" si="1"/>
        <v>0</v>
      </c>
    </row>
    <row r="43" spans="1:8">
      <c r="A43" s="20"/>
      <c r="B43" s="12"/>
      <c r="C43" s="12"/>
      <c r="D43" s="12"/>
      <c r="E43" s="12"/>
      <c r="F43" s="12"/>
      <c r="G43" s="12"/>
      <c r="H43" s="16">
        <f t="shared" si="1"/>
        <v>0</v>
      </c>
    </row>
    <row r="44" spans="1:8">
      <c r="A44" s="20"/>
      <c r="B44" s="12"/>
      <c r="C44" s="12"/>
      <c r="D44" s="12"/>
      <c r="E44" s="12"/>
      <c r="F44" s="12"/>
      <c r="G44" s="12"/>
      <c r="H44" s="16">
        <f t="shared" si="1"/>
        <v>0</v>
      </c>
    </row>
    <row r="45" spans="1:8">
      <c r="A45" s="20"/>
      <c r="B45" s="12"/>
      <c r="C45" s="12"/>
      <c r="D45" s="12"/>
      <c r="E45" s="12"/>
      <c r="F45" s="12"/>
      <c r="G45" s="12"/>
      <c r="H45" s="16">
        <f t="shared" si="1"/>
        <v>0</v>
      </c>
    </row>
    <row r="46" spans="1:8">
      <c r="A46" s="20"/>
      <c r="B46" s="12"/>
      <c r="C46" s="12"/>
      <c r="D46" s="12"/>
      <c r="E46" s="12"/>
      <c r="F46" s="12"/>
      <c r="G46" s="12"/>
      <c r="H46" s="16">
        <f t="shared" si="1"/>
        <v>0</v>
      </c>
    </row>
    <row r="47" spans="1:8">
      <c r="A47" s="20"/>
      <c r="B47" s="12"/>
      <c r="C47" s="12"/>
      <c r="D47" s="12"/>
      <c r="E47" s="12"/>
      <c r="F47" s="12"/>
      <c r="G47" s="12"/>
      <c r="H47" s="16">
        <f t="shared" si="1"/>
        <v>0</v>
      </c>
    </row>
    <row r="48" spans="1:8">
      <c r="A48" s="20"/>
      <c r="B48" s="12"/>
      <c r="C48" s="12"/>
      <c r="D48" s="12"/>
      <c r="E48" s="12"/>
      <c r="F48" s="12"/>
      <c r="G48" s="12"/>
      <c r="H48" s="16">
        <f t="shared" si="1"/>
        <v>0</v>
      </c>
    </row>
    <row r="49" spans="1:8">
      <c r="A49" s="20"/>
      <c r="B49" s="12"/>
      <c r="C49" s="12"/>
      <c r="D49" s="12"/>
      <c r="E49" s="12"/>
      <c r="F49" s="12"/>
      <c r="G49" s="12"/>
      <c r="H49" s="16">
        <f t="shared" si="1"/>
        <v>0</v>
      </c>
    </row>
    <row r="50" spans="1:8">
      <c r="A50" s="20"/>
      <c r="B50" s="12"/>
      <c r="C50" s="12"/>
      <c r="D50" s="12"/>
      <c r="E50" s="12"/>
      <c r="F50" s="12"/>
      <c r="G50" s="12"/>
      <c r="H50" s="16">
        <f t="shared" si="1"/>
        <v>0</v>
      </c>
    </row>
    <row r="51" spans="1:8">
      <c r="A51" s="20"/>
      <c r="B51" s="12"/>
      <c r="C51" s="12"/>
      <c r="D51" s="12"/>
      <c r="E51" s="12"/>
      <c r="F51" s="12"/>
      <c r="G51" s="12"/>
      <c r="H51" s="16">
        <f t="shared" si="1"/>
        <v>0</v>
      </c>
    </row>
    <row r="52" spans="1:8">
      <c r="A52" s="20"/>
      <c r="B52" s="12"/>
      <c r="C52" s="12"/>
      <c r="D52" s="12"/>
      <c r="E52" s="12"/>
      <c r="F52" s="12"/>
      <c r="G52" s="12"/>
      <c r="H52" s="16">
        <f t="shared" si="1"/>
        <v>0</v>
      </c>
    </row>
    <row r="53" spans="1:8">
      <c r="A53" s="20"/>
      <c r="B53" s="12"/>
      <c r="C53" s="12"/>
      <c r="D53" s="12"/>
      <c r="E53" s="12"/>
      <c r="F53" s="12"/>
      <c r="G53" s="12"/>
      <c r="H53" s="16">
        <f t="shared" si="1"/>
        <v>0</v>
      </c>
    </row>
    <row r="54" spans="1:8">
      <c r="A54" s="20"/>
      <c r="B54" s="12"/>
      <c r="C54" s="12"/>
      <c r="D54" s="12"/>
      <c r="E54" s="12"/>
      <c r="F54" s="12"/>
      <c r="G54" s="12"/>
      <c r="H54" s="16">
        <f t="shared" si="1"/>
        <v>0</v>
      </c>
    </row>
    <row r="55" spans="1:8">
      <c r="A55" s="20"/>
      <c r="B55" s="12"/>
      <c r="C55" s="12"/>
      <c r="D55" s="12"/>
      <c r="E55" s="12"/>
      <c r="F55" s="12"/>
      <c r="G55" s="12"/>
      <c r="H55" s="16">
        <f t="shared" si="1"/>
        <v>0</v>
      </c>
    </row>
    <row r="56" spans="1:8">
      <c r="A56" s="20"/>
      <c r="B56" s="12"/>
      <c r="C56" s="12"/>
      <c r="D56" s="12"/>
      <c r="E56" s="12"/>
      <c r="F56" s="12"/>
      <c r="G56" s="12"/>
      <c r="H56" s="16">
        <f t="shared" si="1"/>
        <v>0</v>
      </c>
    </row>
    <row r="57" spans="1:8">
      <c r="A57" s="20"/>
      <c r="B57" s="12"/>
      <c r="C57" s="12"/>
      <c r="D57" s="12"/>
      <c r="E57" s="12"/>
      <c r="F57" s="12"/>
      <c r="G57" s="12"/>
      <c r="H57" s="16">
        <f t="shared" si="1"/>
        <v>0</v>
      </c>
    </row>
    <row r="58" spans="1:8">
      <c r="A58" s="20"/>
      <c r="B58" s="12"/>
      <c r="C58" s="12"/>
      <c r="D58" s="12"/>
      <c r="E58" s="12"/>
      <c r="F58" s="12"/>
      <c r="G58" s="12"/>
      <c r="H58" s="16">
        <f t="shared" si="1"/>
        <v>0</v>
      </c>
    </row>
    <row r="59" spans="1:8">
      <c r="A59" s="20"/>
      <c r="B59" s="12"/>
      <c r="C59" s="12"/>
      <c r="D59" s="12"/>
      <c r="E59" s="12"/>
      <c r="F59" s="12"/>
      <c r="G59" s="12"/>
      <c r="H59" s="16">
        <f t="shared" si="1"/>
        <v>0</v>
      </c>
    </row>
    <row r="60" spans="1:8">
      <c r="A60" s="20"/>
      <c r="B60" s="12"/>
      <c r="C60" s="12"/>
      <c r="D60" s="12"/>
      <c r="E60" s="12"/>
      <c r="F60" s="12"/>
      <c r="G60" s="12"/>
      <c r="H60" s="16">
        <f t="shared" si="1"/>
        <v>0</v>
      </c>
    </row>
    <row r="61" spans="1:8">
      <c r="A61" s="20"/>
      <c r="B61" s="12"/>
      <c r="C61" s="12"/>
      <c r="D61" s="12"/>
      <c r="E61" s="12"/>
      <c r="F61" s="12"/>
      <c r="G61" s="12"/>
      <c r="H61" s="16">
        <f t="shared" si="1"/>
        <v>0</v>
      </c>
    </row>
    <row r="62" spans="1:8">
      <c r="A62" s="20"/>
      <c r="B62" s="12"/>
      <c r="C62" s="12"/>
      <c r="D62" s="12"/>
      <c r="E62" s="12"/>
      <c r="F62" s="12"/>
      <c r="G62" s="12"/>
      <c r="H62" s="16">
        <f t="shared" si="1"/>
        <v>0</v>
      </c>
    </row>
    <row r="63" spans="1:8">
      <c r="A63" s="20"/>
      <c r="B63" s="12"/>
      <c r="C63" s="12"/>
      <c r="D63" s="12"/>
      <c r="E63" s="12"/>
      <c r="F63" s="12"/>
      <c r="G63" s="12"/>
      <c r="H63" s="16">
        <f t="shared" si="1"/>
        <v>0</v>
      </c>
    </row>
    <row r="64" spans="1:8">
      <c r="A64" s="20"/>
      <c r="B64" s="12"/>
      <c r="C64" s="12"/>
      <c r="D64" s="12"/>
      <c r="E64" s="12"/>
      <c r="F64" s="12"/>
      <c r="G64" s="12"/>
      <c r="H64" s="16">
        <f t="shared" si="1"/>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64"/>
  <sheetViews>
    <sheetView showGridLines="0" topLeftCell="A7" workbookViewId="0"/>
  </sheetViews>
  <sheetFormatPr defaultRowHeight="14.5"/>
  <cols>
    <col min="1" max="1" width="26" customWidth="1"/>
    <col min="2" max="2" width="12" customWidth="1"/>
    <col min="3" max="3" width="10" customWidth="1"/>
    <col min="4" max="4" width="8" customWidth="1"/>
    <col min="5" max="6" width="14" customWidth="1"/>
    <col min="7" max="7" width="10" customWidth="1"/>
    <col min="8" max="8" width="14" customWidth="1"/>
    <col min="9" max="9" width="22" customWidth="1"/>
  </cols>
  <sheetData>
    <row r="1" spans="1:9" ht="20">
      <c r="A1" s="1" t="s">
        <v>81</v>
      </c>
    </row>
    <row r="2" spans="1:9">
      <c r="A2" s="2" t="s">
        <v>82</v>
      </c>
    </row>
    <row r="4" spans="1:9">
      <c r="A4" s="38" t="s">
        <v>83</v>
      </c>
      <c r="B4" s="45"/>
      <c r="C4" s="45"/>
      <c r="D4" s="39"/>
      <c r="E4" s="38" t="s">
        <v>84</v>
      </c>
      <c r="F4" s="45"/>
      <c r="G4" s="45"/>
      <c r="H4" s="45"/>
      <c r="I4" s="39"/>
    </row>
    <row r="5" spans="1:9">
      <c r="A5" s="21" t="s">
        <v>85</v>
      </c>
      <c r="B5" s="7">
        <v>190</v>
      </c>
      <c r="E5" s="21" t="s">
        <v>86</v>
      </c>
      <c r="F5" s="46" t="s">
        <v>87</v>
      </c>
      <c r="G5" s="45"/>
      <c r="H5" s="45"/>
      <c r="I5" s="39"/>
    </row>
    <row r="6" spans="1:9">
      <c r="A6" s="21" t="s">
        <v>88</v>
      </c>
      <c r="B6" s="7">
        <v>2200</v>
      </c>
      <c r="E6" s="21" t="s">
        <v>89</v>
      </c>
      <c r="F6" s="46" t="s">
        <v>90</v>
      </c>
      <c r="G6" s="45"/>
      <c r="H6" s="45"/>
      <c r="I6" s="39"/>
    </row>
    <row r="7" spans="1:9">
      <c r="A7" s="21" t="s">
        <v>91</v>
      </c>
      <c r="B7" s="7">
        <v>2200</v>
      </c>
      <c r="E7" s="21" t="s">
        <v>92</v>
      </c>
      <c r="F7" s="46" t="s">
        <v>93</v>
      </c>
      <c r="G7" s="45"/>
      <c r="H7" s="45"/>
      <c r="I7" s="39"/>
    </row>
    <row r="8" spans="1:9">
      <c r="A8" s="21" t="s">
        <v>94</v>
      </c>
      <c r="B8" s="29">
        <f>IFERROR(B7/B5,0)</f>
        <v>11.578947368421053</v>
      </c>
      <c r="E8" s="21" t="s">
        <v>95</v>
      </c>
      <c r="F8" s="46" t="s">
        <v>96</v>
      </c>
      <c r="G8" s="45"/>
      <c r="H8" s="45"/>
      <c r="I8" s="39"/>
    </row>
    <row r="9" spans="1:9">
      <c r="A9" s="21" t="s">
        <v>97</v>
      </c>
      <c r="B9" s="9"/>
      <c r="E9" s="21" t="s">
        <v>98</v>
      </c>
      <c r="F9" s="46" t="s">
        <v>99</v>
      </c>
      <c r="G9" s="45"/>
      <c r="H9" s="45"/>
      <c r="I9" s="39"/>
    </row>
    <row r="10" spans="1:9">
      <c r="A10" s="21" t="s">
        <v>100</v>
      </c>
      <c r="B10" s="9"/>
    </row>
    <row r="11" spans="1:9">
      <c r="A11" s="21" t="s">
        <v>101</v>
      </c>
      <c r="B11" s="9"/>
    </row>
    <row r="12" spans="1:9">
      <c r="A12" s="21" t="s">
        <v>102</v>
      </c>
      <c r="B12" s="7">
        <v>190</v>
      </c>
    </row>
    <row r="13" spans="1:9">
      <c r="A13" s="21" t="s">
        <v>28</v>
      </c>
      <c r="B13" s="9"/>
    </row>
    <row r="15" spans="1:9">
      <c r="A15" s="38" t="s">
        <v>103</v>
      </c>
      <c r="B15" s="45"/>
      <c r="C15" s="45"/>
      <c r="D15" s="45"/>
      <c r="E15" s="45"/>
      <c r="F15" s="45"/>
      <c r="G15" s="39"/>
    </row>
    <row r="16" spans="1:9" ht="29">
      <c r="A16" s="14" t="s">
        <v>104</v>
      </c>
      <c r="B16" s="14" t="s">
        <v>17</v>
      </c>
      <c r="C16" s="14" t="s">
        <v>105</v>
      </c>
      <c r="D16" s="14" t="s">
        <v>22</v>
      </c>
      <c r="E16" s="14" t="s">
        <v>106</v>
      </c>
      <c r="F16" s="14" t="s">
        <v>107</v>
      </c>
      <c r="G16" s="14" t="s">
        <v>108</v>
      </c>
      <c r="H16" s="14" t="s">
        <v>109</v>
      </c>
      <c r="I16" s="14" t="s">
        <v>110</v>
      </c>
    </row>
    <row r="17" spans="1:9">
      <c r="A17" s="9" t="s">
        <v>111</v>
      </c>
      <c r="B17" s="9"/>
      <c r="C17" s="9"/>
      <c r="D17" s="9"/>
      <c r="E17" s="10">
        <f>IFERROR(INDEX('Ingredients &amp; Packaging'!$H:$H, MATCH(1, ('Ingredients &amp; Packaging'!$B:$B=A17)*('Ingredients &amp; Packaging'!$A:$A=B17),0)),0)</f>
        <v>0</v>
      </c>
      <c r="F17" s="19">
        <f t="shared" ref="F17:F56" si="0">IFERROR(C17*E17,0)</f>
        <v>0</v>
      </c>
      <c r="G17" s="22"/>
      <c r="H17" s="19">
        <f t="shared" ref="H17:H56" si="1">IFERROR(F17*(1+G17),0)</f>
        <v>0</v>
      </c>
      <c r="I17" s="6"/>
    </row>
    <row r="18" spans="1:9">
      <c r="A18" s="9" t="s">
        <v>112</v>
      </c>
      <c r="B18" s="9"/>
      <c r="C18" s="9"/>
      <c r="D18" s="9"/>
      <c r="E18" s="10">
        <f>IFERROR(INDEX('Ingredients &amp; Packaging'!$H:$H, MATCH(1, ('Ingredients &amp; Packaging'!$B:$B=A18)*('Ingredients &amp; Packaging'!$A:$A=B18),0)),0)</f>
        <v>0</v>
      </c>
      <c r="F18" s="19">
        <f t="shared" si="0"/>
        <v>0</v>
      </c>
      <c r="G18" s="22"/>
      <c r="H18" s="19">
        <f t="shared" si="1"/>
        <v>0</v>
      </c>
      <c r="I18" s="6"/>
    </row>
    <row r="19" spans="1:9">
      <c r="A19" s="9" t="s">
        <v>113</v>
      </c>
      <c r="B19" s="9"/>
      <c r="C19" s="9"/>
      <c r="D19" s="9"/>
      <c r="E19" s="10">
        <f>IFERROR(INDEX('Ingredients &amp; Packaging'!$H:$H, MATCH(1, ('Ingredients &amp; Packaging'!$B:$B=A19)*('Ingredients &amp; Packaging'!$A:$A=B19),0)),0)</f>
        <v>0</v>
      </c>
      <c r="F19" s="19">
        <f t="shared" si="0"/>
        <v>0</v>
      </c>
      <c r="G19" s="22"/>
      <c r="H19" s="19">
        <f t="shared" si="1"/>
        <v>0</v>
      </c>
      <c r="I19" s="6"/>
    </row>
    <row r="20" spans="1:9">
      <c r="A20" s="9" t="s">
        <v>114</v>
      </c>
      <c r="B20" s="9"/>
      <c r="C20" s="9"/>
      <c r="D20" s="9"/>
      <c r="E20" s="10">
        <f>IFERROR(INDEX('Ingredients &amp; Packaging'!$H:$H, MATCH(1, ('Ingredients &amp; Packaging'!$B:$B=A20)*('Ingredients &amp; Packaging'!$A:$A=B20),0)),0)</f>
        <v>0</v>
      </c>
      <c r="F20" s="19">
        <f t="shared" si="0"/>
        <v>0</v>
      </c>
      <c r="G20" s="22"/>
      <c r="H20" s="19">
        <f t="shared" si="1"/>
        <v>0</v>
      </c>
      <c r="I20" s="6"/>
    </row>
    <row r="21" spans="1:9">
      <c r="A21" s="9" t="s">
        <v>115</v>
      </c>
      <c r="B21" s="9"/>
      <c r="C21" s="9"/>
      <c r="D21" s="9"/>
      <c r="E21" s="10">
        <f>IFERROR(INDEX('Ingredients &amp; Packaging'!$H:$H, MATCH(1, ('Ingredients &amp; Packaging'!$B:$B=A21)*('Ingredients &amp; Packaging'!$A:$A=B21),0)),0)</f>
        <v>0</v>
      </c>
      <c r="F21" s="19">
        <f t="shared" si="0"/>
        <v>0</v>
      </c>
      <c r="G21" s="22"/>
      <c r="H21" s="19">
        <f t="shared" si="1"/>
        <v>0</v>
      </c>
      <c r="I21" s="6"/>
    </row>
    <row r="22" spans="1:9">
      <c r="A22" s="9" t="s">
        <v>116</v>
      </c>
      <c r="B22" s="9"/>
      <c r="C22" s="9"/>
      <c r="D22" s="9"/>
      <c r="E22" s="10">
        <f>IFERROR(INDEX('Ingredients &amp; Packaging'!$H:$H, MATCH(1, ('Ingredients &amp; Packaging'!$B:$B=A22)*('Ingredients &amp; Packaging'!$A:$A=B22),0)),0)</f>
        <v>0</v>
      </c>
      <c r="F22" s="19">
        <f t="shared" si="0"/>
        <v>0</v>
      </c>
      <c r="G22" s="22"/>
      <c r="H22" s="19">
        <f t="shared" si="1"/>
        <v>0</v>
      </c>
      <c r="I22" s="6"/>
    </row>
    <row r="23" spans="1:9">
      <c r="A23" s="9" t="s">
        <v>117</v>
      </c>
      <c r="B23" s="9"/>
      <c r="C23" s="9"/>
      <c r="D23" s="9"/>
      <c r="E23" s="10">
        <f>IFERROR(INDEX('Ingredients &amp; Packaging'!$H:$H, MATCH(1, ('Ingredients &amp; Packaging'!$B:$B=A23)*('Ingredients &amp; Packaging'!$A:$A=B23),0)),0)</f>
        <v>0</v>
      </c>
      <c r="F23" s="19">
        <f t="shared" si="0"/>
        <v>0</v>
      </c>
      <c r="G23" s="22"/>
      <c r="H23" s="19">
        <f t="shared" si="1"/>
        <v>0</v>
      </c>
      <c r="I23" s="6"/>
    </row>
    <row r="24" spans="1:9">
      <c r="A24" s="9" t="s">
        <v>118</v>
      </c>
      <c r="B24" s="9"/>
      <c r="C24" s="9"/>
      <c r="D24" s="9"/>
      <c r="E24" s="10">
        <f>IFERROR(INDEX('Ingredients &amp; Packaging'!$H:$H, MATCH(1, ('Ingredients &amp; Packaging'!$B:$B=A24)*('Ingredients &amp; Packaging'!$A:$A=B24),0)),0)</f>
        <v>0</v>
      </c>
      <c r="F24" s="19">
        <f t="shared" si="0"/>
        <v>0</v>
      </c>
      <c r="G24" s="22"/>
      <c r="H24" s="19">
        <f t="shared" si="1"/>
        <v>0</v>
      </c>
      <c r="I24" s="6"/>
    </row>
    <row r="25" spans="1:9">
      <c r="A25" s="9"/>
      <c r="B25" s="9"/>
      <c r="C25" s="9"/>
      <c r="D25" s="9"/>
      <c r="E25" s="10">
        <f>IFERROR(INDEX('Ingredients &amp; Packaging'!$H:$H, MATCH(1, ('Ingredients &amp; Packaging'!$B:$B=A25)*('Ingredients &amp; Packaging'!$A:$A=B25),0)),0)</f>
        <v>0</v>
      </c>
      <c r="F25" s="19">
        <f t="shared" si="0"/>
        <v>0</v>
      </c>
      <c r="G25" s="22"/>
      <c r="H25" s="19">
        <f t="shared" si="1"/>
        <v>0</v>
      </c>
      <c r="I25" s="6"/>
    </row>
    <row r="26" spans="1:9">
      <c r="A26" s="9"/>
      <c r="B26" s="9"/>
      <c r="C26" s="9"/>
      <c r="D26" s="9"/>
      <c r="E26" s="10">
        <f>IFERROR(INDEX('Ingredients &amp; Packaging'!$H:$H, MATCH(1, ('Ingredients &amp; Packaging'!$B:$B=A26)*('Ingredients &amp; Packaging'!$A:$A=B26),0)),0)</f>
        <v>0</v>
      </c>
      <c r="F26" s="19">
        <f t="shared" si="0"/>
        <v>0</v>
      </c>
      <c r="G26" s="22"/>
      <c r="H26" s="19">
        <f t="shared" si="1"/>
        <v>0</v>
      </c>
      <c r="I26" s="6"/>
    </row>
    <row r="27" spans="1:9">
      <c r="A27" s="9"/>
      <c r="B27" s="9"/>
      <c r="C27" s="9"/>
      <c r="D27" s="9"/>
      <c r="E27" s="10">
        <f>IFERROR(INDEX('Ingredients &amp; Packaging'!$H:$H, MATCH(1, ('Ingredients &amp; Packaging'!$B:$B=A27)*('Ingredients &amp; Packaging'!$A:$A=B27),0)),0)</f>
        <v>0</v>
      </c>
      <c r="F27" s="19">
        <f t="shared" si="0"/>
        <v>0</v>
      </c>
      <c r="G27" s="22"/>
      <c r="H27" s="19">
        <f t="shared" si="1"/>
        <v>0</v>
      </c>
      <c r="I27" s="6"/>
    </row>
    <row r="28" spans="1:9">
      <c r="A28" s="9"/>
      <c r="B28" s="9"/>
      <c r="C28" s="9"/>
      <c r="D28" s="9"/>
      <c r="E28" s="10">
        <f>IFERROR(INDEX('Ingredients &amp; Packaging'!$H:$H, MATCH(1, ('Ingredients &amp; Packaging'!$B:$B=A28)*('Ingredients &amp; Packaging'!$A:$A=B28),0)),0)</f>
        <v>0</v>
      </c>
      <c r="F28" s="19">
        <f t="shared" si="0"/>
        <v>0</v>
      </c>
      <c r="G28" s="22"/>
      <c r="H28" s="19">
        <f t="shared" si="1"/>
        <v>0</v>
      </c>
      <c r="I28" s="6"/>
    </row>
    <row r="29" spans="1:9">
      <c r="A29" s="9"/>
      <c r="B29" s="9"/>
      <c r="C29" s="9"/>
      <c r="D29" s="9"/>
      <c r="E29" s="10">
        <f>IFERROR(INDEX('Ingredients &amp; Packaging'!$H:$H, MATCH(1, ('Ingredients &amp; Packaging'!$B:$B=A29)*('Ingredients &amp; Packaging'!$A:$A=B29),0)),0)</f>
        <v>0</v>
      </c>
      <c r="F29" s="19">
        <f t="shared" si="0"/>
        <v>0</v>
      </c>
      <c r="G29" s="22"/>
      <c r="H29" s="19">
        <f t="shared" si="1"/>
        <v>0</v>
      </c>
      <c r="I29" s="6"/>
    </row>
    <row r="30" spans="1:9">
      <c r="A30" s="9"/>
      <c r="B30" s="9"/>
      <c r="C30" s="9"/>
      <c r="D30" s="9"/>
      <c r="E30" s="10">
        <f>IFERROR(INDEX('Ingredients &amp; Packaging'!$H:$H, MATCH(1, ('Ingredients &amp; Packaging'!$B:$B=A30)*('Ingredients &amp; Packaging'!$A:$A=B30),0)),0)</f>
        <v>0</v>
      </c>
      <c r="F30" s="19">
        <f t="shared" si="0"/>
        <v>0</v>
      </c>
      <c r="G30" s="22"/>
      <c r="H30" s="19">
        <f t="shared" si="1"/>
        <v>0</v>
      </c>
      <c r="I30" s="6"/>
    </row>
    <row r="31" spans="1:9">
      <c r="A31" s="9"/>
      <c r="B31" s="9"/>
      <c r="C31" s="9"/>
      <c r="D31" s="9"/>
      <c r="E31" s="10">
        <f>IFERROR(INDEX('Ingredients &amp; Packaging'!$H:$H, MATCH(1, ('Ingredients &amp; Packaging'!$B:$B=A31)*('Ingredients &amp; Packaging'!$A:$A=B31),0)),0)</f>
        <v>0</v>
      </c>
      <c r="F31" s="19">
        <f t="shared" si="0"/>
        <v>0</v>
      </c>
      <c r="G31" s="22"/>
      <c r="H31" s="19">
        <f t="shared" si="1"/>
        <v>0</v>
      </c>
      <c r="I31" s="6"/>
    </row>
    <row r="32" spans="1:9">
      <c r="A32" s="9"/>
      <c r="B32" s="9"/>
      <c r="C32" s="9"/>
      <c r="D32" s="9"/>
      <c r="E32" s="10">
        <f>IFERROR(INDEX('Ingredients &amp; Packaging'!$H:$H, MATCH(1, ('Ingredients &amp; Packaging'!$B:$B=A32)*('Ingredients &amp; Packaging'!$A:$A=B32),0)),0)</f>
        <v>0</v>
      </c>
      <c r="F32" s="19">
        <f t="shared" si="0"/>
        <v>0</v>
      </c>
      <c r="G32" s="22"/>
      <c r="H32" s="19">
        <f t="shared" si="1"/>
        <v>0</v>
      </c>
      <c r="I32" s="6"/>
    </row>
    <row r="33" spans="1:9">
      <c r="A33" s="9"/>
      <c r="B33" s="9"/>
      <c r="C33" s="9"/>
      <c r="D33" s="9"/>
      <c r="E33" s="10">
        <f>IFERROR(INDEX('Ingredients &amp; Packaging'!$H:$H, MATCH(1, ('Ingredients &amp; Packaging'!$B:$B=A33)*('Ingredients &amp; Packaging'!$A:$A=B33),0)),0)</f>
        <v>0</v>
      </c>
      <c r="F33" s="19">
        <f t="shared" si="0"/>
        <v>0</v>
      </c>
      <c r="G33" s="22"/>
      <c r="H33" s="19">
        <f t="shared" si="1"/>
        <v>0</v>
      </c>
      <c r="I33" s="6"/>
    </row>
    <row r="34" spans="1:9">
      <c r="A34" s="9"/>
      <c r="B34" s="9"/>
      <c r="C34" s="9"/>
      <c r="D34" s="9"/>
      <c r="E34" s="10">
        <f>IFERROR(INDEX('Ingredients &amp; Packaging'!$H:$H, MATCH(1, ('Ingredients &amp; Packaging'!$B:$B=A34)*('Ingredients &amp; Packaging'!$A:$A=B34),0)),0)</f>
        <v>0</v>
      </c>
      <c r="F34" s="19">
        <f t="shared" si="0"/>
        <v>0</v>
      </c>
      <c r="G34" s="22"/>
      <c r="H34" s="19">
        <f t="shared" si="1"/>
        <v>0</v>
      </c>
      <c r="I34" s="6"/>
    </row>
    <row r="35" spans="1:9">
      <c r="A35" s="9"/>
      <c r="B35" s="9"/>
      <c r="C35" s="9"/>
      <c r="D35" s="9"/>
      <c r="E35" s="10">
        <f>IFERROR(INDEX('Ingredients &amp; Packaging'!$H:$H, MATCH(1, ('Ingredients &amp; Packaging'!$B:$B=A35)*('Ingredients &amp; Packaging'!$A:$A=B35),0)),0)</f>
        <v>0</v>
      </c>
      <c r="F35" s="19">
        <f t="shared" si="0"/>
        <v>0</v>
      </c>
      <c r="G35" s="22"/>
      <c r="H35" s="19">
        <f t="shared" si="1"/>
        <v>0</v>
      </c>
      <c r="I35" s="6"/>
    </row>
    <row r="36" spans="1:9">
      <c r="A36" s="9"/>
      <c r="B36" s="9"/>
      <c r="C36" s="9"/>
      <c r="D36" s="9"/>
      <c r="E36" s="10">
        <f>IFERROR(INDEX('Ingredients &amp; Packaging'!$H:$H, MATCH(1, ('Ingredients &amp; Packaging'!$B:$B=A36)*('Ingredients &amp; Packaging'!$A:$A=B36),0)),0)</f>
        <v>0</v>
      </c>
      <c r="F36" s="19">
        <f t="shared" si="0"/>
        <v>0</v>
      </c>
      <c r="G36" s="22"/>
      <c r="H36" s="19">
        <f t="shared" si="1"/>
        <v>0</v>
      </c>
      <c r="I36" s="6"/>
    </row>
    <row r="37" spans="1:9">
      <c r="A37" s="9"/>
      <c r="B37" s="9"/>
      <c r="C37" s="9"/>
      <c r="D37" s="9"/>
      <c r="E37" s="10">
        <f>IFERROR(INDEX('Ingredients &amp; Packaging'!$H:$H, MATCH(1, ('Ingredients &amp; Packaging'!$B:$B=A37)*('Ingredients &amp; Packaging'!$A:$A=B37),0)),0)</f>
        <v>0</v>
      </c>
      <c r="F37" s="19">
        <f t="shared" si="0"/>
        <v>0</v>
      </c>
      <c r="G37" s="22"/>
      <c r="H37" s="19">
        <f t="shared" si="1"/>
        <v>0</v>
      </c>
      <c r="I37" s="6"/>
    </row>
    <row r="38" spans="1:9">
      <c r="A38" s="9"/>
      <c r="B38" s="9"/>
      <c r="C38" s="9"/>
      <c r="D38" s="9"/>
      <c r="E38" s="10">
        <f>IFERROR(INDEX('Ingredients &amp; Packaging'!$H:$H, MATCH(1, ('Ingredients &amp; Packaging'!$B:$B=A38)*('Ingredients &amp; Packaging'!$A:$A=B38),0)),0)</f>
        <v>0</v>
      </c>
      <c r="F38" s="19">
        <f t="shared" si="0"/>
        <v>0</v>
      </c>
      <c r="G38" s="22"/>
      <c r="H38" s="19">
        <f t="shared" si="1"/>
        <v>0</v>
      </c>
      <c r="I38" s="6"/>
    </row>
    <row r="39" spans="1:9">
      <c r="A39" s="9"/>
      <c r="B39" s="9"/>
      <c r="C39" s="9"/>
      <c r="D39" s="9"/>
      <c r="E39" s="10">
        <f>IFERROR(INDEX('Ingredients &amp; Packaging'!$H:$H, MATCH(1, ('Ingredients &amp; Packaging'!$B:$B=A39)*('Ingredients &amp; Packaging'!$A:$A=B39),0)),0)</f>
        <v>0</v>
      </c>
      <c r="F39" s="19">
        <f t="shared" si="0"/>
        <v>0</v>
      </c>
      <c r="G39" s="22"/>
      <c r="H39" s="19">
        <f t="shared" si="1"/>
        <v>0</v>
      </c>
      <c r="I39" s="6"/>
    </row>
    <row r="40" spans="1:9">
      <c r="A40" s="9"/>
      <c r="B40" s="9"/>
      <c r="C40" s="9"/>
      <c r="D40" s="9"/>
      <c r="E40" s="10">
        <f>IFERROR(INDEX('Ingredients &amp; Packaging'!$H:$H, MATCH(1, ('Ingredients &amp; Packaging'!$B:$B=A40)*('Ingredients &amp; Packaging'!$A:$A=B40),0)),0)</f>
        <v>0</v>
      </c>
      <c r="F40" s="19">
        <f t="shared" si="0"/>
        <v>0</v>
      </c>
      <c r="G40" s="22"/>
      <c r="H40" s="19">
        <f t="shared" si="1"/>
        <v>0</v>
      </c>
      <c r="I40" s="6"/>
    </row>
    <row r="41" spans="1:9">
      <c r="A41" s="9"/>
      <c r="B41" s="9"/>
      <c r="C41" s="9"/>
      <c r="D41" s="9"/>
      <c r="E41" s="10">
        <f>IFERROR(INDEX('Ingredients &amp; Packaging'!$H:$H, MATCH(1, ('Ingredients &amp; Packaging'!$B:$B=A41)*('Ingredients &amp; Packaging'!$A:$A=B41),0)),0)</f>
        <v>0</v>
      </c>
      <c r="F41" s="19">
        <f t="shared" si="0"/>
        <v>0</v>
      </c>
      <c r="G41" s="22"/>
      <c r="H41" s="19">
        <f t="shared" si="1"/>
        <v>0</v>
      </c>
      <c r="I41" s="6"/>
    </row>
    <row r="42" spans="1:9">
      <c r="A42" s="9"/>
      <c r="B42" s="9"/>
      <c r="C42" s="9"/>
      <c r="D42" s="9"/>
      <c r="E42" s="10">
        <f>IFERROR(INDEX('Ingredients &amp; Packaging'!$H:$H, MATCH(1, ('Ingredients &amp; Packaging'!$B:$B=A42)*('Ingredients &amp; Packaging'!$A:$A=B42),0)),0)</f>
        <v>0</v>
      </c>
      <c r="F42" s="19">
        <f t="shared" si="0"/>
        <v>0</v>
      </c>
      <c r="G42" s="22"/>
      <c r="H42" s="19">
        <f t="shared" si="1"/>
        <v>0</v>
      </c>
      <c r="I42" s="6"/>
    </row>
    <row r="43" spans="1:9">
      <c r="A43" s="9"/>
      <c r="B43" s="9"/>
      <c r="C43" s="9"/>
      <c r="D43" s="9"/>
      <c r="E43" s="10">
        <f>IFERROR(INDEX('Ingredients &amp; Packaging'!$H:$H, MATCH(1, ('Ingredients &amp; Packaging'!$B:$B=A43)*('Ingredients &amp; Packaging'!$A:$A=B43),0)),0)</f>
        <v>0</v>
      </c>
      <c r="F43" s="19">
        <f t="shared" si="0"/>
        <v>0</v>
      </c>
      <c r="G43" s="22"/>
      <c r="H43" s="19">
        <f t="shared" si="1"/>
        <v>0</v>
      </c>
      <c r="I43" s="6"/>
    </row>
    <row r="44" spans="1:9">
      <c r="A44" s="9"/>
      <c r="B44" s="9"/>
      <c r="C44" s="9"/>
      <c r="D44" s="9"/>
      <c r="E44" s="10">
        <f>IFERROR(INDEX('Ingredients &amp; Packaging'!$H:$H, MATCH(1, ('Ingredients &amp; Packaging'!$B:$B=A44)*('Ingredients &amp; Packaging'!$A:$A=B44),0)),0)</f>
        <v>0</v>
      </c>
      <c r="F44" s="19">
        <f t="shared" si="0"/>
        <v>0</v>
      </c>
      <c r="G44" s="22"/>
      <c r="H44" s="19">
        <f t="shared" si="1"/>
        <v>0</v>
      </c>
      <c r="I44" s="6"/>
    </row>
    <row r="45" spans="1:9">
      <c r="A45" s="9"/>
      <c r="B45" s="9"/>
      <c r="C45" s="9"/>
      <c r="D45" s="9"/>
      <c r="E45" s="10">
        <f>IFERROR(INDEX('Ingredients &amp; Packaging'!$H:$H, MATCH(1, ('Ingredients &amp; Packaging'!$B:$B=A45)*('Ingredients &amp; Packaging'!$A:$A=B45),0)),0)</f>
        <v>0</v>
      </c>
      <c r="F45" s="19">
        <f t="shared" si="0"/>
        <v>0</v>
      </c>
      <c r="G45" s="22"/>
      <c r="H45" s="19">
        <f t="shared" si="1"/>
        <v>0</v>
      </c>
      <c r="I45" s="6"/>
    </row>
    <row r="46" spans="1:9">
      <c r="A46" s="9"/>
      <c r="B46" s="9"/>
      <c r="C46" s="9"/>
      <c r="D46" s="9"/>
      <c r="E46" s="10">
        <f>IFERROR(INDEX('Ingredients &amp; Packaging'!$H:$H, MATCH(1, ('Ingredients &amp; Packaging'!$B:$B=A46)*('Ingredients &amp; Packaging'!$A:$A=B46),0)),0)</f>
        <v>0</v>
      </c>
      <c r="F46" s="19">
        <f t="shared" si="0"/>
        <v>0</v>
      </c>
      <c r="G46" s="22"/>
      <c r="H46" s="19">
        <f t="shared" si="1"/>
        <v>0</v>
      </c>
      <c r="I46" s="6"/>
    </row>
    <row r="47" spans="1:9">
      <c r="A47" s="9"/>
      <c r="B47" s="9"/>
      <c r="C47" s="9"/>
      <c r="D47" s="9"/>
      <c r="E47" s="10">
        <f>IFERROR(INDEX('Ingredients &amp; Packaging'!$H:$H, MATCH(1, ('Ingredients &amp; Packaging'!$B:$B=A47)*('Ingredients &amp; Packaging'!$A:$A=B47),0)),0)</f>
        <v>0</v>
      </c>
      <c r="F47" s="19">
        <f t="shared" si="0"/>
        <v>0</v>
      </c>
      <c r="G47" s="22"/>
      <c r="H47" s="19">
        <f t="shared" si="1"/>
        <v>0</v>
      </c>
      <c r="I47" s="6"/>
    </row>
    <row r="48" spans="1:9">
      <c r="A48" s="9"/>
      <c r="B48" s="9"/>
      <c r="C48" s="9"/>
      <c r="D48" s="9"/>
      <c r="E48" s="10">
        <f>IFERROR(INDEX('Ingredients &amp; Packaging'!$H:$H, MATCH(1, ('Ingredients &amp; Packaging'!$B:$B=A48)*('Ingredients &amp; Packaging'!$A:$A=B48),0)),0)</f>
        <v>0</v>
      </c>
      <c r="F48" s="19">
        <f t="shared" si="0"/>
        <v>0</v>
      </c>
      <c r="G48" s="22"/>
      <c r="H48" s="19">
        <f t="shared" si="1"/>
        <v>0</v>
      </c>
      <c r="I48" s="6"/>
    </row>
    <row r="49" spans="1:9">
      <c r="A49" s="9"/>
      <c r="B49" s="9"/>
      <c r="C49" s="9"/>
      <c r="D49" s="9"/>
      <c r="E49" s="10">
        <f>IFERROR(INDEX('Ingredients &amp; Packaging'!$H:$H, MATCH(1, ('Ingredients &amp; Packaging'!$B:$B=A49)*('Ingredients &amp; Packaging'!$A:$A=B49),0)),0)</f>
        <v>0</v>
      </c>
      <c r="F49" s="19">
        <f t="shared" si="0"/>
        <v>0</v>
      </c>
      <c r="G49" s="22"/>
      <c r="H49" s="19">
        <f t="shared" si="1"/>
        <v>0</v>
      </c>
      <c r="I49" s="6"/>
    </row>
    <row r="50" spans="1:9">
      <c r="A50" s="9"/>
      <c r="B50" s="9"/>
      <c r="C50" s="9"/>
      <c r="D50" s="9"/>
      <c r="E50" s="10">
        <f>IFERROR(INDEX('Ingredients &amp; Packaging'!$H:$H, MATCH(1, ('Ingredients &amp; Packaging'!$B:$B=A50)*('Ingredients &amp; Packaging'!$A:$A=B50),0)),0)</f>
        <v>0</v>
      </c>
      <c r="F50" s="19">
        <f t="shared" si="0"/>
        <v>0</v>
      </c>
      <c r="G50" s="22"/>
      <c r="H50" s="19">
        <f t="shared" si="1"/>
        <v>0</v>
      </c>
      <c r="I50" s="6"/>
    </row>
    <row r="51" spans="1:9">
      <c r="A51" s="9"/>
      <c r="B51" s="9"/>
      <c r="C51" s="9"/>
      <c r="D51" s="9"/>
      <c r="E51" s="10">
        <f>IFERROR(INDEX('Ingredients &amp; Packaging'!$H:$H, MATCH(1, ('Ingredients &amp; Packaging'!$B:$B=A51)*('Ingredients &amp; Packaging'!$A:$A=B51),0)),0)</f>
        <v>0</v>
      </c>
      <c r="F51" s="19">
        <f t="shared" si="0"/>
        <v>0</v>
      </c>
      <c r="G51" s="22"/>
      <c r="H51" s="19">
        <f t="shared" si="1"/>
        <v>0</v>
      </c>
      <c r="I51" s="6"/>
    </row>
    <row r="52" spans="1:9">
      <c r="A52" s="9"/>
      <c r="B52" s="9"/>
      <c r="C52" s="9"/>
      <c r="D52" s="9"/>
      <c r="E52" s="10">
        <f>IFERROR(INDEX('Ingredients &amp; Packaging'!$H:$H, MATCH(1, ('Ingredients &amp; Packaging'!$B:$B=A52)*('Ingredients &amp; Packaging'!$A:$A=B52),0)),0)</f>
        <v>0</v>
      </c>
      <c r="F52" s="19">
        <f t="shared" si="0"/>
        <v>0</v>
      </c>
      <c r="G52" s="22"/>
      <c r="H52" s="19">
        <f t="shared" si="1"/>
        <v>0</v>
      </c>
      <c r="I52" s="6"/>
    </row>
    <row r="53" spans="1:9">
      <c r="A53" s="9"/>
      <c r="B53" s="9"/>
      <c r="C53" s="9"/>
      <c r="D53" s="9"/>
      <c r="E53" s="10">
        <f>IFERROR(INDEX('Ingredients &amp; Packaging'!$H:$H, MATCH(1, ('Ingredients &amp; Packaging'!$B:$B=A53)*('Ingredients &amp; Packaging'!$A:$A=B53),0)),0)</f>
        <v>0</v>
      </c>
      <c r="F53" s="19">
        <f t="shared" si="0"/>
        <v>0</v>
      </c>
      <c r="G53" s="22"/>
      <c r="H53" s="19">
        <f t="shared" si="1"/>
        <v>0</v>
      </c>
      <c r="I53" s="6"/>
    </row>
    <row r="54" spans="1:9">
      <c r="A54" s="9"/>
      <c r="B54" s="9"/>
      <c r="C54" s="9"/>
      <c r="D54" s="9"/>
      <c r="E54" s="10">
        <f>IFERROR(INDEX('Ingredients &amp; Packaging'!$H:$H, MATCH(1, ('Ingredients &amp; Packaging'!$B:$B=A54)*('Ingredients &amp; Packaging'!$A:$A=B54),0)),0)</f>
        <v>0</v>
      </c>
      <c r="F54" s="19">
        <f t="shared" si="0"/>
        <v>0</v>
      </c>
      <c r="G54" s="22"/>
      <c r="H54" s="19">
        <f t="shared" si="1"/>
        <v>0</v>
      </c>
      <c r="I54" s="6"/>
    </row>
    <row r="55" spans="1:9">
      <c r="A55" s="9"/>
      <c r="B55" s="9"/>
      <c r="C55" s="9"/>
      <c r="D55" s="9"/>
      <c r="E55" s="10">
        <f>IFERROR(INDEX('Ingredients &amp; Packaging'!$H:$H, MATCH(1, ('Ingredients &amp; Packaging'!$B:$B=A55)*('Ingredients &amp; Packaging'!$A:$A=B55),0)),0)</f>
        <v>0</v>
      </c>
      <c r="F55" s="19">
        <f t="shared" si="0"/>
        <v>0</v>
      </c>
      <c r="G55" s="22"/>
      <c r="H55" s="19">
        <f t="shared" si="1"/>
        <v>0</v>
      </c>
      <c r="I55" s="6"/>
    </row>
    <row r="56" spans="1:9">
      <c r="A56" s="9"/>
      <c r="B56" s="9"/>
      <c r="C56" s="9"/>
      <c r="D56" s="9"/>
      <c r="E56" s="10">
        <f>IFERROR(INDEX('Ingredients &amp; Packaging'!$H:$H, MATCH(1, ('Ingredients &amp; Packaging'!$B:$B=A56)*('Ingredients &amp; Packaging'!$A:$A=B56),0)),0)</f>
        <v>0</v>
      </c>
      <c r="F56" s="19">
        <f t="shared" si="0"/>
        <v>0</v>
      </c>
      <c r="G56" s="22"/>
      <c r="H56" s="19">
        <f t="shared" si="1"/>
        <v>0</v>
      </c>
      <c r="I56" s="6"/>
    </row>
    <row r="58" spans="1:9">
      <c r="A58" s="38" t="s">
        <v>119</v>
      </c>
      <c r="B58" s="45"/>
      <c r="C58" s="45"/>
      <c r="D58" s="39"/>
    </row>
    <row r="59" spans="1:9">
      <c r="A59" s="21" t="s">
        <v>120</v>
      </c>
      <c r="B59" s="23">
        <f>SUM(H17:H56)</f>
        <v>0</v>
      </c>
    </row>
    <row r="60" spans="1:9">
      <c r="A60" s="21" t="s">
        <v>121</v>
      </c>
      <c r="B60" s="23">
        <f>IFERROR(B59/ B8,0)</f>
        <v>0</v>
      </c>
    </row>
    <row r="61" spans="1:9">
      <c r="A61" s="21" t="s">
        <v>122</v>
      </c>
      <c r="B61" s="23">
        <f>VLOOKUP("RH",'Products Index'!$A:$F,6,FALSE)</f>
        <v>0</v>
      </c>
    </row>
    <row r="62" spans="1:9">
      <c r="A62" s="21" t="s">
        <v>67</v>
      </c>
      <c r="B62" s="23">
        <f>VLOOKUP("RH",'Products Index'!$A:$G,7,FALSE)</f>
        <v>5.25</v>
      </c>
    </row>
    <row r="63" spans="1:9">
      <c r="A63" s="21" t="s">
        <v>123</v>
      </c>
      <c r="B63" s="24">
        <f>IFERROR((B61-B60)/B61,0)</f>
        <v>0</v>
      </c>
    </row>
    <row r="64" spans="1:9">
      <c r="A64" s="21" t="s">
        <v>124</v>
      </c>
      <c r="B64" s="24">
        <f>IFERROR((B62-B60)/B62,0)</f>
        <v>1</v>
      </c>
    </row>
  </sheetData>
  <mergeCells count="9">
    <mergeCell ref="E4:I4"/>
    <mergeCell ref="A58:D58"/>
    <mergeCell ref="F9:I9"/>
    <mergeCell ref="F7:I7"/>
    <mergeCell ref="F8:I8"/>
    <mergeCell ref="A4:D4"/>
    <mergeCell ref="A15:G15"/>
    <mergeCell ref="F5:I5"/>
    <mergeCell ref="F6:I6"/>
  </mergeCells>
  <dataValidations count="2">
    <dataValidation type="list" allowBlank="1" sqref="B17 B18 B19 B20 B21 B22 B23 B24 B25 B26 B27 B28 B29 B30 B31 B32 B33 B34 B35 B36 B37 B38 B39 B40 B41 B42 B43 B44 B45 B46 B47 B48 B49 B50 B51 B52 B53 B54 B55 B56">
      <formula1>"Ingredient,Packaging,Label,Overhead"</formula1>
    </dataValidation>
    <dataValidation type="list" allowBlank="1" sqref="D17 D18 D19 D20 D21 D22 D23 D24 D25 D26 D27 D28 D29 D30 D31 D32 D33 D34 D35 D36 D37 D38 D39 D40 D41 D42 D43 D44 D45 D46 D47 D48 D49 D50 D51 D52 D53 D54 D55 D56">
      <formula1>"g,kg,ml,l,each"</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64"/>
  <sheetViews>
    <sheetView showGridLines="0" workbookViewId="0"/>
  </sheetViews>
  <sheetFormatPr defaultRowHeight="14.5"/>
  <cols>
    <col min="1" max="1" width="26" customWidth="1"/>
    <col min="2" max="2" width="12" customWidth="1"/>
    <col min="3" max="3" width="10" customWidth="1"/>
    <col min="4" max="4" width="8" customWidth="1"/>
    <col min="5" max="6" width="14" customWidth="1"/>
    <col min="7" max="7" width="10" customWidth="1"/>
    <col min="8" max="8" width="14" customWidth="1"/>
    <col min="9" max="9" width="22" customWidth="1"/>
  </cols>
  <sheetData>
    <row r="1" spans="1:9" ht="20">
      <c r="A1" s="1" t="s">
        <v>125</v>
      </c>
    </row>
    <row r="2" spans="1:9">
      <c r="A2" s="2" t="s">
        <v>126</v>
      </c>
    </row>
    <row r="4" spans="1:9">
      <c r="A4" s="38" t="s">
        <v>83</v>
      </c>
      <c r="B4" s="45"/>
      <c r="C4" s="45"/>
      <c r="D4" s="39"/>
      <c r="E4" s="38" t="s">
        <v>84</v>
      </c>
      <c r="F4" s="45"/>
      <c r="G4" s="45"/>
      <c r="H4" s="45"/>
      <c r="I4" s="39"/>
    </row>
    <row r="5" spans="1:9">
      <c r="A5" s="21" t="s">
        <v>85</v>
      </c>
      <c r="B5" s="7">
        <v>190</v>
      </c>
      <c r="E5" s="21" t="s">
        <v>86</v>
      </c>
      <c r="F5" s="46" t="s">
        <v>127</v>
      </c>
      <c r="G5" s="45"/>
      <c r="H5" s="45"/>
      <c r="I5" s="39"/>
    </row>
    <row r="6" spans="1:9">
      <c r="A6" s="21" t="s">
        <v>88</v>
      </c>
      <c r="B6" s="7">
        <v>2200</v>
      </c>
      <c r="E6" s="21" t="s">
        <v>89</v>
      </c>
      <c r="F6" s="46" t="s">
        <v>90</v>
      </c>
      <c r="G6" s="45"/>
      <c r="H6" s="45"/>
      <c r="I6" s="39"/>
    </row>
    <row r="7" spans="1:9">
      <c r="A7" s="21" t="s">
        <v>91</v>
      </c>
      <c r="B7" s="7">
        <v>2200</v>
      </c>
      <c r="E7" s="21" t="s">
        <v>92</v>
      </c>
      <c r="F7" s="46" t="s">
        <v>128</v>
      </c>
      <c r="G7" s="45"/>
      <c r="H7" s="45"/>
      <c r="I7" s="39"/>
    </row>
    <row r="8" spans="1:9">
      <c r="A8" s="21" t="s">
        <v>94</v>
      </c>
      <c r="B8" s="29">
        <f>IFERROR(B7/B5,0)</f>
        <v>11.578947368421053</v>
      </c>
      <c r="E8" s="21" t="s">
        <v>95</v>
      </c>
      <c r="F8" s="46" t="s">
        <v>129</v>
      </c>
      <c r="G8" s="45"/>
      <c r="H8" s="45"/>
      <c r="I8" s="39"/>
    </row>
    <row r="9" spans="1:9">
      <c r="A9" s="21" t="s">
        <v>97</v>
      </c>
      <c r="B9" s="9"/>
      <c r="E9" s="21" t="s">
        <v>98</v>
      </c>
      <c r="F9" s="46" t="s">
        <v>130</v>
      </c>
      <c r="G9" s="45"/>
      <c r="H9" s="45"/>
      <c r="I9" s="39"/>
    </row>
    <row r="10" spans="1:9">
      <c r="A10" s="21" t="s">
        <v>100</v>
      </c>
      <c r="B10" s="9"/>
    </row>
    <row r="11" spans="1:9">
      <c r="A11" s="21" t="s">
        <v>101</v>
      </c>
      <c r="B11" s="9"/>
    </row>
    <row r="12" spans="1:9">
      <c r="A12" s="21" t="s">
        <v>102</v>
      </c>
      <c r="B12" s="7">
        <v>190</v>
      </c>
    </row>
    <row r="13" spans="1:9">
      <c r="A13" s="21" t="s">
        <v>28</v>
      </c>
      <c r="B13" s="9"/>
    </row>
    <row r="15" spans="1:9">
      <c r="A15" s="38" t="s">
        <v>103</v>
      </c>
      <c r="B15" s="45"/>
      <c r="C15" s="45"/>
      <c r="D15" s="45"/>
      <c r="E15" s="45"/>
      <c r="F15" s="45"/>
      <c r="G15" s="39"/>
    </row>
    <row r="16" spans="1:9" ht="29">
      <c r="A16" s="14" t="s">
        <v>104</v>
      </c>
      <c r="B16" s="14" t="s">
        <v>17</v>
      </c>
      <c r="C16" s="14" t="s">
        <v>105</v>
      </c>
      <c r="D16" s="14" t="s">
        <v>22</v>
      </c>
      <c r="E16" s="14" t="s">
        <v>106</v>
      </c>
      <c r="F16" s="14" t="s">
        <v>107</v>
      </c>
      <c r="G16" s="14" t="s">
        <v>108</v>
      </c>
      <c r="H16" s="14" t="s">
        <v>109</v>
      </c>
      <c r="I16" s="14" t="s">
        <v>110</v>
      </c>
    </row>
    <row r="17" spans="1:9">
      <c r="A17" s="9" t="s">
        <v>131</v>
      </c>
      <c r="B17" s="9"/>
      <c r="C17" s="9"/>
      <c r="D17" s="9"/>
      <c r="E17" s="10">
        <f>IFERROR(INDEX('Ingredients &amp; Packaging'!$H:$H, MATCH(1, ('Ingredients &amp; Packaging'!$B:$B=A17)*('Ingredients &amp; Packaging'!$A:$A=B17),0)),0)</f>
        <v>0</v>
      </c>
      <c r="F17" s="19">
        <f t="shared" ref="F17:F56" si="0">IFERROR(C17*E17,0)</f>
        <v>0</v>
      </c>
      <c r="G17" s="22"/>
      <c r="H17" s="19">
        <f t="shared" ref="H17:H56" si="1">IFERROR(F17*(1+G17),0)</f>
        <v>0</v>
      </c>
      <c r="I17" s="6"/>
    </row>
    <row r="18" spans="1:9">
      <c r="A18" s="9" t="s">
        <v>132</v>
      </c>
      <c r="B18" s="9"/>
      <c r="C18" s="9"/>
      <c r="D18" s="9"/>
      <c r="E18" s="10">
        <f>IFERROR(INDEX('Ingredients &amp; Packaging'!$H:$H, MATCH(1, ('Ingredients &amp; Packaging'!$B:$B=A18)*('Ingredients &amp; Packaging'!$A:$A=B18),0)),0)</f>
        <v>0</v>
      </c>
      <c r="F18" s="19">
        <f t="shared" si="0"/>
        <v>0</v>
      </c>
      <c r="G18" s="22"/>
      <c r="H18" s="19">
        <f t="shared" si="1"/>
        <v>0</v>
      </c>
      <c r="I18" s="6"/>
    </row>
    <row r="19" spans="1:9">
      <c r="A19" s="9" t="s">
        <v>133</v>
      </c>
      <c r="B19" s="9"/>
      <c r="C19" s="9"/>
      <c r="D19" s="9"/>
      <c r="E19" s="10">
        <f>IFERROR(INDEX('Ingredients &amp; Packaging'!$H:$H, MATCH(1, ('Ingredients &amp; Packaging'!$B:$B=A19)*('Ingredients &amp; Packaging'!$A:$A=B19),0)),0)</f>
        <v>0</v>
      </c>
      <c r="F19" s="19">
        <f t="shared" si="0"/>
        <v>0</v>
      </c>
      <c r="G19" s="22"/>
      <c r="H19" s="19">
        <f t="shared" si="1"/>
        <v>0</v>
      </c>
      <c r="I19" s="6"/>
    </row>
    <row r="20" spans="1:9">
      <c r="A20" s="9" t="s">
        <v>112</v>
      </c>
      <c r="B20" s="9"/>
      <c r="C20" s="9"/>
      <c r="D20" s="9"/>
      <c r="E20" s="10">
        <f>IFERROR(INDEX('Ingredients &amp; Packaging'!$H:$H, MATCH(1, ('Ingredients &amp; Packaging'!$B:$B=A20)*('Ingredients &amp; Packaging'!$A:$A=B20),0)),0)</f>
        <v>0</v>
      </c>
      <c r="F20" s="19">
        <f t="shared" si="0"/>
        <v>0</v>
      </c>
      <c r="G20" s="22"/>
      <c r="H20" s="19">
        <f t="shared" si="1"/>
        <v>0</v>
      </c>
      <c r="I20" s="6"/>
    </row>
    <row r="21" spans="1:9">
      <c r="A21" s="9" t="s">
        <v>116</v>
      </c>
      <c r="B21" s="9"/>
      <c r="C21" s="9"/>
      <c r="D21" s="9"/>
      <c r="E21" s="10">
        <f>IFERROR(INDEX('Ingredients &amp; Packaging'!$H:$H, MATCH(1, ('Ingredients &amp; Packaging'!$B:$B=A21)*('Ingredients &amp; Packaging'!$A:$A=B21),0)),0)</f>
        <v>0</v>
      </c>
      <c r="F21" s="19">
        <f t="shared" si="0"/>
        <v>0</v>
      </c>
      <c r="G21" s="22"/>
      <c r="H21" s="19">
        <f t="shared" si="1"/>
        <v>0</v>
      </c>
      <c r="I21" s="6"/>
    </row>
    <row r="22" spans="1:9">
      <c r="A22" s="9" t="s">
        <v>134</v>
      </c>
      <c r="B22" s="9"/>
      <c r="C22" s="9"/>
      <c r="D22" s="9"/>
      <c r="E22" s="10">
        <f>IFERROR(INDEX('Ingredients &amp; Packaging'!$H:$H, MATCH(1, ('Ingredients &amp; Packaging'!$B:$B=A22)*('Ingredients &amp; Packaging'!$A:$A=B22),0)),0)</f>
        <v>0</v>
      </c>
      <c r="F22" s="19">
        <f t="shared" si="0"/>
        <v>0</v>
      </c>
      <c r="G22" s="22"/>
      <c r="H22" s="19">
        <f t="shared" si="1"/>
        <v>0</v>
      </c>
      <c r="I22" s="6"/>
    </row>
    <row r="23" spans="1:9">
      <c r="A23" s="9" t="s">
        <v>135</v>
      </c>
      <c r="B23" s="9"/>
      <c r="C23" s="9"/>
      <c r="D23" s="9"/>
      <c r="E23" s="10">
        <f>IFERROR(INDEX('Ingredients &amp; Packaging'!$H:$H, MATCH(1, ('Ingredients &amp; Packaging'!$B:$B=A23)*('Ingredients &amp; Packaging'!$A:$A=B23),0)),0)</f>
        <v>0</v>
      </c>
      <c r="F23" s="19">
        <f t="shared" si="0"/>
        <v>0</v>
      </c>
      <c r="G23" s="22"/>
      <c r="H23" s="19">
        <f t="shared" si="1"/>
        <v>0</v>
      </c>
      <c r="I23" s="6"/>
    </row>
    <row r="24" spans="1:9">
      <c r="A24" s="9" t="s">
        <v>136</v>
      </c>
      <c r="B24" s="9"/>
      <c r="C24" s="9"/>
      <c r="D24" s="9"/>
      <c r="E24" s="10">
        <f>IFERROR(INDEX('Ingredients &amp; Packaging'!$H:$H, MATCH(1, ('Ingredients &amp; Packaging'!$B:$B=A24)*('Ingredients &amp; Packaging'!$A:$A=B24),0)),0)</f>
        <v>0</v>
      </c>
      <c r="F24" s="19">
        <f t="shared" si="0"/>
        <v>0</v>
      </c>
      <c r="G24" s="22"/>
      <c r="H24" s="19">
        <f t="shared" si="1"/>
        <v>0</v>
      </c>
      <c r="I24" s="6"/>
    </row>
    <row r="25" spans="1:9">
      <c r="A25" s="9"/>
      <c r="B25" s="9"/>
      <c r="C25" s="9"/>
      <c r="D25" s="9"/>
      <c r="E25" s="10">
        <f>IFERROR(INDEX('Ingredients &amp; Packaging'!$H:$H, MATCH(1, ('Ingredients &amp; Packaging'!$B:$B=A25)*('Ingredients &amp; Packaging'!$A:$A=B25),0)),0)</f>
        <v>0</v>
      </c>
      <c r="F25" s="19">
        <f t="shared" si="0"/>
        <v>0</v>
      </c>
      <c r="G25" s="22"/>
      <c r="H25" s="19">
        <f t="shared" si="1"/>
        <v>0</v>
      </c>
      <c r="I25" s="6"/>
    </row>
    <row r="26" spans="1:9">
      <c r="A26" s="9"/>
      <c r="B26" s="9"/>
      <c r="C26" s="9"/>
      <c r="D26" s="9"/>
      <c r="E26" s="10">
        <f>IFERROR(INDEX('Ingredients &amp; Packaging'!$H:$H, MATCH(1, ('Ingredients &amp; Packaging'!$B:$B=A26)*('Ingredients &amp; Packaging'!$A:$A=B26),0)),0)</f>
        <v>0</v>
      </c>
      <c r="F26" s="19">
        <f t="shared" si="0"/>
        <v>0</v>
      </c>
      <c r="G26" s="22"/>
      <c r="H26" s="19">
        <f t="shared" si="1"/>
        <v>0</v>
      </c>
      <c r="I26" s="6"/>
    </row>
    <row r="27" spans="1:9">
      <c r="A27" s="9"/>
      <c r="B27" s="9"/>
      <c r="C27" s="9"/>
      <c r="D27" s="9"/>
      <c r="E27" s="10">
        <f>IFERROR(INDEX('Ingredients &amp; Packaging'!$H:$H, MATCH(1, ('Ingredients &amp; Packaging'!$B:$B=A27)*('Ingredients &amp; Packaging'!$A:$A=B27),0)),0)</f>
        <v>0</v>
      </c>
      <c r="F27" s="19">
        <f t="shared" si="0"/>
        <v>0</v>
      </c>
      <c r="G27" s="22"/>
      <c r="H27" s="19">
        <f t="shared" si="1"/>
        <v>0</v>
      </c>
      <c r="I27" s="6"/>
    </row>
    <row r="28" spans="1:9">
      <c r="A28" s="9"/>
      <c r="B28" s="9"/>
      <c r="C28" s="9"/>
      <c r="D28" s="9"/>
      <c r="E28" s="10">
        <f>IFERROR(INDEX('Ingredients &amp; Packaging'!$H:$H, MATCH(1, ('Ingredients &amp; Packaging'!$B:$B=A28)*('Ingredients &amp; Packaging'!$A:$A=B28),0)),0)</f>
        <v>0</v>
      </c>
      <c r="F28" s="19">
        <f t="shared" si="0"/>
        <v>0</v>
      </c>
      <c r="G28" s="22"/>
      <c r="H28" s="19">
        <f t="shared" si="1"/>
        <v>0</v>
      </c>
      <c r="I28" s="6"/>
    </row>
    <row r="29" spans="1:9">
      <c r="A29" s="9"/>
      <c r="B29" s="9"/>
      <c r="C29" s="9"/>
      <c r="D29" s="9"/>
      <c r="E29" s="10">
        <f>IFERROR(INDEX('Ingredients &amp; Packaging'!$H:$H, MATCH(1, ('Ingredients &amp; Packaging'!$B:$B=A29)*('Ingredients &amp; Packaging'!$A:$A=B29),0)),0)</f>
        <v>0</v>
      </c>
      <c r="F29" s="19">
        <f t="shared" si="0"/>
        <v>0</v>
      </c>
      <c r="G29" s="22"/>
      <c r="H29" s="19">
        <f t="shared" si="1"/>
        <v>0</v>
      </c>
      <c r="I29" s="6"/>
    </row>
    <row r="30" spans="1:9">
      <c r="A30" s="9"/>
      <c r="B30" s="9"/>
      <c r="C30" s="9"/>
      <c r="D30" s="9"/>
      <c r="E30" s="10">
        <f>IFERROR(INDEX('Ingredients &amp; Packaging'!$H:$H, MATCH(1, ('Ingredients &amp; Packaging'!$B:$B=A30)*('Ingredients &amp; Packaging'!$A:$A=B30),0)),0)</f>
        <v>0</v>
      </c>
      <c r="F30" s="19">
        <f t="shared" si="0"/>
        <v>0</v>
      </c>
      <c r="G30" s="22"/>
      <c r="H30" s="19">
        <f t="shared" si="1"/>
        <v>0</v>
      </c>
      <c r="I30" s="6"/>
    </row>
    <row r="31" spans="1:9">
      <c r="A31" s="9"/>
      <c r="B31" s="9"/>
      <c r="C31" s="9"/>
      <c r="D31" s="9"/>
      <c r="E31" s="10">
        <f>IFERROR(INDEX('Ingredients &amp; Packaging'!$H:$H, MATCH(1, ('Ingredients &amp; Packaging'!$B:$B=A31)*('Ingredients &amp; Packaging'!$A:$A=B31),0)),0)</f>
        <v>0</v>
      </c>
      <c r="F31" s="19">
        <f t="shared" si="0"/>
        <v>0</v>
      </c>
      <c r="G31" s="22"/>
      <c r="H31" s="19">
        <f t="shared" si="1"/>
        <v>0</v>
      </c>
      <c r="I31" s="6"/>
    </row>
    <row r="32" spans="1:9">
      <c r="A32" s="9"/>
      <c r="B32" s="9"/>
      <c r="C32" s="9"/>
      <c r="D32" s="9"/>
      <c r="E32" s="10">
        <f>IFERROR(INDEX('Ingredients &amp; Packaging'!$H:$H, MATCH(1, ('Ingredients &amp; Packaging'!$B:$B=A32)*('Ingredients &amp; Packaging'!$A:$A=B32),0)),0)</f>
        <v>0</v>
      </c>
      <c r="F32" s="19">
        <f t="shared" si="0"/>
        <v>0</v>
      </c>
      <c r="G32" s="22"/>
      <c r="H32" s="19">
        <f t="shared" si="1"/>
        <v>0</v>
      </c>
      <c r="I32" s="6"/>
    </row>
    <row r="33" spans="1:9">
      <c r="A33" s="9"/>
      <c r="B33" s="9"/>
      <c r="C33" s="9"/>
      <c r="D33" s="9"/>
      <c r="E33" s="10">
        <f>IFERROR(INDEX('Ingredients &amp; Packaging'!$H:$H, MATCH(1, ('Ingredients &amp; Packaging'!$B:$B=A33)*('Ingredients &amp; Packaging'!$A:$A=B33),0)),0)</f>
        <v>0</v>
      </c>
      <c r="F33" s="19">
        <f t="shared" si="0"/>
        <v>0</v>
      </c>
      <c r="G33" s="22"/>
      <c r="H33" s="19">
        <f t="shared" si="1"/>
        <v>0</v>
      </c>
      <c r="I33" s="6"/>
    </row>
    <row r="34" spans="1:9">
      <c r="A34" s="9"/>
      <c r="B34" s="9"/>
      <c r="C34" s="9"/>
      <c r="D34" s="9"/>
      <c r="E34" s="10">
        <f>IFERROR(INDEX('Ingredients &amp; Packaging'!$H:$H, MATCH(1, ('Ingredients &amp; Packaging'!$B:$B=A34)*('Ingredients &amp; Packaging'!$A:$A=B34),0)),0)</f>
        <v>0</v>
      </c>
      <c r="F34" s="19">
        <f t="shared" si="0"/>
        <v>0</v>
      </c>
      <c r="G34" s="22"/>
      <c r="H34" s="19">
        <f t="shared" si="1"/>
        <v>0</v>
      </c>
      <c r="I34" s="6"/>
    </row>
    <row r="35" spans="1:9">
      <c r="A35" s="9"/>
      <c r="B35" s="9"/>
      <c r="C35" s="9"/>
      <c r="D35" s="9"/>
      <c r="E35" s="10">
        <f>IFERROR(INDEX('Ingredients &amp; Packaging'!$H:$H, MATCH(1, ('Ingredients &amp; Packaging'!$B:$B=A35)*('Ingredients &amp; Packaging'!$A:$A=B35),0)),0)</f>
        <v>0</v>
      </c>
      <c r="F35" s="19">
        <f t="shared" si="0"/>
        <v>0</v>
      </c>
      <c r="G35" s="22"/>
      <c r="H35" s="19">
        <f t="shared" si="1"/>
        <v>0</v>
      </c>
      <c r="I35" s="6"/>
    </row>
    <row r="36" spans="1:9">
      <c r="A36" s="9"/>
      <c r="B36" s="9"/>
      <c r="C36" s="9"/>
      <c r="D36" s="9"/>
      <c r="E36" s="10">
        <f>IFERROR(INDEX('Ingredients &amp; Packaging'!$H:$H, MATCH(1, ('Ingredients &amp; Packaging'!$B:$B=A36)*('Ingredients &amp; Packaging'!$A:$A=B36),0)),0)</f>
        <v>0</v>
      </c>
      <c r="F36" s="19">
        <f t="shared" si="0"/>
        <v>0</v>
      </c>
      <c r="G36" s="22"/>
      <c r="H36" s="19">
        <f t="shared" si="1"/>
        <v>0</v>
      </c>
      <c r="I36" s="6"/>
    </row>
    <row r="37" spans="1:9">
      <c r="A37" s="9"/>
      <c r="B37" s="9"/>
      <c r="C37" s="9"/>
      <c r="D37" s="9"/>
      <c r="E37" s="10">
        <f>IFERROR(INDEX('Ingredients &amp; Packaging'!$H:$H, MATCH(1, ('Ingredients &amp; Packaging'!$B:$B=A37)*('Ingredients &amp; Packaging'!$A:$A=B37),0)),0)</f>
        <v>0</v>
      </c>
      <c r="F37" s="19">
        <f t="shared" si="0"/>
        <v>0</v>
      </c>
      <c r="G37" s="22"/>
      <c r="H37" s="19">
        <f t="shared" si="1"/>
        <v>0</v>
      </c>
      <c r="I37" s="6"/>
    </row>
    <row r="38" spans="1:9">
      <c r="A38" s="9"/>
      <c r="B38" s="9"/>
      <c r="C38" s="9"/>
      <c r="D38" s="9"/>
      <c r="E38" s="10">
        <f>IFERROR(INDEX('Ingredients &amp; Packaging'!$H:$H, MATCH(1, ('Ingredients &amp; Packaging'!$B:$B=A38)*('Ingredients &amp; Packaging'!$A:$A=B38),0)),0)</f>
        <v>0</v>
      </c>
      <c r="F38" s="19">
        <f t="shared" si="0"/>
        <v>0</v>
      </c>
      <c r="G38" s="22"/>
      <c r="H38" s="19">
        <f t="shared" si="1"/>
        <v>0</v>
      </c>
      <c r="I38" s="6"/>
    </row>
    <row r="39" spans="1:9">
      <c r="A39" s="9"/>
      <c r="B39" s="9"/>
      <c r="C39" s="9"/>
      <c r="D39" s="9"/>
      <c r="E39" s="10">
        <f>IFERROR(INDEX('Ingredients &amp; Packaging'!$H:$H, MATCH(1, ('Ingredients &amp; Packaging'!$B:$B=A39)*('Ingredients &amp; Packaging'!$A:$A=B39),0)),0)</f>
        <v>0</v>
      </c>
      <c r="F39" s="19">
        <f t="shared" si="0"/>
        <v>0</v>
      </c>
      <c r="G39" s="22"/>
      <c r="H39" s="19">
        <f t="shared" si="1"/>
        <v>0</v>
      </c>
      <c r="I39" s="6"/>
    </row>
    <row r="40" spans="1:9">
      <c r="A40" s="9"/>
      <c r="B40" s="9"/>
      <c r="C40" s="9"/>
      <c r="D40" s="9"/>
      <c r="E40" s="10">
        <f>IFERROR(INDEX('Ingredients &amp; Packaging'!$H:$H, MATCH(1, ('Ingredients &amp; Packaging'!$B:$B=A40)*('Ingredients &amp; Packaging'!$A:$A=B40),0)),0)</f>
        <v>0</v>
      </c>
      <c r="F40" s="19">
        <f t="shared" si="0"/>
        <v>0</v>
      </c>
      <c r="G40" s="22"/>
      <c r="H40" s="19">
        <f t="shared" si="1"/>
        <v>0</v>
      </c>
      <c r="I40" s="6"/>
    </row>
    <row r="41" spans="1:9">
      <c r="A41" s="9"/>
      <c r="B41" s="9"/>
      <c r="C41" s="9"/>
      <c r="D41" s="9"/>
      <c r="E41" s="10">
        <f>IFERROR(INDEX('Ingredients &amp; Packaging'!$H:$H, MATCH(1, ('Ingredients &amp; Packaging'!$B:$B=A41)*('Ingredients &amp; Packaging'!$A:$A=B41),0)),0)</f>
        <v>0</v>
      </c>
      <c r="F41" s="19">
        <f t="shared" si="0"/>
        <v>0</v>
      </c>
      <c r="G41" s="22"/>
      <c r="H41" s="19">
        <f t="shared" si="1"/>
        <v>0</v>
      </c>
      <c r="I41" s="6"/>
    </row>
    <row r="42" spans="1:9">
      <c r="A42" s="9"/>
      <c r="B42" s="9"/>
      <c r="C42" s="9"/>
      <c r="D42" s="9"/>
      <c r="E42" s="10">
        <f>IFERROR(INDEX('Ingredients &amp; Packaging'!$H:$H, MATCH(1, ('Ingredients &amp; Packaging'!$B:$B=A42)*('Ingredients &amp; Packaging'!$A:$A=B42),0)),0)</f>
        <v>0</v>
      </c>
      <c r="F42" s="19">
        <f t="shared" si="0"/>
        <v>0</v>
      </c>
      <c r="G42" s="22"/>
      <c r="H42" s="19">
        <f t="shared" si="1"/>
        <v>0</v>
      </c>
      <c r="I42" s="6"/>
    </row>
    <row r="43" spans="1:9">
      <c r="A43" s="9"/>
      <c r="B43" s="9"/>
      <c r="C43" s="9"/>
      <c r="D43" s="9"/>
      <c r="E43" s="10">
        <f>IFERROR(INDEX('Ingredients &amp; Packaging'!$H:$H, MATCH(1, ('Ingredients &amp; Packaging'!$B:$B=A43)*('Ingredients &amp; Packaging'!$A:$A=B43),0)),0)</f>
        <v>0</v>
      </c>
      <c r="F43" s="19">
        <f t="shared" si="0"/>
        <v>0</v>
      </c>
      <c r="G43" s="22"/>
      <c r="H43" s="19">
        <f t="shared" si="1"/>
        <v>0</v>
      </c>
      <c r="I43" s="6"/>
    </row>
    <row r="44" spans="1:9">
      <c r="A44" s="9"/>
      <c r="B44" s="9"/>
      <c r="C44" s="9"/>
      <c r="D44" s="9"/>
      <c r="E44" s="10">
        <f>IFERROR(INDEX('Ingredients &amp; Packaging'!$H:$H, MATCH(1, ('Ingredients &amp; Packaging'!$B:$B=A44)*('Ingredients &amp; Packaging'!$A:$A=B44),0)),0)</f>
        <v>0</v>
      </c>
      <c r="F44" s="19">
        <f t="shared" si="0"/>
        <v>0</v>
      </c>
      <c r="G44" s="22"/>
      <c r="H44" s="19">
        <f t="shared" si="1"/>
        <v>0</v>
      </c>
      <c r="I44" s="6"/>
    </row>
    <row r="45" spans="1:9">
      <c r="A45" s="9"/>
      <c r="B45" s="9"/>
      <c r="C45" s="9"/>
      <c r="D45" s="9"/>
      <c r="E45" s="10">
        <f>IFERROR(INDEX('Ingredients &amp; Packaging'!$H:$H, MATCH(1, ('Ingredients &amp; Packaging'!$B:$B=A45)*('Ingredients &amp; Packaging'!$A:$A=B45),0)),0)</f>
        <v>0</v>
      </c>
      <c r="F45" s="19">
        <f t="shared" si="0"/>
        <v>0</v>
      </c>
      <c r="G45" s="22"/>
      <c r="H45" s="19">
        <f t="shared" si="1"/>
        <v>0</v>
      </c>
      <c r="I45" s="6"/>
    </row>
    <row r="46" spans="1:9">
      <c r="A46" s="9"/>
      <c r="B46" s="9"/>
      <c r="C46" s="9"/>
      <c r="D46" s="9"/>
      <c r="E46" s="10">
        <f>IFERROR(INDEX('Ingredients &amp; Packaging'!$H:$H, MATCH(1, ('Ingredients &amp; Packaging'!$B:$B=A46)*('Ingredients &amp; Packaging'!$A:$A=B46),0)),0)</f>
        <v>0</v>
      </c>
      <c r="F46" s="19">
        <f t="shared" si="0"/>
        <v>0</v>
      </c>
      <c r="G46" s="22"/>
      <c r="H46" s="19">
        <f t="shared" si="1"/>
        <v>0</v>
      </c>
      <c r="I46" s="6"/>
    </row>
    <row r="47" spans="1:9">
      <c r="A47" s="9"/>
      <c r="B47" s="9"/>
      <c r="C47" s="9"/>
      <c r="D47" s="9"/>
      <c r="E47" s="10">
        <f>IFERROR(INDEX('Ingredients &amp; Packaging'!$H:$H, MATCH(1, ('Ingredients &amp; Packaging'!$B:$B=A47)*('Ingredients &amp; Packaging'!$A:$A=B47),0)),0)</f>
        <v>0</v>
      </c>
      <c r="F47" s="19">
        <f t="shared" si="0"/>
        <v>0</v>
      </c>
      <c r="G47" s="22"/>
      <c r="H47" s="19">
        <f t="shared" si="1"/>
        <v>0</v>
      </c>
      <c r="I47" s="6"/>
    </row>
    <row r="48" spans="1:9">
      <c r="A48" s="9"/>
      <c r="B48" s="9"/>
      <c r="C48" s="9"/>
      <c r="D48" s="9"/>
      <c r="E48" s="10">
        <f>IFERROR(INDEX('Ingredients &amp; Packaging'!$H:$H, MATCH(1, ('Ingredients &amp; Packaging'!$B:$B=A48)*('Ingredients &amp; Packaging'!$A:$A=B48),0)),0)</f>
        <v>0</v>
      </c>
      <c r="F48" s="19">
        <f t="shared" si="0"/>
        <v>0</v>
      </c>
      <c r="G48" s="22"/>
      <c r="H48" s="19">
        <f t="shared" si="1"/>
        <v>0</v>
      </c>
      <c r="I48" s="6"/>
    </row>
    <row r="49" spans="1:9">
      <c r="A49" s="9"/>
      <c r="B49" s="9"/>
      <c r="C49" s="9"/>
      <c r="D49" s="9"/>
      <c r="E49" s="10">
        <f>IFERROR(INDEX('Ingredients &amp; Packaging'!$H:$H, MATCH(1, ('Ingredients &amp; Packaging'!$B:$B=A49)*('Ingredients &amp; Packaging'!$A:$A=B49),0)),0)</f>
        <v>0</v>
      </c>
      <c r="F49" s="19">
        <f t="shared" si="0"/>
        <v>0</v>
      </c>
      <c r="G49" s="22"/>
      <c r="H49" s="19">
        <f t="shared" si="1"/>
        <v>0</v>
      </c>
      <c r="I49" s="6"/>
    </row>
    <row r="50" spans="1:9">
      <c r="A50" s="9"/>
      <c r="B50" s="9"/>
      <c r="C50" s="9"/>
      <c r="D50" s="9"/>
      <c r="E50" s="10">
        <f>IFERROR(INDEX('Ingredients &amp; Packaging'!$H:$H, MATCH(1, ('Ingredients &amp; Packaging'!$B:$B=A50)*('Ingredients &amp; Packaging'!$A:$A=B50),0)),0)</f>
        <v>0</v>
      </c>
      <c r="F50" s="19">
        <f t="shared" si="0"/>
        <v>0</v>
      </c>
      <c r="G50" s="22"/>
      <c r="H50" s="19">
        <f t="shared" si="1"/>
        <v>0</v>
      </c>
      <c r="I50" s="6"/>
    </row>
    <row r="51" spans="1:9">
      <c r="A51" s="9"/>
      <c r="B51" s="9"/>
      <c r="C51" s="9"/>
      <c r="D51" s="9"/>
      <c r="E51" s="10">
        <f>IFERROR(INDEX('Ingredients &amp; Packaging'!$H:$H, MATCH(1, ('Ingredients &amp; Packaging'!$B:$B=A51)*('Ingredients &amp; Packaging'!$A:$A=B51),0)),0)</f>
        <v>0</v>
      </c>
      <c r="F51" s="19">
        <f t="shared" si="0"/>
        <v>0</v>
      </c>
      <c r="G51" s="22"/>
      <c r="H51" s="19">
        <f t="shared" si="1"/>
        <v>0</v>
      </c>
      <c r="I51" s="6"/>
    </row>
    <row r="52" spans="1:9">
      <c r="A52" s="9"/>
      <c r="B52" s="9"/>
      <c r="C52" s="9"/>
      <c r="D52" s="9"/>
      <c r="E52" s="10">
        <f>IFERROR(INDEX('Ingredients &amp; Packaging'!$H:$H, MATCH(1, ('Ingredients &amp; Packaging'!$B:$B=A52)*('Ingredients &amp; Packaging'!$A:$A=B52),0)),0)</f>
        <v>0</v>
      </c>
      <c r="F52" s="19">
        <f t="shared" si="0"/>
        <v>0</v>
      </c>
      <c r="G52" s="22"/>
      <c r="H52" s="19">
        <f t="shared" si="1"/>
        <v>0</v>
      </c>
      <c r="I52" s="6"/>
    </row>
    <row r="53" spans="1:9">
      <c r="A53" s="9"/>
      <c r="B53" s="9"/>
      <c r="C53" s="9"/>
      <c r="D53" s="9"/>
      <c r="E53" s="10">
        <f>IFERROR(INDEX('Ingredients &amp; Packaging'!$H:$H, MATCH(1, ('Ingredients &amp; Packaging'!$B:$B=A53)*('Ingredients &amp; Packaging'!$A:$A=B53),0)),0)</f>
        <v>0</v>
      </c>
      <c r="F53" s="19">
        <f t="shared" si="0"/>
        <v>0</v>
      </c>
      <c r="G53" s="22"/>
      <c r="H53" s="19">
        <f t="shared" si="1"/>
        <v>0</v>
      </c>
      <c r="I53" s="6"/>
    </row>
    <row r="54" spans="1:9">
      <c r="A54" s="9"/>
      <c r="B54" s="9"/>
      <c r="C54" s="9"/>
      <c r="D54" s="9"/>
      <c r="E54" s="10">
        <f>IFERROR(INDEX('Ingredients &amp; Packaging'!$H:$H, MATCH(1, ('Ingredients &amp; Packaging'!$B:$B=A54)*('Ingredients &amp; Packaging'!$A:$A=B54),0)),0)</f>
        <v>0</v>
      </c>
      <c r="F54" s="19">
        <f t="shared" si="0"/>
        <v>0</v>
      </c>
      <c r="G54" s="22"/>
      <c r="H54" s="19">
        <f t="shared" si="1"/>
        <v>0</v>
      </c>
      <c r="I54" s="6"/>
    </row>
    <row r="55" spans="1:9">
      <c r="A55" s="9"/>
      <c r="B55" s="9"/>
      <c r="C55" s="9"/>
      <c r="D55" s="9"/>
      <c r="E55" s="10">
        <f>IFERROR(INDEX('Ingredients &amp; Packaging'!$H:$H, MATCH(1, ('Ingredients &amp; Packaging'!$B:$B=A55)*('Ingredients &amp; Packaging'!$A:$A=B55),0)),0)</f>
        <v>0</v>
      </c>
      <c r="F55" s="19">
        <f t="shared" si="0"/>
        <v>0</v>
      </c>
      <c r="G55" s="22"/>
      <c r="H55" s="19">
        <f t="shared" si="1"/>
        <v>0</v>
      </c>
      <c r="I55" s="6"/>
    </row>
    <row r="56" spans="1:9">
      <c r="A56" s="9"/>
      <c r="B56" s="9"/>
      <c r="C56" s="9"/>
      <c r="D56" s="9"/>
      <c r="E56" s="10">
        <f>IFERROR(INDEX('Ingredients &amp; Packaging'!$H:$H, MATCH(1, ('Ingredients &amp; Packaging'!$B:$B=A56)*('Ingredients &amp; Packaging'!$A:$A=B56),0)),0)</f>
        <v>0</v>
      </c>
      <c r="F56" s="19">
        <f t="shared" si="0"/>
        <v>0</v>
      </c>
      <c r="G56" s="22"/>
      <c r="H56" s="19">
        <f t="shared" si="1"/>
        <v>0</v>
      </c>
      <c r="I56" s="6"/>
    </row>
    <row r="58" spans="1:9">
      <c r="A58" s="38" t="s">
        <v>119</v>
      </c>
      <c r="B58" s="45"/>
      <c r="C58" s="45"/>
      <c r="D58" s="39"/>
    </row>
    <row r="59" spans="1:9">
      <c r="A59" s="21" t="s">
        <v>120</v>
      </c>
      <c r="B59" s="23">
        <f>SUM(H17:H56)</f>
        <v>0</v>
      </c>
    </row>
    <row r="60" spans="1:9">
      <c r="A60" s="21" t="s">
        <v>121</v>
      </c>
      <c r="B60" s="23">
        <f>IFERROR(B59/ B8,0)</f>
        <v>0</v>
      </c>
    </row>
    <row r="61" spans="1:9">
      <c r="A61" s="21" t="s">
        <v>122</v>
      </c>
      <c r="B61" s="23">
        <f>VLOOKUP("WG",'Products Index'!$A:$F,6,FALSE)</f>
        <v>0</v>
      </c>
    </row>
    <row r="62" spans="1:9">
      <c r="A62" s="21" t="s">
        <v>67</v>
      </c>
      <c r="B62" s="23">
        <f>VLOOKUP("WG",'Products Index'!$A:$G,7,FALSE)</f>
        <v>0</v>
      </c>
    </row>
    <row r="63" spans="1:9">
      <c r="A63" s="21" t="s">
        <v>123</v>
      </c>
      <c r="B63" s="24">
        <f>IFERROR((B61-B60)/B61,0)</f>
        <v>0</v>
      </c>
    </row>
    <row r="64" spans="1:9">
      <c r="A64" s="21" t="s">
        <v>124</v>
      </c>
      <c r="B64" s="24">
        <f>IFERROR((B62-B60)/B62,0)</f>
        <v>0</v>
      </c>
    </row>
  </sheetData>
  <mergeCells count="9">
    <mergeCell ref="E4:I4"/>
    <mergeCell ref="A58:D58"/>
    <mergeCell ref="F9:I9"/>
    <mergeCell ref="F7:I7"/>
    <mergeCell ref="F8:I8"/>
    <mergeCell ref="A4:D4"/>
    <mergeCell ref="A15:G15"/>
    <mergeCell ref="F5:I5"/>
    <mergeCell ref="F6:I6"/>
  </mergeCells>
  <dataValidations count="2">
    <dataValidation type="list" allowBlank="1" sqref="B17 B18 B19 B20 B21 B22 B23 B24 B25 B26 B27 B28 B29 B30 B31 B32 B33 B34 B35 B36 B37 B38 B39 B40 B41 B42 B43 B44 B45 B46 B47 B48 B49 B50 B51 B52 B53 B54 B55 B56">
      <formula1>"Ingredient,Packaging,Label,Overhead"</formula1>
    </dataValidation>
    <dataValidation type="list" allowBlank="1" sqref="D17 D18 D19 D20 D21 D22 D23 D24 D25 D26 D27 D28 D29 D30 D31 D32 D33 D34 D35 D36 D37 D38 D39 D40 D41 D42 D43 D44 D45 D46 D47 D48 D49 D50 D51 D52 D53 D54 D55 D56">
      <formula1>"g,kg,ml,l,each"</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64"/>
  <sheetViews>
    <sheetView showGridLines="0" workbookViewId="0"/>
  </sheetViews>
  <sheetFormatPr defaultRowHeight="14.5"/>
  <cols>
    <col min="1" max="1" width="26" customWidth="1"/>
    <col min="2" max="2" width="12" customWidth="1"/>
    <col min="3" max="3" width="10" customWidth="1"/>
    <col min="4" max="4" width="8" customWidth="1"/>
    <col min="5" max="6" width="14" customWidth="1"/>
    <col min="7" max="7" width="10" customWidth="1"/>
    <col min="8" max="8" width="14" customWidth="1"/>
    <col min="9" max="9" width="22" customWidth="1"/>
  </cols>
  <sheetData>
    <row r="1" spans="1:9" ht="20">
      <c r="A1" s="1" t="s">
        <v>137</v>
      </c>
    </row>
    <row r="2" spans="1:9">
      <c r="A2" s="2" t="s">
        <v>138</v>
      </c>
    </row>
    <row r="4" spans="1:9">
      <c r="A4" s="38" t="s">
        <v>83</v>
      </c>
      <c r="B4" s="45"/>
      <c r="C4" s="45"/>
      <c r="D4" s="39"/>
      <c r="E4" s="38" t="s">
        <v>84</v>
      </c>
      <c r="F4" s="45"/>
      <c r="G4" s="45"/>
      <c r="H4" s="45"/>
      <c r="I4" s="39"/>
    </row>
    <row r="5" spans="1:9">
      <c r="A5" s="21" t="s">
        <v>85</v>
      </c>
      <c r="B5" s="7">
        <v>190</v>
      </c>
      <c r="E5" s="21" t="s">
        <v>86</v>
      </c>
      <c r="F5" s="46" t="s">
        <v>139</v>
      </c>
      <c r="G5" s="45"/>
      <c r="H5" s="45"/>
      <c r="I5" s="39"/>
    </row>
    <row r="6" spans="1:9">
      <c r="A6" s="21" t="s">
        <v>88</v>
      </c>
      <c r="B6" s="7">
        <v>2200</v>
      </c>
      <c r="E6" s="21" t="s">
        <v>89</v>
      </c>
      <c r="F6" s="46" t="s">
        <v>90</v>
      </c>
      <c r="G6" s="45"/>
      <c r="H6" s="45"/>
      <c r="I6" s="39"/>
    </row>
    <row r="7" spans="1:9">
      <c r="A7" s="21" t="s">
        <v>91</v>
      </c>
      <c r="B7" s="7">
        <v>2200</v>
      </c>
      <c r="E7" s="21" t="s">
        <v>92</v>
      </c>
      <c r="F7" s="46" t="s">
        <v>140</v>
      </c>
      <c r="G7" s="45"/>
      <c r="H7" s="45"/>
      <c r="I7" s="39"/>
    </row>
    <row r="8" spans="1:9">
      <c r="A8" s="21" t="s">
        <v>94</v>
      </c>
      <c r="B8" s="29">
        <f>IFERROR(B7/B5,0)</f>
        <v>11.578947368421053</v>
      </c>
      <c r="E8" s="21" t="s">
        <v>95</v>
      </c>
      <c r="F8" s="46" t="s">
        <v>141</v>
      </c>
      <c r="G8" s="45"/>
      <c r="H8" s="45"/>
      <c r="I8" s="39"/>
    </row>
    <row r="9" spans="1:9">
      <c r="A9" s="21" t="s">
        <v>97</v>
      </c>
      <c r="B9" s="9"/>
      <c r="E9" s="21" t="s">
        <v>98</v>
      </c>
      <c r="F9" s="46" t="s">
        <v>142</v>
      </c>
      <c r="G9" s="45"/>
      <c r="H9" s="45"/>
      <c r="I9" s="39"/>
    </row>
    <row r="10" spans="1:9">
      <c r="A10" s="21" t="s">
        <v>100</v>
      </c>
      <c r="B10" s="9"/>
    </row>
    <row r="11" spans="1:9">
      <c r="A11" s="21" t="s">
        <v>101</v>
      </c>
      <c r="B11" s="9"/>
    </row>
    <row r="12" spans="1:9">
      <c r="A12" s="21" t="s">
        <v>102</v>
      </c>
      <c r="B12" s="7">
        <v>190</v>
      </c>
    </row>
    <row r="13" spans="1:9">
      <c r="A13" s="21" t="s">
        <v>28</v>
      </c>
      <c r="B13" s="9"/>
    </row>
    <row r="15" spans="1:9">
      <c r="A15" s="38" t="s">
        <v>103</v>
      </c>
      <c r="B15" s="45"/>
      <c r="C15" s="45"/>
      <c r="D15" s="45"/>
      <c r="E15" s="45"/>
      <c r="F15" s="45"/>
      <c r="G15" s="39"/>
    </row>
    <row r="16" spans="1:9" ht="29">
      <c r="A16" s="14" t="s">
        <v>104</v>
      </c>
      <c r="B16" s="14" t="s">
        <v>17</v>
      </c>
      <c r="C16" s="14" t="s">
        <v>105</v>
      </c>
      <c r="D16" s="14" t="s">
        <v>22</v>
      </c>
      <c r="E16" s="14" t="s">
        <v>106</v>
      </c>
      <c r="F16" s="14" t="s">
        <v>107</v>
      </c>
      <c r="G16" s="14" t="s">
        <v>108</v>
      </c>
      <c r="H16" s="14" t="s">
        <v>109</v>
      </c>
      <c r="I16" s="14" t="s">
        <v>110</v>
      </c>
    </row>
    <row r="17" spans="1:9">
      <c r="A17" s="9" t="s">
        <v>143</v>
      </c>
      <c r="B17" s="9"/>
      <c r="C17" s="9"/>
      <c r="D17" s="9"/>
      <c r="E17" s="10">
        <f>IFERROR(INDEX('Ingredients &amp; Packaging'!$H:$H, MATCH(1, ('Ingredients &amp; Packaging'!$B:$B=A17)*('Ingredients &amp; Packaging'!$A:$A=B17),0)),0)</f>
        <v>0</v>
      </c>
      <c r="F17" s="19">
        <f t="shared" ref="F17:F56" si="0">IFERROR(C17*E17,0)</f>
        <v>0</v>
      </c>
      <c r="G17" s="22"/>
      <c r="H17" s="19">
        <f t="shared" ref="H17:H56" si="1">IFERROR(F17*(1+G17),0)</f>
        <v>0</v>
      </c>
      <c r="I17" s="6"/>
    </row>
    <row r="18" spans="1:9">
      <c r="A18" s="9" t="s">
        <v>111</v>
      </c>
      <c r="B18" s="9"/>
      <c r="C18" s="9"/>
      <c r="D18" s="9"/>
      <c r="E18" s="10">
        <f>IFERROR(INDEX('Ingredients &amp; Packaging'!$H:$H, MATCH(1, ('Ingredients &amp; Packaging'!$B:$B=A18)*('Ingredients &amp; Packaging'!$A:$A=B18),0)),0)</f>
        <v>0</v>
      </c>
      <c r="F18" s="19">
        <f t="shared" si="0"/>
        <v>0</v>
      </c>
      <c r="G18" s="22"/>
      <c r="H18" s="19">
        <f t="shared" si="1"/>
        <v>0</v>
      </c>
      <c r="I18" s="6"/>
    </row>
    <row r="19" spans="1:9">
      <c r="A19" s="9" t="s">
        <v>144</v>
      </c>
      <c r="B19" s="9"/>
      <c r="C19" s="9"/>
      <c r="D19" s="9"/>
      <c r="E19" s="10">
        <f>IFERROR(INDEX('Ingredients &amp; Packaging'!$H:$H, MATCH(1, ('Ingredients &amp; Packaging'!$B:$B=A19)*('Ingredients &amp; Packaging'!$A:$A=B19),0)),0)</f>
        <v>0</v>
      </c>
      <c r="F19" s="19">
        <f t="shared" si="0"/>
        <v>0</v>
      </c>
      <c r="G19" s="22"/>
      <c r="H19" s="19">
        <f t="shared" si="1"/>
        <v>0</v>
      </c>
      <c r="I19" s="6"/>
    </row>
    <row r="20" spans="1:9">
      <c r="A20" s="9" t="s">
        <v>145</v>
      </c>
      <c r="B20" s="9"/>
      <c r="C20" s="9"/>
      <c r="D20" s="9"/>
      <c r="E20" s="10">
        <f>IFERROR(INDEX('Ingredients &amp; Packaging'!$H:$H, MATCH(1, ('Ingredients &amp; Packaging'!$B:$B=A20)*('Ingredients &amp; Packaging'!$A:$A=B20),0)),0)</f>
        <v>0</v>
      </c>
      <c r="F20" s="19">
        <f t="shared" si="0"/>
        <v>0</v>
      </c>
      <c r="G20" s="22"/>
      <c r="H20" s="19">
        <f t="shared" si="1"/>
        <v>0</v>
      </c>
      <c r="I20" s="6"/>
    </row>
    <row r="21" spans="1:9">
      <c r="A21" s="9" t="s">
        <v>146</v>
      </c>
      <c r="B21" s="9"/>
      <c r="C21" s="9"/>
      <c r="D21" s="9"/>
      <c r="E21" s="10">
        <f>IFERROR(INDEX('Ingredients &amp; Packaging'!$H:$H, MATCH(1, ('Ingredients &amp; Packaging'!$B:$B=A21)*('Ingredients &amp; Packaging'!$A:$A=B21),0)),0)</f>
        <v>0</v>
      </c>
      <c r="F21" s="19">
        <f t="shared" si="0"/>
        <v>0</v>
      </c>
      <c r="G21" s="22"/>
      <c r="H21" s="19">
        <f t="shared" si="1"/>
        <v>0</v>
      </c>
      <c r="I21" s="6"/>
    </row>
    <row r="22" spans="1:9">
      <c r="A22" s="9" t="s">
        <v>147</v>
      </c>
      <c r="B22" s="9"/>
      <c r="C22" s="9"/>
      <c r="D22" s="9"/>
      <c r="E22" s="10">
        <f>IFERROR(INDEX('Ingredients &amp; Packaging'!$H:$H, MATCH(1, ('Ingredients &amp; Packaging'!$B:$B=A22)*('Ingredients &amp; Packaging'!$A:$A=B22),0)),0)</f>
        <v>0</v>
      </c>
      <c r="F22" s="19">
        <f t="shared" si="0"/>
        <v>0</v>
      </c>
      <c r="G22" s="22"/>
      <c r="H22" s="19">
        <f t="shared" si="1"/>
        <v>0</v>
      </c>
      <c r="I22" s="6"/>
    </row>
    <row r="23" spans="1:9">
      <c r="A23" s="9" t="s">
        <v>148</v>
      </c>
      <c r="B23" s="9"/>
      <c r="C23" s="9"/>
      <c r="D23" s="9"/>
      <c r="E23" s="10">
        <f>IFERROR(INDEX('Ingredients &amp; Packaging'!$H:$H, MATCH(1, ('Ingredients &amp; Packaging'!$B:$B=A23)*('Ingredients &amp; Packaging'!$A:$A=B23),0)),0)</f>
        <v>0</v>
      </c>
      <c r="F23" s="19">
        <f t="shared" si="0"/>
        <v>0</v>
      </c>
      <c r="G23" s="22"/>
      <c r="H23" s="19">
        <f t="shared" si="1"/>
        <v>0</v>
      </c>
      <c r="I23" s="6"/>
    </row>
    <row r="24" spans="1:9">
      <c r="A24" s="9"/>
      <c r="B24" s="9"/>
      <c r="C24" s="9"/>
      <c r="D24" s="9"/>
      <c r="E24" s="10">
        <f>IFERROR(INDEX('Ingredients &amp; Packaging'!$H:$H, MATCH(1, ('Ingredients &amp; Packaging'!$B:$B=A24)*('Ingredients &amp; Packaging'!$A:$A=B24),0)),0)</f>
        <v>0</v>
      </c>
      <c r="F24" s="19">
        <f t="shared" si="0"/>
        <v>0</v>
      </c>
      <c r="G24" s="22"/>
      <c r="H24" s="19">
        <f t="shared" si="1"/>
        <v>0</v>
      </c>
      <c r="I24" s="6"/>
    </row>
    <row r="25" spans="1:9">
      <c r="A25" s="9"/>
      <c r="B25" s="9"/>
      <c r="C25" s="9"/>
      <c r="D25" s="9"/>
      <c r="E25" s="10">
        <f>IFERROR(INDEX('Ingredients &amp; Packaging'!$H:$H, MATCH(1, ('Ingredients &amp; Packaging'!$B:$B=A25)*('Ingredients &amp; Packaging'!$A:$A=B25),0)),0)</f>
        <v>0</v>
      </c>
      <c r="F25" s="19">
        <f t="shared" si="0"/>
        <v>0</v>
      </c>
      <c r="G25" s="22"/>
      <c r="H25" s="19">
        <f t="shared" si="1"/>
        <v>0</v>
      </c>
      <c r="I25" s="6"/>
    </row>
    <row r="26" spans="1:9">
      <c r="A26" s="9"/>
      <c r="B26" s="9"/>
      <c r="C26" s="9"/>
      <c r="D26" s="9"/>
      <c r="E26" s="10">
        <f>IFERROR(INDEX('Ingredients &amp; Packaging'!$H:$H, MATCH(1, ('Ingredients &amp; Packaging'!$B:$B=A26)*('Ingredients &amp; Packaging'!$A:$A=B26),0)),0)</f>
        <v>0</v>
      </c>
      <c r="F26" s="19">
        <f t="shared" si="0"/>
        <v>0</v>
      </c>
      <c r="G26" s="22"/>
      <c r="H26" s="19">
        <f t="shared" si="1"/>
        <v>0</v>
      </c>
      <c r="I26" s="6"/>
    </row>
    <row r="27" spans="1:9">
      <c r="A27" s="9"/>
      <c r="B27" s="9"/>
      <c r="C27" s="9"/>
      <c r="D27" s="9"/>
      <c r="E27" s="10">
        <f>IFERROR(INDEX('Ingredients &amp; Packaging'!$H:$H, MATCH(1, ('Ingredients &amp; Packaging'!$B:$B=A27)*('Ingredients &amp; Packaging'!$A:$A=B27),0)),0)</f>
        <v>0</v>
      </c>
      <c r="F27" s="19">
        <f t="shared" si="0"/>
        <v>0</v>
      </c>
      <c r="G27" s="22"/>
      <c r="H27" s="19">
        <f t="shared" si="1"/>
        <v>0</v>
      </c>
      <c r="I27" s="6"/>
    </row>
    <row r="28" spans="1:9">
      <c r="A28" s="9"/>
      <c r="B28" s="9"/>
      <c r="C28" s="9"/>
      <c r="D28" s="9"/>
      <c r="E28" s="10">
        <f>IFERROR(INDEX('Ingredients &amp; Packaging'!$H:$H, MATCH(1, ('Ingredients &amp; Packaging'!$B:$B=A28)*('Ingredients &amp; Packaging'!$A:$A=B28),0)),0)</f>
        <v>0</v>
      </c>
      <c r="F28" s="19">
        <f t="shared" si="0"/>
        <v>0</v>
      </c>
      <c r="G28" s="22"/>
      <c r="H28" s="19">
        <f t="shared" si="1"/>
        <v>0</v>
      </c>
      <c r="I28" s="6"/>
    </row>
    <row r="29" spans="1:9">
      <c r="A29" s="9"/>
      <c r="B29" s="9"/>
      <c r="C29" s="9"/>
      <c r="D29" s="9"/>
      <c r="E29" s="10">
        <f>IFERROR(INDEX('Ingredients &amp; Packaging'!$H:$H, MATCH(1, ('Ingredients &amp; Packaging'!$B:$B=A29)*('Ingredients &amp; Packaging'!$A:$A=B29),0)),0)</f>
        <v>0</v>
      </c>
      <c r="F29" s="19">
        <f t="shared" si="0"/>
        <v>0</v>
      </c>
      <c r="G29" s="22"/>
      <c r="H29" s="19">
        <f t="shared" si="1"/>
        <v>0</v>
      </c>
      <c r="I29" s="6"/>
    </row>
    <row r="30" spans="1:9">
      <c r="A30" s="9"/>
      <c r="B30" s="9"/>
      <c r="C30" s="9"/>
      <c r="D30" s="9"/>
      <c r="E30" s="10">
        <f>IFERROR(INDEX('Ingredients &amp; Packaging'!$H:$H, MATCH(1, ('Ingredients &amp; Packaging'!$B:$B=A30)*('Ingredients &amp; Packaging'!$A:$A=B30),0)),0)</f>
        <v>0</v>
      </c>
      <c r="F30" s="19">
        <f t="shared" si="0"/>
        <v>0</v>
      </c>
      <c r="G30" s="22"/>
      <c r="H30" s="19">
        <f t="shared" si="1"/>
        <v>0</v>
      </c>
      <c r="I30" s="6"/>
    </row>
    <row r="31" spans="1:9">
      <c r="A31" s="9"/>
      <c r="B31" s="9"/>
      <c r="C31" s="9"/>
      <c r="D31" s="9"/>
      <c r="E31" s="10">
        <f>IFERROR(INDEX('Ingredients &amp; Packaging'!$H:$H, MATCH(1, ('Ingredients &amp; Packaging'!$B:$B=A31)*('Ingredients &amp; Packaging'!$A:$A=B31),0)),0)</f>
        <v>0</v>
      </c>
      <c r="F31" s="19">
        <f t="shared" si="0"/>
        <v>0</v>
      </c>
      <c r="G31" s="22"/>
      <c r="H31" s="19">
        <f t="shared" si="1"/>
        <v>0</v>
      </c>
      <c r="I31" s="6"/>
    </row>
    <row r="32" spans="1:9">
      <c r="A32" s="9"/>
      <c r="B32" s="9"/>
      <c r="C32" s="9"/>
      <c r="D32" s="9"/>
      <c r="E32" s="10">
        <f>IFERROR(INDEX('Ingredients &amp; Packaging'!$H:$H, MATCH(1, ('Ingredients &amp; Packaging'!$B:$B=A32)*('Ingredients &amp; Packaging'!$A:$A=B32),0)),0)</f>
        <v>0</v>
      </c>
      <c r="F32" s="19">
        <f t="shared" si="0"/>
        <v>0</v>
      </c>
      <c r="G32" s="22"/>
      <c r="H32" s="19">
        <f t="shared" si="1"/>
        <v>0</v>
      </c>
      <c r="I32" s="6"/>
    </row>
    <row r="33" spans="1:9">
      <c r="A33" s="9"/>
      <c r="B33" s="9"/>
      <c r="C33" s="9"/>
      <c r="D33" s="9"/>
      <c r="E33" s="10">
        <f>IFERROR(INDEX('Ingredients &amp; Packaging'!$H:$H, MATCH(1, ('Ingredients &amp; Packaging'!$B:$B=A33)*('Ingredients &amp; Packaging'!$A:$A=B33),0)),0)</f>
        <v>0</v>
      </c>
      <c r="F33" s="19">
        <f t="shared" si="0"/>
        <v>0</v>
      </c>
      <c r="G33" s="22"/>
      <c r="H33" s="19">
        <f t="shared" si="1"/>
        <v>0</v>
      </c>
      <c r="I33" s="6"/>
    </row>
    <row r="34" spans="1:9">
      <c r="A34" s="9"/>
      <c r="B34" s="9"/>
      <c r="C34" s="9"/>
      <c r="D34" s="9"/>
      <c r="E34" s="10">
        <f>IFERROR(INDEX('Ingredients &amp; Packaging'!$H:$H, MATCH(1, ('Ingredients &amp; Packaging'!$B:$B=A34)*('Ingredients &amp; Packaging'!$A:$A=B34),0)),0)</f>
        <v>0</v>
      </c>
      <c r="F34" s="19">
        <f t="shared" si="0"/>
        <v>0</v>
      </c>
      <c r="G34" s="22"/>
      <c r="H34" s="19">
        <f t="shared" si="1"/>
        <v>0</v>
      </c>
      <c r="I34" s="6"/>
    </row>
    <row r="35" spans="1:9">
      <c r="A35" s="9"/>
      <c r="B35" s="9"/>
      <c r="C35" s="9"/>
      <c r="D35" s="9"/>
      <c r="E35" s="10">
        <f>IFERROR(INDEX('Ingredients &amp; Packaging'!$H:$H, MATCH(1, ('Ingredients &amp; Packaging'!$B:$B=A35)*('Ingredients &amp; Packaging'!$A:$A=B35),0)),0)</f>
        <v>0</v>
      </c>
      <c r="F35" s="19">
        <f t="shared" si="0"/>
        <v>0</v>
      </c>
      <c r="G35" s="22"/>
      <c r="H35" s="19">
        <f t="shared" si="1"/>
        <v>0</v>
      </c>
      <c r="I35" s="6"/>
    </row>
    <row r="36" spans="1:9">
      <c r="A36" s="9"/>
      <c r="B36" s="9"/>
      <c r="C36" s="9"/>
      <c r="D36" s="9"/>
      <c r="E36" s="10">
        <f>IFERROR(INDEX('Ingredients &amp; Packaging'!$H:$H, MATCH(1, ('Ingredients &amp; Packaging'!$B:$B=A36)*('Ingredients &amp; Packaging'!$A:$A=B36),0)),0)</f>
        <v>0</v>
      </c>
      <c r="F36" s="19">
        <f t="shared" si="0"/>
        <v>0</v>
      </c>
      <c r="G36" s="22"/>
      <c r="H36" s="19">
        <f t="shared" si="1"/>
        <v>0</v>
      </c>
      <c r="I36" s="6"/>
    </row>
    <row r="37" spans="1:9">
      <c r="A37" s="9"/>
      <c r="B37" s="9"/>
      <c r="C37" s="9"/>
      <c r="D37" s="9"/>
      <c r="E37" s="10">
        <f>IFERROR(INDEX('Ingredients &amp; Packaging'!$H:$H, MATCH(1, ('Ingredients &amp; Packaging'!$B:$B=A37)*('Ingredients &amp; Packaging'!$A:$A=B37),0)),0)</f>
        <v>0</v>
      </c>
      <c r="F37" s="19">
        <f t="shared" si="0"/>
        <v>0</v>
      </c>
      <c r="G37" s="22"/>
      <c r="H37" s="19">
        <f t="shared" si="1"/>
        <v>0</v>
      </c>
      <c r="I37" s="6"/>
    </row>
    <row r="38" spans="1:9">
      <c r="A38" s="9"/>
      <c r="B38" s="9"/>
      <c r="C38" s="9"/>
      <c r="D38" s="9"/>
      <c r="E38" s="10">
        <f>IFERROR(INDEX('Ingredients &amp; Packaging'!$H:$H, MATCH(1, ('Ingredients &amp; Packaging'!$B:$B=A38)*('Ingredients &amp; Packaging'!$A:$A=B38),0)),0)</f>
        <v>0</v>
      </c>
      <c r="F38" s="19">
        <f t="shared" si="0"/>
        <v>0</v>
      </c>
      <c r="G38" s="22"/>
      <c r="H38" s="19">
        <f t="shared" si="1"/>
        <v>0</v>
      </c>
      <c r="I38" s="6"/>
    </row>
    <row r="39" spans="1:9">
      <c r="A39" s="9"/>
      <c r="B39" s="9"/>
      <c r="C39" s="9"/>
      <c r="D39" s="9"/>
      <c r="E39" s="10">
        <f>IFERROR(INDEX('Ingredients &amp; Packaging'!$H:$H, MATCH(1, ('Ingredients &amp; Packaging'!$B:$B=A39)*('Ingredients &amp; Packaging'!$A:$A=B39),0)),0)</f>
        <v>0</v>
      </c>
      <c r="F39" s="19">
        <f t="shared" si="0"/>
        <v>0</v>
      </c>
      <c r="G39" s="22"/>
      <c r="H39" s="19">
        <f t="shared" si="1"/>
        <v>0</v>
      </c>
      <c r="I39" s="6"/>
    </row>
    <row r="40" spans="1:9">
      <c r="A40" s="9"/>
      <c r="B40" s="9"/>
      <c r="C40" s="9"/>
      <c r="D40" s="9"/>
      <c r="E40" s="10">
        <f>IFERROR(INDEX('Ingredients &amp; Packaging'!$H:$H, MATCH(1, ('Ingredients &amp; Packaging'!$B:$B=A40)*('Ingredients &amp; Packaging'!$A:$A=B40),0)),0)</f>
        <v>0</v>
      </c>
      <c r="F40" s="19">
        <f t="shared" si="0"/>
        <v>0</v>
      </c>
      <c r="G40" s="22"/>
      <c r="H40" s="19">
        <f t="shared" si="1"/>
        <v>0</v>
      </c>
      <c r="I40" s="6"/>
    </row>
    <row r="41" spans="1:9">
      <c r="A41" s="9"/>
      <c r="B41" s="9"/>
      <c r="C41" s="9"/>
      <c r="D41" s="9"/>
      <c r="E41" s="10">
        <f>IFERROR(INDEX('Ingredients &amp; Packaging'!$H:$H, MATCH(1, ('Ingredients &amp; Packaging'!$B:$B=A41)*('Ingredients &amp; Packaging'!$A:$A=B41),0)),0)</f>
        <v>0</v>
      </c>
      <c r="F41" s="19">
        <f t="shared" si="0"/>
        <v>0</v>
      </c>
      <c r="G41" s="22"/>
      <c r="H41" s="19">
        <f t="shared" si="1"/>
        <v>0</v>
      </c>
      <c r="I41" s="6"/>
    </row>
    <row r="42" spans="1:9">
      <c r="A42" s="9"/>
      <c r="B42" s="9"/>
      <c r="C42" s="9"/>
      <c r="D42" s="9"/>
      <c r="E42" s="10">
        <f>IFERROR(INDEX('Ingredients &amp; Packaging'!$H:$H, MATCH(1, ('Ingredients &amp; Packaging'!$B:$B=A42)*('Ingredients &amp; Packaging'!$A:$A=B42),0)),0)</f>
        <v>0</v>
      </c>
      <c r="F42" s="19">
        <f t="shared" si="0"/>
        <v>0</v>
      </c>
      <c r="G42" s="22"/>
      <c r="H42" s="19">
        <f t="shared" si="1"/>
        <v>0</v>
      </c>
      <c r="I42" s="6"/>
    </row>
    <row r="43" spans="1:9">
      <c r="A43" s="9"/>
      <c r="B43" s="9"/>
      <c r="C43" s="9"/>
      <c r="D43" s="9"/>
      <c r="E43" s="10">
        <f>IFERROR(INDEX('Ingredients &amp; Packaging'!$H:$H, MATCH(1, ('Ingredients &amp; Packaging'!$B:$B=A43)*('Ingredients &amp; Packaging'!$A:$A=B43),0)),0)</f>
        <v>0</v>
      </c>
      <c r="F43" s="19">
        <f t="shared" si="0"/>
        <v>0</v>
      </c>
      <c r="G43" s="22"/>
      <c r="H43" s="19">
        <f t="shared" si="1"/>
        <v>0</v>
      </c>
      <c r="I43" s="6"/>
    </row>
    <row r="44" spans="1:9">
      <c r="A44" s="9"/>
      <c r="B44" s="9"/>
      <c r="C44" s="9"/>
      <c r="D44" s="9"/>
      <c r="E44" s="10">
        <f>IFERROR(INDEX('Ingredients &amp; Packaging'!$H:$H, MATCH(1, ('Ingredients &amp; Packaging'!$B:$B=A44)*('Ingredients &amp; Packaging'!$A:$A=B44),0)),0)</f>
        <v>0</v>
      </c>
      <c r="F44" s="19">
        <f t="shared" si="0"/>
        <v>0</v>
      </c>
      <c r="G44" s="22"/>
      <c r="H44" s="19">
        <f t="shared" si="1"/>
        <v>0</v>
      </c>
      <c r="I44" s="6"/>
    </row>
    <row r="45" spans="1:9">
      <c r="A45" s="9"/>
      <c r="B45" s="9"/>
      <c r="C45" s="9"/>
      <c r="D45" s="9"/>
      <c r="E45" s="10">
        <f>IFERROR(INDEX('Ingredients &amp; Packaging'!$H:$H, MATCH(1, ('Ingredients &amp; Packaging'!$B:$B=A45)*('Ingredients &amp; Packaging'!$A:$A=B45),0)),0)</f>
        <v>0</v>
      </c>
      <c r="F45" s="19">
        <f t="shared" si="0"/>
        <v>0</v>
      </c>
      <c r="G45" s="22"/>
      <c r="H45" s="19">
        <f t="shared" si="1"/>
        <v>0</v>
      </c>
      <c r="I45" s="6"/>
    </row>
    <row r="46" spans="1:9">
      <c r="A46" s="9"/>
      <c r="B46" s="9"/>
      <c r="C46" s="9"/>
      <c r="D46" s="9"/>
      <c r="E46" s="10">
        <f>IFERROR(INDEX('Ingredients &amp; Packaging'!$H:$H, MATCH(1, ('Ingredients &amp; Packaging'!$B:$B=A46)*('Ingredients &amp; Packaging'!$A:$A=B46),0)),0)</f>
        <v>0</v>
      </c>
      <c r="F46" s="19">
        <f t="shared" si="0"/>
        <v>0</v>
      </c>
      <c r="G46" s="22"/>
      <c r="H46" s="19">
        <f t="shared" si="1"/>
        <v>0</v>
      </c>
      <c r="I46" s="6"/>
    </row>
    <row r="47" spans="1:9">
      <c r="A47" s="9"/>
      <c r="B47" s="9"/>
      <c r="C47" s="9"/>
      <c r="D47" s="9"/>
      <c r="E47" s="10">
        <f>IFERROR(INDEX('Ingredients &amp; Packaging'!$H:$H, MATCH(1, ('Ingredients &amp; Packaging'!$B:$B=A47)*('Ingredients &amp; Packaging'!$A:$A=B47),0)),0)</f>
        <v>0</v>
      </c>
      <c r="F47" s="19">
        <f t="shared" si="0"/>
        <v>0</v>
      </c>
      <c r="G47" s="22"/>
      <c r="H47" s="19">
        <f t="shared" si="1"/>
        <v>0</v>
      </c>
      <c r="I47" s="6"/>
    </row>
    <row r="48" spans="1:9">
      <c r="A48" s="9"/>
      <c r="B48" s="9"/>
      <c r="C48" s="9"/>
      <c r="D48" s="9"/>
      <c r="E48" s="10">
        <f>IFERROR(INDEX('Ingredients &amp; Packaging'!$H:$H, MATCH(1, ('Ingredients &amp; Packaging'!$B:$B=A48)*('Ingredients &amp; Packaging'!$A:$A=B48),0)),0)</f>
        <v>0</v>
      </c>
      <c r="F48" s="19">
        <f t="shared" si="0"/>
        <v>0</v>
      </c>
      <c r="G48" s="22"/>
      <c r="H48" s="19">
        <f t="shared" si="1"/>
        <v>0</v>
      </c>
      <c r="I48" s="6"/>
    </row>
    <row r="49" spans="1:9">
      <c r="A49" s="9"/>
      <c r="B49" s="9"/>
      <c r="C49" s="9"/>
      <c r="D49" s="9"/>
      <c r="E49" s="10">
        <f>IFERROR(INDEX('Ingredients &amp; Packaging'!$H:$H, MATCH(1, ('Ingredients &amp; Packaging'!$B:$B=A49)*('Ingredients &amp; Packaging'!$A:$A=B49),0)),0)</f>
        <v>0</v>
      </c>
      <c r="F49" s="19">
        <f t="shared" si="0"/>
        <v>0</v>
      </c>
      <c r="G49" s="22"/>
      <c r="H49" s="19">
        <f t="shared" si="1"/>
        <v>0</v>
      </c>
      <c r="I49" s="6"/>
    </row>
    <row r="50" spans="1:9">
      <c r="A50" s="9"/>
      <c r="B50" s="9"/>
      <c r="C50" s="9"/>
      <c r="D50" s="9"/>
      <c r="E50" s="10">
        <f>IFERROR(INDEX('Ingredients &amp; Packaging'!$H:$H, MATCH(1, ('Ingredients &amp; Packaging'!$B:$B=A50)*('Ingredients &amp; Packaging'!$A:$A=B50),0)),0)</f>
        <v>0</v>
      </c>
      <c r="F50" s="19">
        <f t="shared" si="0"/>
        <v>0</v>
      </c>
      <c r="G50" s="22"/>
      <c r="H50" s="19">
        <f t="shared" si="1"/>
        <v>0</v>
      </c>
      <c r="I50" s="6"/>
    </row>
    <row r="51" spans="1:9">
      <c r="A51" s="9"/>
      <c r="B51" s="9"/>
      <c r="C51" s="9"/>
      <c r="D51" s="9"/>
      <c r="E51" s="10">
        <f>IFERROR(INDEX('Ingredients &amp; Packaging'!$H:$H, MATCH(1, ('Ingredients &amp; Packaging'!$B:$B=A51)*('Ingredients &amp; Packaging'!$A:$A=B51),0)),0)</f>
        <v>0</v>
      </c>
      <c r="F51" s="19">
        <f t="shared" si="0"/>
        <v>0</v>
      </c>
      <c r="G51" s="22"/>
      <c r="H51" s="19">
        <f t="shared" si="1"/>
        <v>0</v>
      </c>
      <c r="I51" s="6"/>
    </row>
    <row r="52" spans="1:9">
      <c r="A52" s="9"/>
      <c r="B52" s="9"/>
      <c r="C52" s="9"/>
      <c r="D52" s="9"/>
      <c r="E52" s="10">
        <f>IFERROR(INDEX('Ingredients &amp; Packaging'!$H:$H, MATCH(1, ('Ingredients &amp; Packaging'!$B:$B=A52)*('Ingredients &amp; Packaging'!$A:$A=B52),0)),0)</f>
        <v>0</v>
      </c>
      <c r="F52" s="19">
        <f t="shared" si="0"/>
        <v>0</v>
      </c>
      <c r="G52" s="22"/>
      <c r="H52" s="19">
        <f t="shared" si="1"/>
        <v>0</v>
      </c>
      <c r="I52" s="6"/>
    </row>
    <row r="53" spans="1:9">
      <c r="A53" s="9"/>
      <c r="B53" s="9"/>
      <c r="C53" s="9"/>
      <c r="D53" s="9"/>
      <c r="E53" s="10">
        <f>IFERROR(INDEX('Ingredients &amp; Packaging'!$H:$H, MATCH(1, ('Ingredients &amp; Packaging'!$B:$B=A53)*('Ingredients &amp; Packaging'!$A:$A=B53),0)),0)</f>
        <v>0</v>
      </c>
      <c r="F53" s="19">
        <f t="shared" si="0"/>
        <v>0</v>
      </c>
      <c r="G53" s="22"/>
      <c r="H53" s="19">
        <f t="shared" si="1"/>
        <v>0</v>
      </c>
      <c r="I53" s="6"/>
    </row>
    <row r="54" spans="1:9">
      <c r="A54" s="9"/>
      <c r="B54" s="9"/>
      <c r="C54" s="9"/>
      <c r="D54" s="9"/>
      <c r="E54" s="10">
        <f>IFERROR(INDEX('Ingredients &amp; Packaging'!$H:$H, MATCH(1, ('Ingredients &amp; Packaging'!$B:$B=A54)*('Ingredients &amp; Packaging'!$A:$A=B54),0)),0)</f>
        <v>0</v>
      </c>
      <c r="F54" s="19">
        <f t="shared" si="0"/>
        <v>0</v>
      </c>
      <c r="G54" s="22"/>
      <c r="H54" s="19">
        <f t="shared" si="1"/>
        <v>0</v>
      </c>
      <c r="I54" s="6"/>
    </row>
    <row r="55" spans="1:9">
      <c r="A55" s="9"/>
      <c r="B55" s="9"/>
      <c r="C55" s="9"/>
      <c r="D55" s="9"/>
      <c r="E55" s="10">
        <f>IFERROR(INDEX('Ingredients &amp; Packaging'!$H:$H, MATCH(1, ('Ingredients &amp; Packaging'!$B:$B=A55)*('Ingredients &amp; Packaging'!$A:$A=B55),0)),0)</f>
        <v>0</v>
      </c>
      <c r="F55" s="19">
        <f t="shared" si="0"/>
        <v>0</v>
      </c>
      <c r="G55" s="22"/>
      <c r="H55" s="19">
        <f t="shared" si="1"/>
        <v>0</v>
      </c>
      <c r="I55" s="6"/>
    </row>
    <row r="56" spans="1:9">
      <c r="A56" s="9"/>
      <c r="B56" s="9"/>
      <c r="C56" s="9"/>
      <c r="D56" s="9"/>
      <c r="E56" s="10">
        <f>IFERROR(INDEX('Ingredients &amp; Packaging'!$H:$H, MATCH(1, ('Ingredients &amp; Packaging'!$B:$B=A56)*('Ingredients &amp; Packaging'!$A:$A=B56),0)),0)</f>
        <v>0</v>
      </c>
      <c r="F56" s="19">
        <f t="shared" si="0"/>
        <v>0</v>
      </c>
      <c r="G56" s="22"/>
      <c r="H56" s="19">
        <f t="shared" si="1"/>
        <v>0</v>
      </c>
      <c r="I56" s="6"/>
    </row>
    <row r="58" spans="1:9">
      <c r="A58" s="38" t="s">
        <v>119</v>
      </c>
      <c r="B58" s="45"/>
      <c r="C58" s="45"/>
      <c r="D58" s="39"/>
    </row>
    <row r="59" spans="1:9">
      <c r="A59" s="21" t="s">
        <v>120</v>
      </c>
      <c r="B59" s="23">
        <f>SUM(H17:H56)</f>
        <v>0</v>
      </c>
    </row>
    <row r="60" spans="1:9">
      <c r="A60" s="21" t="s">
        <v>121</v>
      </c>
      <c r="B60" s="23">
        <f>IFERROR(B59/ B8,0)</f>
        <v>0</v>
      </c>
    </row>
    <row r="61" spans="1:9">
      <c r="A61" s="21" t="s">
        <v>122</v>
      </c>
      <c r="B61" s="23">
        <f>VLOOKUP("MC",'Products Index'!$A:$F,6,FALSE)</f>
        <v>0</v>
      </c>
    </row>
    <row r="62" spans="1:9">
      <c r="A62" s="21" t="s">
        <v>67</v>
      </c>
      <c r="B62" s="23">
        <f>VLOOKUP("MC",'Products Index'!$A:$G,7,FALSE)</f>
        <v>0</v>
      </c>
    </row>
    <row r="63" spans="1:9">
      <c r="A63" s="21" t="s">
        <v>123</v>
      </c>
      <c r="B63" s="24">
        <f>IFERROR((B61-B60)/B61,0)</f>
        <v>0</v>
      </c>
    </row>
    <row r="64" spans="1:9">
      <c r="A64" s="21" t="s">
        <v>124</v>
      </c>
      <c r="B64" s="24">
        <f>IFERROR((B62-B60)/B62,0)</f>
        <v>0</v>
      </c>
    </row>
  </sheetData>
  <mergeCells count="9">
    <mergeCell ref="E4:I4"/>
    <mergeCell ref="A58:D58"/>
    <mergeCell ref="F9:I9"/>
    <mergeCell ref="F7:I7"/>
    <mergeCell ref="F8:I8"/>
    <mergeCell ref="A4:D4"/>
    <mergeCell ref="A15:G15"/>
    <mergeCell ref="F5:I5"/>
    <mergeCell ref="F6:I6"/>
  </mergeCells>
  <dataValidations count="2">
    <dataValidation type="list" allowBlank="1" sqref="B17 B18 B19 B20 B21 B22 B23 B24 B25 B26 B27 B28 B29 B30 B31 B32 B33 B34 B35 B36 B37 B38 B39 B40 B41 B42 B43 B44 B45 B46 B47 B48 B49 B50 B51 B52 B53 B54 B55 B56">
      <formula1>"Ingredient,Packaging,Label,Overhead"</formula1>
    </dataValidation>
    <dataValidation type="list" allowBlank="1" sqref="D17 D18 D19 D20 D21 D22 D23 D24 D25 D26 D27 D28 D29 D30 D31 D32 D33 D34 D35 D36 D37 D38 D39 D40 D41 D42 D43 D44 D45 D46 D47 D48 D49 D50 D51 D52 D53 D54 D55 D56">
      <formula1>"g,kg,ml,l,each"</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64"/>
  <sheetViews>
    <sheetView showGridLines="0" workbookViewId="0"/>
  </sheetViews>
  <sheetFormatPr defaultRowHeight="14.5"/>
  <cols>
    <col min="1" max="1" width="26" customWidth="1"/>
    <col min="2" max="2" width="12" customWidth="1"/>
    <col min="3" max="3" width="10" customWidth="1"/>
    <col min="4" max="4" width="8" customWidth="1"/>
    <col min="5" max="6" width="14" customWidth="1"/>
    <col min="7" max="7" width="10" customWidth="1"/>
    <col min="8" max="8" width="14" customWidth="1"/>
    <col min="9" max="9" width="22" customWidth="1"/>
  </cols>
  <sheetData>
    <row r="1" spans="1:9" ht="20">
      <c r="A1" s="1" t="s">
        <v>149</v>
      </c>
    </row>
    <row r="2" spans="1:9">
      <c r="A2" s="2" t="s">
        <v>150</v>
      </c>
    </row>
    <row r="4" spans="1:9">
      <c r="A4" s="38" t="s">
        <v>83</v>
      </c>
      <c r="B4" s="45"/>
      <c r="C4" s="45"/>
      <c r="D4" s="39"/>
      <c r="E4" s="38" t="s">
        <v>84</v>
      </c>
      <c r="F4" s="45"/>
      <c r="G4" s="45"/>
      <c r="H4" s="45"/>
      <c r="I4" s="39"/>
    </row>
    <row r="5" spans="1:9">
      <c r="A5" s="21" t="s">
        <v>85</v>
      </c>
      <c r="B5" s="7">
        <v>190</v>
      </c>
      <c r="E5" s="21" t="s">
        <v>86</v>
      </c>
      <c r="F5" s="46" t="s">
        <v>151</v>
      </c>
      <c r="G5" s="45"/>
      <c r="H5" s="45"/>
      <c r="I5" s="39"/>
    </row>
    <row r="6" spans="1:9">
      <c r="A6" s="21" t="s">
        <v>88</v>
      </c>
      <c r="B6" s="7">
        <v>2200</v>
      </c>
      <c r="E6" s="21" t="s">
        <v>89</v>
      </c>
      <c r="F6" s="46" t="s">
        <v>90</v>
      </c>
      <c r="G6" s="45"/>
      <c r="H6" s="45"/>
      <c r="I6" s="39"/>
    </row>
    <row r="7" spans="1:9">
      <c r="A7" s="21" t="s">
        <v>91</v>
      </c>
      <c r="B7" s="7">
        <v>2200</v>
      </c>
      <c r="E7" s="21" t="s">
        <v>92</v>
      </c>
      <c r="F7" s="46" t="s">
        <v>152</v>
      </c>
      <c r="G7" s="45"/>
      <c r="H7" s="45"/>
      <c r="I7" s="39"/>
    </row>
    <row r="8" spans="1:9">
      <c r="A8" s="21" t="s">
        <v>94</v>
      </c>
      <c r="B8" s="29">
        <f>IFERROR(B7/B5,0)</f>
        <v>11.578947368421053</v>
      </c>
      <c r="E8" s="21" t="s">
        <v>95</v>
      </c>
      <c r="F8" s="46" t="s">
        <v>153</v>
      </c>
      <c r="G8" s="45"/>
      <c r="H8" s="45"/>
      <c r="I8" s="39"/>
    </row>
    <row r="9" spans="1:9">
      <c r="A9" s="21" t="s">
        <v>97</v>
      </c>
      <c r="B9" s="9"/>
      <c r="E9" s="21" t="s">
        <v>98</v>
      </c>
      <c r="F9" s="46" t="s">
        <v>154</v>
      </c>
      <c r="G9" s="45"/>
      <c r="H9" s="45"/>
      <c r="I9" s="39"/>
    </row>
    <row r="10" spans="1:9">
      <c r="A10" s="21" t="s">
        <v>100</v>
      </c>
      <c r="B10" s="9"/>
    </row>
    <row r="11" spans="1:9">
      <c r="A11" s="21" t="s">
        <v>101</v>
      </c>
      <c r="B11" s="9"/>
    </row>
    <row r="12" spans="1:9">
      <c r="A12" s="21" t="s">
        <v>102</v>
      </c>
      <c r="B12" s="7">
        <v>190</v>
      </c>
    </row>
    <row r="13" spans="1:9">
      <c r="A13" s="21" t="s">
        <v>28</v>
      </c>
      <c r="B13" s="9"/>
    </row>
    <row r="15" spans="1:9">
      <c r="A15" s="38" t="s">
        <v>103</v>
      </c>
      <c r="B15" s="45"/>
      <c r="C15" s="45"/>
      <c r="D15" s="45"/>
      <c r="E15" s="45"/>
      <c r="F15" s="45"/>
      <c r="G15" s="39"/>
    </row>
    <row r="16" spans="1:9" ht="29">
      <c r="A16" s="14" t="s">
        <v>104</v>
      </c>
      <c r="B16" s="14" t="s">
        <v>17</v>
      </c>
      <c r="C16" s="14" t="s">
        <v>105</v>
      </c>
      <c r="D16" s="14" t="s">
        <v>22</v>
      </c>
      <c r="E16" s="14" t="s">
        <v>106</v>
      </c>
      <c r="F16" s="14" t="s">
        <v>107</v>
      </c>
      <c r="G16" s="14" t="s">
        <v>108</v>
      </c>
      <c r="H16" s="14" t="s">
        <v>109</v>
      </c>
      <c r="I16" s="14" t="s">
        <v>110</v>
      </c>
    </row>
    <row r="17" spans="1:9">
      <c r="A17" s="9" t="s">
        <v>155</v>
      </c>
      <c r="B17" s="9"/>
      <c r="C17" s="9"/>
      <c r="D17" s="9"/>
      <c r="E17" s="10">
        <f>IFERROR(INDEX('Ingredients &amp; Packaging'!$H:$H, MATCH(1, ('Ingredients &amp; Packaging'!$B:$B=A17)*('Ingredients &amp; Packaging'!$A:$A=B17),0)),0)</f>
        <v>0</v>
      </c>
      <c r="F17" s="19">
        <f t="shared" ref="F17:F56" si="0">IFERROR(C17*E17,0)</f>
        <v>0</v>
      </c>
      <c r="G17" s="22"/>
      <c r="H17" s="19">
        <f t="shared" ref="H17:H56" si="1">IFERROR(F17*(1+G17),0)</f>
        <v>0</v>
      </c>
      <c r="I17" s="6"/>
    </row>
    <row r="18" spans="1:9">
      <c r="A18" s="9" t="s">
        <v>156</v>
      </c>
      <c r="B18" s="9"/>
      <c r="C18" s="9"/>
      <c r="D18" s="9"/>
      <c r="E18" s="10">
        <f>IFERROR(INDEX('Ingredients &amp; Packaging'!$H:$H, MATCH(1, ('Ingredients &amp; Packaging'!$B:$B=A18)*('Ingredients &amp; Packaging'!$A:$A=B18),0)),0)</f>
        <v>0</v>
      </c>
      <c r="F18" s="19">
        <f t="shared" si="0"/>
        <v>0</v>
      </c>
      <c r="G18" s="22"/>
      <c r="H18" s="19">
        <f t="shared" si="1"/>
        <v>0</v>
      </c>
      <c r="I18" s="6"/>
    </row>
    <row r="19" spans="1:9">
      <c r="A19" s="9" t="s">
        <v>157</v>
      </c>
      <c r="B19" s="9"/>
      <c r="C19" s="9"/>
      <c r="D19" s="9"/>
      <c r="E19" s="10">
        <f>IFERROR(INDEX('Ingredients &amp; Packaging'!$H:$H, MATCH(1, ('Ingredients &amp; Packaging'!$B:$B=A19)*('Ingredients &amp; Packaging'!$A:$A=B19),0)),0)</f>
        <v>0</v>
      </c>
      <c r="F19" s="19">
        <f t="shared" si="0"/>
        <v>0</v>
      </c>
      <c r="G19" s="22"/>
      <c r="H19" s="19">
        <f t="shared" si="1"/>
        <v>0</v>
      </c>
      <c r="I19" s="6"/>
    </row>
    <row r="20" spans="1:9">
      <c r="A20" s="9" t="s">
        <v>158</v>
      </c>
      <c r="B20" s="9"/>
      <c r="C20" s="9"/>
      <c r="D20" s="9"/>
      <c r="E20" s="10">
        <f>IFERROR(INDEX('Ingredients &amp; Packaging'!$H:$H, MATCH(1, ('Ingredients &amp; Packaging'!$B:$B=A20)*('Ingredients &amp; Packaging'!$A:$A=B20),0)),0)</f>
        <v>0</v>
      </c>
      <c r="F20" s="19">
        <f t="shared" si="0"/>
        <v>0</v>
      </c>
      <c r="G20" s="22"/>
      <c r="H20" s="19">
        <f t="shared" si="1"/>
        <v>0</v>
      </c>
      <c r="I20" s="6"/>
    </row>
    <row r="21" spans="1:9">
      <c r="A21" s="9" t="s">
        <v>159</v>
      </c>
      <c r="B21" s="9"/>
      <c r="C21" s="9"/>
      <c r="D21" s="9"/>
      <c r="E21" s="10">
        <f>IFERROR(INDEX('Ingredients &amp; Packaging'!$H:$H, MATCH(1, ('Ingredients &amp; Packaging'!$B:$B=A21)*('Ingredients &amp; Packaging'!$A:$A=B21),0)),0)</f>
        <v>0</v>
      </c>
      <c r="F21" s="19">
        <f t="shared" si="0"/>
        <v>0</v>
      </c>
      <c r="G21" s="22"/>
      <c r="H21" s="19">
        <f t="shared" si="1"/>
        <v>0</v>
      </c>
      <c r="I21" s="6"/>
    </row>
    <row r="22" spans="1:9">
      <c r="A22" s="9" t="s">
        <v>116</v>
      </c>
      <c r="B22" s="9"/>
      <c r="C22" s="9"/>
      <c r="D22" s="9"/>
      <c r="E22" s="10">
        <f>IFERROR(INDEX('Ingredients &amp; Packaging'!$H:$H, MATCH(1, ('Ingredients &amp; Packaging'!$B:$B=A22)*('Ingredients &amp; Packaging'!$A:$A=B22),0)),0)</f>
        <v>0</v>
      </c>
      <c r="F22" s="19">
        <f t="shared" si="0"/>
        <v>0</v>
      </c>
      <c r="G22" s="22"/>
      <c r="H22" s="19">
        <f t="shared" si="1"/>
        <v>0</v>
      </c>
      <c r="I22" s="6"/>
    </row>
    <row r="23" spans="1:9">
      <c r="A23" s="9" t="s">
        <v>148</v>
      </c>
      <c r="B23" s="9"/>
      <c r="C23" s="9"/>
      <c r="D23" s="9"/>
      <c r="E23" s="10">
        <f>IFERROR(INDEX('Ingredients &amp; Packaging'!$H:$H, MATCH(1, ('Ingredients &amp; Packaging'!$B:$B=A23)*('Ingredients &amp; Packaging'!$A:$A=B23),0)),0)</f>
        <v>0</v>
      </c>
      <c r="F23" s="19">
        <f t="shared" si="0"/>
        <v>0</v>
      </c>
      <c r="G23" s="22"/>
      <c r="H23" s="19">
        <f t="shared" si="1"/>
        <v>0</v>
      </c>
      <c r="I23" s="6"/>
    </row>
    <row r="24" spans="1:9">
      <c r="A24" s="9" t="s">
        <v>160</v>
      </c>
      <c r="B24" s="9"/>
      <c r="C24" s="9"/>
      <c r="D24" s="9"/>
      <c r="E24" s="10">
        <f>IFERROR(INDEX('Ingredients &amp; Packaging'!$H:$H, MATCH(1, ('Ingredients &amp; Packaging'!$B:$B=A24)*('Ingredients &amp; Packaging'!$A:$A=B24),0)),0)</f>
        <v>0</v>
      </c>
      <c r="F24" s="19">
        <f t="shared" si="0"/>
        <v>0</v>
      </c>
      <c r="G24" s="22"/>
      <c r="H24" s="19">
        <f t="shared" si="1"/>
        <v>0</v>
      </c>
      <c r="I24" s="6"/>
    </row>
    <row r="25" spans="1:9">
      <c r="A25" s="9" t="s">
        <v>135</v>
      </c>
      <c r="B25" s="9"/>
      <c r="C25" s="9"/>
      <c r="D25" s="9"/>
      <c r="E25" s="10">
        <f>IFERROR(INDEX('Ingredients &amp; Packaging'!$H:$H, MATCH(1, ('Ingredients &amp; Packaging'!$B:$B=A25)*('Ingredients &amp; Packaging'!$A:$A=B25),0)),0)</f>
        <v>0</v>
      </c>
      <c r="F25" s="19">
        <f t="shared" si="0"/>
        <v>0</v>
      </c>
      <c r="G25" s="22"/>
      <c r="H25" s="19">
        <f t="shared" si="1"/>
        <v>0</v>
      </c>
      <c r="I25" s="6"/>
    </row>
    <row r="26" spans="1:9">
      <c r="A26" s="9"/>
      <c r="B26" s="9"/>
      <c r="C26" s="9"/>
      <c r="D26" s="9"/>
      <c r="E26" s="10">
        <f>IFERROR(INDEX('Ingredients &amp; Packaging'!$H:$H, MATCH(1, ('Ingredients &amp; Packaging'!$B:$B=A26)*('Ingredients &amp; Packaging'!$A:$A=B26),0)),0)</f>
        <v>0</v>
      </c>
      <c r="F26" s="19">
        <f t="shared" si="0"/>
        <v>0</v>
      </c>
      <c r="G26" s="22"/>
      <c r="H26" s="19">
        <f t="shared" si="1"/>
        <v>0</v>
      </c>
      <c r="I26" s="6"/>
    </row>
    <row r="27" spans="1:9">
      <c r="A27" s="9"/>
      <c r="B27" s="9"/>
      <c r="C27" s="9"/>
      <c r="D27" s="9"/>
      <c r="E27" s="10">
        <f>IFERROR(INDEX('Ingredients &amp; Packaging'!$H:$H, MATCH(1, ('Ingredients &amp; Packaging'!$B:$B=A27)*('Ingredients &amp; Packaging'!$A:$A=B27),0)),0)</f>
        <v>0</v>
      </c>
      <c r="F27" s="19">
        <f t="shared" si="0"/>
        <v>0</v>
      </c>
      <c r="G27" s="22"/>
      <c r="H27" s="19">
        <f t="shared" si="1"/>
        <v>0</v>
      </c>
      <c r="I27" s="6"/>
    </row>
    <row r="28" spans="1:9">
      <c r="A28" s="9"/>
      <c r="B28" s="9"/>
      <c r="C28" s="9"/>
      <c r="D28" s="9"/>
      <c r="E28" s="10">
        <f>IFERROR(INDEX('Ingredients &amp; Packaging'!$H:$H, MATCH(1, ('Ingredients &amp; Packaging'!$B:$B=A28)*('Ingredients &amp; Packaging'!$A:$A=B28),0)),0)</f>
        <v>0</v>
      </c>
      <c r="F28" s="19">
        <f t="shared" si="0"/>
        <v>0</v>
      </c>
      <c r="G28" s="22"/>
      <c r="H28" s="19">
        <f t="shared" si="1"/>
        <v>0</v>
      </c>
      <c r="I28" s="6"/>
    </row>
    <row r="29" spans="1:9">
      <c r="A29" s="9"/>
      <c r="B29" s="9"/>
      <c r="C29" s="9"/>
      <c r="D29" s="9"/>
      <c r="E29" s="10">
        <f>IFERROR(INDEX('Ingredients &amp; Packaging'!$H:$H, MATCH(1, ('Ingredients &amp; Packaging'!$B:$B=A29)*('Ingredients &amp; Packaging'!$A:$A=B29),0)),0)</f>
        <v>0</v>
      </c>
      <c r="F29" s="19">
        <f t="shared" si="0"/>
        <v>0</v>
      </c>
      <c r="G29" s="22"/>
      <c r="H29" s="19">
        <f t="shared" si="1"/>
        <v>0</v>
      </c>
      <c r="I29" s="6"/>
    </row>
    <row r="30" spans="1:9">
      <c r="A30" s="9"/>
      <c r="B30" s="9"/>
      <c r="C30" s="9"/>
      <c r="D30" s="9"/>
      <c r="E30" s="10">
        <f>IFERROR(INDEX('Ingredients &amp; Packaging'!$H:$H, MATCH(1, ('Ingredients &amp; Packaging'!$B:$B=A30)*('Ingredients &amp; Packaging'!$A:$A=B30),0)),0)</f>
        <v>0</v>
      </c>
      <c r="F30" s="19">
        <f t="shared" si="0"/>
        <v>0</v>
      </c>
      <c r="G30" s="22"/>
      <c r="H30" s="19">
        <f t="shared" si="1"/>
        <v>0</v>
      </c>
      <c r="I30" s="6"/>
    </row>
    <row r="31" spans="1:9">
      <c r="A31" s="9"/>
      <c r="B31" s="9"/>
      <c r="C31" s="9"/>
      <c r="D31" s="9"/>
      <c r="E31" s="10">
        <f>IFERROR(INDEX('Ingredients &amp; Packaging'!$H:$H, MATCH(1, ('Ingredients &amp; Packaging'!$B:$B=A31)*('Ingredients &amp; Packaging'!$A:$A=B31),0)),0)</f>
        <v>0</v>
      </c>
      <c r="F31" s="19">
        <f t="shared" si="0"/>
        <v>0</v>
      </c>
      <c r="G31" s="22"/>
      <c r="H31" s="19">
        <f t="shared" si="1"/>
        <v>0</v>
      </c>
      <c r="I31" s="6"/>
    </row>
    <row r="32" spans="1:9">
      <c r="A32" s="9"/>
      <c r="B32" s="9"/>
      <c r="C32" s="9"/>
      <c r="D32" s="9"/>
      <c r="E32" s="10">
        <f>IFERROR(INDEX('Ingredients &amp; Packaging'!$H:$H, MATCH(1, ('Ingredients &amp; Packaging'!$B:$B=A32)*('Ingredients &amp; Packaging'!$A:$A=B32),0)),0)</f>
        <v>0</v>
      </c>
      <c r="F32" s="19">
        <f t="shared" si="0"/>
        <v>0</v>
      </c>
      <c r="G32" s="22"/>
      <c r="H32" s="19">
        <f t="shared" si="1"/>
        <v>0</v>
      </c>
      <c r="I32" s="6"/>
    </row>
    <row r="33" spans="1:9">
      <c r="A33" s="9"/>
      <c r="B33" s="9"/>
      <c r="C33" s="9"/>
      <c r="D33" s="9"/>
      <c r="E33" s="10">
        <f>IFERROR(INDEX('Ingredients &amp; Packaging'!$H:$H, MATCH(1, ('Ingredients &amp; Packaging'!$B:$B=A33)*('Ingredients &amp; Packaging'!$A:$A=B33),0)),0)</f>
        <v>0</v>
      </c>
      <c r="F33" s="19">
        <f t="shared" si="0"/>
        <v>0</v>
      </c>
      <c r="G33" s="22"/>
      <c r="H33" s="19">
        <f t="shared" si="1"/>
        <v>0</v>
      </c>
      <c r="I33" s="6"/>
    </row>
    <row r="34" spans="1:9">
      <c r="A34" s="9"/>
      <c r="B34" s="9"/>
      <c r="C34" s="9"/>
      <c r="D34" s="9"/>
      <c r="E34" s="10">
        <f>IFERROR(INDEX('Ingredients &amp; Packaging'!$H:$H, MATCH(1, ('Ingredients &amp; Packaging'!$B:$B=A34)*('Ingredients &amp; Packaging'!$A:$A=B34),0)),0)</f>
        <v>0</v>
      </c>
      <c r="F34" s="19">
        <f t="shared" si="0"/>
        <v>0</v>
      </c>
      <c r="G34" s="22"/>
      <c r="H34" s="19">
        <f t="shared" si="1"/>
        <v>0</v>
      </c>
      <c r="I34" s="6"/>
    </row>
    <row r="35" spans="1:9">
      <c r="A35" s="9"/>
      <c r="B35" s="9"/>
      <c r="C35" s="9"/>
      <c r="D35" s="9"/>
      <c r="E35" s="10">
        <f>IFERROR(INDEX('Ingredients &amp; Packaging'!$H:$H, MATCH(1, ('Ingredients &amp; Packaging'!$B:$B=A35)*('Ingredients &amp; Packaging'!$A:$A=B35),0)),0)</f>
        <v>0</v>
      </c>
      <c r="F35" s="19">
        <f t="shared" si="0"/>
        <v>0</v>
      </c>
      <c r="G35" s="22"/>
      <c r="H35" s="19">
        <f t="shared" si="1"/>
        <v>0</v>
      </c>
      <c r="I35" s="6"/>
    </row>
    <row r="36" spans="1:9">
      <c r="A36" s="9"/>
      <c r="B36" s="9"/>
      <c r="C36" s="9"/>
      <c r="D36" s="9"/>
      <c r="E36" s="10">
        <f>IFERROR(INDEX('Ingredients &amp; Packaging'!$H:$H, MATCH(1, ('Ingredients &amp; Packaging'!$B:$B=A36)*('Ingredients &amp; Packaging'!$A:$A=B36),0)),0)</f>
        <v>0</v>
      </c>
      <c r="F36" s="19">
        <f t="shared" si="0"/>
        <v>0</v>
      </c>
      <c r="G36" s="22"/>
      <c r="H36" s="19">
        <f t="shared" si="1"/>
        <v>0</v>
      </c>
      <c r="I36" s="6"/>
    </row>
    <row r="37" spans="1:9">
      <c r="A37" s="9"/>
      <c r="B37" s="9"/>
      <c r="C37" s="9"/>
      <c r="D37" s="9"/>
      <c r="E37" s="10">
        <f>IFERROR(INDEX('Ingredients &amp; Packaging'!$H:$H, MATCH(1, ('Ingredients &amp; Packaging'!$B:$B=A37)*('Ingredients &amp; Packaging'!$A:$A=B37),0)),0)</f>
        <v>0</v>
      </c>
      <c r="F37" s="19">
        <f t="shared" si="0"/>
        <v>0</v>
      </c>
      <c r="G37" s="22"/>
      <c r="H37" s="19">
        <f t="shared" si="1"/>
        <v>0</v>
      </c>
      <c r="I37" s="6"/>
    </row>
    <row r="38" spans="1:9">
      <c r="A38" s="9"/>
      <c r="B38" s="9"/>
      <c r="C38" s="9"/>
      <c r="D38" s="9"/>
      <c r="E38" s="10">
        <f>IFERROR(INDEX('Ingredients &amp; Packaging'!$H:$H, MATCH(1, ('Ingredients &amp; Packaging'!$B:$B=A38)*('Ingredients &amp; Packaging'!$A:$A=B38),0)),0)</f>
        <v>0</v>
      </c>
      <c r="F38" s="19">
        <f t="shared" si="0"/>
        <v>0</v>
      </c>
      <c r="G38" s="22"/>
      <c r="H38" s="19">
        <f t="shared" si="1"/>
        <v>0</v>
      </c>
      <c r="I38" s="6"/>
    </row>
    <row r="39" spans="1:9">
      <c r="A39" s="9"/>
      <c r="B39" s="9"/>
      <c r="C39" s="9"/>
      <c r="D39" s="9"/>
      <c r="E39" s="10">
        <f>IFERROR(INDEX('Ingredients &amp; Packaging'!$H:$H, MATCH(1, ('Ingredients &amp; Packaging'!$B:$B=A39)*('Ingredients &amp; Packaging'!$A:$A=B39),0)),0)</f>
        <v>0</v>
      </c>
      <c r="F39" s="19">
        <f t="shared" si="0"/>
        <v>0</v>
      </c>
      <c r="G39" s="22"/>
      <c r="H39" s="19">
        <f t="shared" si="1"/>
        <v>0</v>
      </c>
      <c r="I39" s="6"/>
    </row>
    <row r="40" spans="1:9">
      <c r="A40" s="9"/>
      <c r="B40" s="9"/>
      <c r="C40" s="9"/>
      <c r="D40" s="9"/>
      <c r="E40" s="10">
        <f>IFERROR(INDEX('Ingredients &amp; Packaging'!$H:$H, MATCH(1, ('Ingredients &amp; Packaging'!$B:$B=A40)*('Ingredients &amp; Packaging'!$A:$A=B40),0)),0)</f>
        <v>0</v>
      </c>
      <c r="F40" s="19">
        <f t="shared" si="0"/>
        <v>0</v>
      </c>
      <c r="G40" s="22"/>
      <c r="H40" s="19">
        <f t="shared" si="1"/>
        <v>0</v>
      </c>
      <c r="I40" s="6"/>
    </row>
    <row r="41" spans="1:9">
      <c r="A41" s="9"/>
      <c r="B41" s="9"/>
      <c r="C41" s="9"/>
      <c r="D41" s="9"/>
      <c r="E41" s="10">
        <f>IFERROR(INDEX('Ingredients &amp; Packaging'!$H:$H, MATCH(1, ('Ingredients &amp; Packaging'!$B:$B=A41)*('Ingredients &amp; Packaging'!$A:$A=B41),0)),0)</f>
        <v>0</v>
      </c>
      <c r="F41" s="19">
        <f t="shared" si="0"/>
        <v>0</v>
      </c>
      <c r="G41" s="22"/>
      <c r="H41" s="19">
        <f t="shared" si="1"/>
        <v>0</v>
      </c>
      <c r="I41" s="6"/>
    </row>
    <row r="42" spans="1:9">
      <c r="A42" s="9"/>
      <c r="B42" s="9"/>
      <c r="C42" s="9"/>
      <c r="D42" s="9"/>
      <c r="E42" s="10">
        <f>IFERROR(INDEX('Ingredients &amp; Packaging'!$H:$H, MATCH(1, ('Ingredients &amp; Packaging'!$B:$B=A42)*('Ingredients &amp; Packaging'!$A:$A=B42),0)),0)</f>
        <v>0</v>
      </c>
      <c r="F42" s="19">
        <f t="shared" si="0"/>
        <v>0</v>
      </c>
      <c r="G42" s="22"/>
      <c r="H42" s="19">
        <f t="shared" si="1"/>
        <v>0</v>
      </c>
      <c r="I42" s="6"/>
    </row>
    <row r="43" spans="1:9">
      <c r="A43" s="9"/>
      <c r="B43" s="9"/>
      <c r="C43" s="9"/>
      <c r="D43" s="9"/>
      <c r="E43" s="10">
        <f>IFERROR(INDEX('Ingredients &amp; Packaging'!$H:$H, MATCH(1, ('Ingredients &amp; Packaging'!$B:$B=A43)*('Ingredients &amp; Packaging'!$A:$A=B43),0)),0)</f>
        <v>0</v>
      </c>
      <c r="F43" s="19">
        <f t="shared" si="0"/>
        <v>0</v>
      </c>
      <c r="G43" s="22"/>
      <c r="H43" s="19">
        <f t="shared" si="1"/>
        <v>0</v>
      </c>
      <c r="I43" s="6"/>
    </row>
    <row r="44" spans="1:9">
      <c r="A44" s="9"/>
      <c r="B44" s="9"/>
      <c r="C44" s="9"/>
      <c r="D44" s="9"/>
      <c r="E44" s="10">
        <f>IFERROR(INDEX('Ingredients &amp; Packaging'!$H:$H, MATCH(1, ('Ingredients &amp; Packaging'!$B:$B=A44)*('Ingredients &amp; Packaging'!$A:$A=B44),0)),0)</f>
        <v>0</v>
      </c>
      <c r="F44" s="19">
        <f t="shared" si="0"/>
        <v>0</v>
      </c>
      <c r="G44" s="22"/>
      <c r="H44" s="19">
        <f t="shared" si="1"/>
        <v>0</v>
      </c>
      <c r="I44" s="6"/>
    </row>
    <row r="45" spans="1:9">
      <c r="A45" s="9"/>
      <c r="B45" s="9"/>
      <c r="C45" s="9"/>
      <c r="D45" s="9"/>
      <c r="E45" s="10">
        <f>IFERROR(INDEX('Ingredients &amp; Packaging'!$H:$H, MATCH(1, ('Ingredients &amp; Packaging'!$B:$B=A45)*('Ingredients &amp; Packaging'!$A:$A=B45),0)),0)</f>
        <v>0</v>
      </c>
      <c r="F45" s="19">
        <f t="shared" si="0"/>
        <v>0</v>
      </c>
      <c r="G45" s="22"/>
      <c r="H45" s="19">
        <f t="shared" si="1"/>
        <v>0</v>
      </c>
      <c r="I45" s="6"/>
    </row>
    <row r="46" spans="1:9">
      <c r="A46" s="9"/>
      <c r="B46" s="9"/>
      <c r="C46" s="9"/>
      <c r="D46" s="9"/>
      <c r="E46" s="10">
        <f>IFERROR(INDEX('Ingredients &amp; Packaging'!$H:$H, MATCH(1, ('Ingredients &amp; Packaging'!$B:$B=A46)*('Ingredients &amp; Packaging'!$A:$A=B46),0)),0)</f>
        <v>0</v>
      </c>
      <c r="F46" s="19">
        <f t="shared" si="0"/>
        <v>0</v>
      </c>
      <c r="G46" s="22"/>
      <c r="H46" s="19">
        <f t="shared" si="1"/>
        <v>0</v>
      </c>
      <c r="I46" s="6"/>
    </row>
    <row r="47" spans="1:9">
      <c r="A47" s="9"/>
      <c r="B47" s="9"/>
      <c r="C47" s="9"/>
      <c r="D47" s="9"/>
      <c r="E47" s="10">
        <f>IFERROR(INDEX('Ingredients &amp; Packaging'!$H:$H, MATCH(1, ('Ingredients &amp; Packaging'!$B:$B=A47)*('Ingredients &amp; Packaging'!$A:$A=B47),0)),0)</f>
        <v>0</v>
      </c>
      <c r="F47" s="19">
        <f t="shared" si="0"/>
        <v>0</v>
      </c>
      <c r="G47" s="22"/>
      <c r="H47" s="19">
        <f t="shared" si="1"/>
        <v>0</v>
      </c>
      <c r="I47" s="6"/>
    </row>
    <row r="48" spans="1:9">
      <c r="A48" s="9"/>
      <c r="B48" s="9"/>
      <c r="C48" s="9"/>
      <c r="D48" s="9"/>
      <c r="E48" s="10">
        <f>IFERROR(INDEX('Ingredients &amp; Packaging'!$H:$H, MATCH(1, ('Ingredients &amp; Packaging'!$B:$B=A48)*('Ingredients &amp; Packaging'!$A:$A=B48),0)),0)</f>
        <v>0</v>
      </c>
      <c r="F48" s="19">
        <f t="shared" si="0"/>
        <v>0</v>
      </c>
      <c r="G48" s="22"/>
      <c r="H48" s="19">
        <f t="shared" si="1"/>
        <v>0</v>
      </c>
      <c r="I48" s="6"/>
    </row>
    <row r="49" spans="1:9">
      <c r="A49" s="9"/>
      <c r="B49" s="9"/>
      <c r="C49" s="9"/>
      <c r="D49" s="9"/>
      <c r="E49" s="10">
        <f>IFERROR(INDEX('Ingredients &amp; Packaging'!$H:$H, MATCH(1, ('Ingredients &amp; Packaging'!$B:$B=A49)*('Ingredients &amp; Packaging'!$A:$A=B49),0)),0)</f>
        <v>0</v>
      </c>
      <c r="F49" s="19">
        <f t="shared" si="0"/>
        <v>0</v>
      </c>
      <c r="G49" s="22"/>
      <c r="H49" s="19">
        <f t="shared" si="1"/>
        <v>0</v>
      </c>
      <c r="I49" s="6"/>
    </row>
    <row r="50" spans="1:9">
      <c r="A50" s="9"/>
      <c r="B50" s="9"/>
      <c r="C50" s="9"/>
      <c r="D50" s="9"/>
      <c r="E50" s="10">
        <f>IFERROR(INDEX('Ingredients &amp; Packaging'!$H:$H, MATCH(1, ('Ingredients &amp; Packaging'!$B:$B=A50)*('Ingredients &amp; Packaging'!$A:$A=B50),0)),0)</f>
        <v>0</v>
      </c>
      <c r="F50" s="19">
        <f t="shared" si="0"/>
        <v>0</v>
      </c>
      <c r="G50" s="22"/>
      <c r="H50" s="19">
        <f t="shared" si="1"/>
        <v>0</v>
      </c>
      <c r="I50" s="6"/>
    </row>
    <row r="51" spans="1:9">
      <c r="A51" s="9"/>
      <c r="B51" s="9"/>
      <c r="C51" s="9"/>
      <c r="D51" s="9"/>
      <c r="E51" s="10">
        <f>IFERROR(INDEX('Ingredients &amp; Packaging'!$H:$H, MATCH(1, ('Ingredients &amp; Packaging'!$B:$B=A51)*('Ingredients &amp; Packaging'!$A:$A=B51),0)),0)</f>
        <v>0</v>
      </c>
      <c r="F51" s="19">
        <f t="shared" si="0"/>
        <v>0</v>
      </c>
      <c r="G51" s="22"/>
      <c r="H51" s="19">
        <f t="shared" si="1"/>
        <v>0</v>
      </c>
      <c r="I51" s="6"/>
    </row>
    <row r="52" spans="1:9">
      <c r="A52" s="9"/>
      <c r="B52" s="9"/>
      <c r="C52" s="9"/>
      <c r="D52" s="9"/>
      <c r="E52" s="10">
        <f>IFERROR(INDEX('Ingredients &amp; Packaging'!$H:$H, MATCH(1, ('Ingredients &amp; Packaging'!$B:$B=A52)*('Ingredients &amp; Packaging'!$A:$A=B52),0)),0)</f>
        <v>0</v>
      </c>
      <c r="F52" s="19">
        <f t="shared" si="0"/>
        <v>0</v>
      </c>
      <c r="G52" s="22"/>
      <c r="H52" s="19">
        <f t="shared" si="1"/>
        <v>0</v>
      </c>
      <c r="I52" s="6"/>
    </row>
    <row r="53" spans="1:9">
      <c r="A53" s="9"/>
      <c r="B53" s="9"/>
      <c r="C53" s="9"/>
      <c r="D53" s="9"/>
      <c r="E53" s="10">
        <f>IFERROR(INDEX('Ingredients &amp; Packaging'!$H:$H, MATCH(1, ('Ingredients &amp; Packaging'!$B:$B=A53)*('Ingredients &amp; Packaging'!$A:$A=B53),0)),0)</f>
        <v>0</v>
      </c>
      <c r="F53" s="19">
        <f t="shared" si="0"/>
        <v>0</v>
      </c>
      <c r="G53" s="22"/>
      <c r="H53" s="19">
        <f t="shared" si="1"/>
        <v>0</v>
      </c>
      <c r="I53" s="6"/>
    </row>
    <row r="54" spans="1:9">
      <c r="A54" s="9"/>
      <c r="B54" s="9"/>
      <c r="C54" s="9"/>
      <c r="D54" s="9"/>
      <c r="E54" s="10">
        <f>IFERROR(INDEX('Ingredients &amp; Packaging'!$H:$H, MATCH(1, ('Ingredients &amp; Packaging'!$B:$B=A54)*('Ingredients &amp; Packaging'!$A:$A=B54),0)),0)</f>
        <v>0</v>
      </c>
      <c r="F54" s="19">
        <f t="shared" si="0"/>
        <v>0</v>
      </c>
      <c r="G54" s="22"/>
      <c r="H54" s="19">
        <f t="shared" si="1"/>
        <v>0</v>
      </c>
      <c r="I54" s="6"/>
    </row>
    <row r="55" spans="1:9">
      <c r="A55" s="9"/>
      <c r="B55" s="9"/>
      <c r="C55" s="9"/>
      <c r="D55" s="9"/>
      <c r="E55" s="10">
        <f>IFERROR(INDEX('Ingredients &amp; Packaging'!$H:$H, MATCH(1, ('Ingredients &amp; Packaging'!$B:$B=A55)*('Ingredients &amp; Packaging'!$A:$A=B55),0)),0)</f>
        <v>0</v>
      </c>
      <c r="F55" s="19">
        <f t="shared" si="0"/>
        <v>0</v>
      </c>
      <c r="G55" s="22"/>
      <c r="H55" s="19">
        <f t="shared" si="1"/>
        <v>0</v>
      </c>
      <c r="I55" s="6"/>
    </row>
    <row r="56" spans="1:9">
      <c r="A56" s="9"/>
      <c r="B56" s="9"/>
      <c r="C56" s="9"/>
      <c r="D56" s="9"/>
      <c r="E56" s="10">
        <f>IFERROR(INDEX('Ingredients &amp; Packaging'!$H:$H, MATCH(1, ('Ingredients &amp; Packaging'!$B:$B=A56)*('Ingredients &amp; Packaging'!$A:$A=B56),0)),0)</f>
        <v>0</v>
      </c>
      <c r="F56" s="19">
        <f t="shared" si="0"/>
        <v>0</v>
      </c>
      <c r="G56" s="22"/>
      <c r="H56" s="19">
        <f t="shared" si="1"/>
        <v>0</v>
      </c>
      <c r="I56" s="6"/>
    </row>
    <row r="58" spans="1:9">
      <c r="A58" s="38" t="s">
        <v>119</v>
      </c>
      <c r="B58" s="45"/>
      <c r="C58" s="45"/>
      <c r="D58" s="39"/>
    </row>
    <row r="59" spans="1:9">
      <c r="A59" s="21" t="s">
        <v>120</v>
      </c>
      <c r="B59" s="23">
        <f>SUM(H17:H56)</f>
        <v>0</v>
      </c>
    </row>
    <row r="60" spans="1:9">
      <c r="A60" s="21" t="s">
        <v>121</v>
      </c>
      <c r="B60" s="23">
        <f>IFERROR(B59/ B8,0)</f>
        <v>0</v>
      </c>
    </row>
    <row r="61" spans="1:9">
      <c r="A61" s="21" t="s">
        <v>122</v>
      </c>
      <c r="B61" s="23">
        <f>VLOOKUP("KIM",'Products Index'!$A:$F,6,FALSE)</f>
        <v>0</v>
      </c>
    </row>
    <row r="62" spans="1:9">
      <c r="A62" s="21" t="s">
        <v>67</v>
      </c>
      <c r="B62" s="23">
        <f>VLOOKUP("KIM",'Products Index'!$A:$G,7,FALSE)</f>
        <v>0</v>
      </c>
    </row>
    <row r="63" spans="1:9">
      <c r="A63" s="21" t="s">
        <v>123</v>
      </c>
      <c r="B63" s="24">
        <f>IFERROR((B61-B60)/B61,0)</f>
        <v>0</v>
      </c>
    </row>
    <row r="64" spans="1:9">
      <c r="A64" s="21" t="s">
        <v>124</v>
      </c>
      <c r="B64" s="24">
        <f>IFERROR((B62-B60)/B62,0)</f>
        <v>0</v>
      </c>
    </row>
  </sheetData>
  <mergeCells count="9">
    <mergeCell ref="E4:I4"/>
    <mergeCell ref="A58:D58"/>
    <mergeCell ref="F9:I9"/>
    <mergeCell ref="F7:I7"/>
    <mergeCell ref="F8:I8"/>
    <mergeCell ref="A4:D4"/>
    <mergeCell ref="A15:G15"/>
    <mergeCell ref="F5:I5"/>
    <mergeCell ref="F6:I6"/>
  </mergeCells>
  <dataValidations count="2">
    <dataValidation type="list" allowBlank="1" sqref="B17 B18 B19 B20 B21 B22 B23 B24 B25 B26 B27 B28 B29 B30 B31 B32 B33 B34 B35 B36 B37 B38 B39 B40 B41 B42 B43 B44 B45 B46 B47 B48 B49 B50 B51 B52 B53 B54 B55 B56">
      <formula1>"Ingredient,Packaging,Label,Overhead"</formula1>
    </dataValidation>
    <dataValidation type="list" allowBlank="1" sqref="D17 D18 D19 D20 D21 D22 D23 D24 D25 D26 D27 D28 D29 D30 D31 D32 D33 D34 D35 D36 D37 D38 D39 D40 D41 D42 D43 D44 D45 D46 D47 D48 D49 D50 D51 D52 D53 D54 D55 D56">
      <formula1>"g,kg,ml,l,each"</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64"/>
  <sheetViews>
    <sheetView showGridLines="0" workbookViewId="0"/>
  </sheetViews>
  <sheetFormatPr defaultRowHeight="14.5"/>
  <cols>
    <col min="1" max="1" width="26" customWidth="1"/>
    <col min="2" max="2" width="12" customWidth="1"/>
    <col min="3" max="3" width="10" customWidth="1"/>
    <col min="4" max="4" width="8" customWidth="1"/>
    <col min="5" max="6" width="14" customWidth="1"/>
    <col min="7" max="7" width="10" customWidth="1"/>
    <col min="8" max="8" width="14" customWidth="1"/>
    <col min="9" max="9" width="22" customWidth="1"/>
  </cols>
  <sheetData>
    <row r="1" spans="1:9" ht="20">
      <c r="A1" s="1" t="s">
        <v>161</v>
      </c>
    </row>
    <row r="2" spans="1:9">
      <c r="A2" s="2" t="s">
        <v>162</v>
      </c>
    </row>
    <row r="4" spans="1:9">
      <c r="A4" s="38" t="s">
        <v>83</v>
      </c>
      <c r="B4" s="45"/>
      <c r="C4" s="45"/>
      <c r="D4" s="39"/>
      <c r="E4" s="38" t="s">
        <v>84</v>
      </c>
      <c r="F4" s="45"/>
      <c r="G4" s="45"/>
      <c r="H4" s="45"/>
      <c r="I4" s="39"/>
    </row>
    <row r="5" spans="1:9">
      <c r="A5" s="21" t="s">
        <v>85</v>
      </c>
      <c r="B5" s="7">
        <v>190</v>
      </c>
      <c r="E5" s="21" t="s">
        <v>86</v>
      </c>
      <c r="F5" s="46" t="s">
        <v>163</v>
      </c>
      <c r="G5" s="45"/>
      <c r="H5" s="45"/>
      <c r="I5" s="39"/>
    </row>
    <row r="6" spans="1:9">
      <c r="A6" s="21" t="s">
        <v>88</v>
      </c>
      <c r="B6" s="7">
        <v>2200</v>
      </c>
      <c r="E6" s="21" t="s">
        <v>89</v>
      </c>
      <c r="F6" s="46" t="s">
        <v>90</v>
      </c>
      <c r="G6" s="45"/>
      <c r="H6" s="45"/>
      <c r="I6" s="39"/>
    </row>
    <row r="7" spans="1:9">
      <c r="A7" s="21" t="s">
        <v>91</v>
      </c>
      <c r="B7" s="7">
        <v>2200</v>
      </c>
      <c r="E7" s="21" t="s">
        <v>92</v>
      </c>
      <c r="F7" s="46" t="s">
        <v>164</v>
      </c>
      <c r="G7" s="45"/>
      <c r="H7" s="45"/>
      <c r="I7" s="39"/>
    </row>
    <row r="8" spans="1:9">
      <c r="A8" s="21" t="s">
        <v>94</v>
      </c>
      <c r="B8" s="29">
        <f>IFERROR(B7/B5,0)</f>
        <v>11.578947368421053</v>
      </c>
      <c r="E8" s="21" t="s">
        <v>95</v>
      </c>
      <c r="F8" s="46" t="s">
        <v>165</v>
      </c>
      <c r="G8" s="45"/>
      <c r="H8" s="45"/>
      <c r="I8" s="39"/>
    </row>
    <row r="9" spans="1:9">
      <c r="A9" s="21" t="s">
        <v>97</v>
      </c>
      <c r="B9" s="9"/>
      <c r="E9" s="21" t="s">
        <v>98</v>
      </c>
      <c r="F9" s="46" t="s">
        <v>166</v>
      </c>
      <c r="G9" s="45"/>
      <c r="H9" s="45"/>
      <c r="I9" s="39"/>
    </row>
    <row r="10" spans="1:9">
      <c r="A10" s="21" t="s">
        <v>100</v>
      </c>
      <c r="B10" s="9"/>
    </row>
    <row r="11" spans="1:9">
      <c r="A11" s="21" t="s">
        <v>101</v>
      </c>
      <c r="B11" s="9"/>
    </row>
    <row r="12" spans="1:9">
      <c r="A12" s="21" t="s">
        <v>102</v>
      </c>
      <c r="B12" s="7">
        <v>190</v>
      </c>
    </row>
    <row r="13" spans="1:9">
      <c r="A13" s="21" t="s">
        <v>28</v>
      </c>
      <c r="B13" s="9"/>
    </row>
    <row r="15" spans="1:9">
      <c r="A15" s="38" t="s">
        <v>103</v>
      </c>
      <c r="B15" s="45"/>
      <c r="C15" s="45"/>
      <c r="D15" s="45"/>
      <c r="E15" s="45"/>
      <c r="F15" s="45"/>
      <c r="G15" s="39"/>
    </row>
    <row r="16" spans="1:9" ht="29">
      <c r="A16" s="14" t="s">
        <v>104</v>
      </c>
      <c r="B16" s="14" t="s">
        <v>17</v>
      </c>
      <c r="C16" s="14" t="s">
        <v>105</v>
      </c>
      <c r="D16" s="14" t="s">
        <v>22</v>
      </c>
      <c r="E16" s="14" t="s">
        <v>106</v>
      </c>
      <c r="F16" s="14" t="s">
        <v>107</v>
      </c>
      <c r="G16" s="14" t="s">
        <v>108</v>
      </c>
      <c r="H16" s="14" t="s">
        <v>109</v>
      </c>
      <c r="I16" s="14" t="s">
        <v>110</v>
      </c>
    </row>
    <row r="17" spans="1:9">
      <c r="A17" s="9" t="s">
        <v>167</v>
      </c>
      <c r="B17" s="9"/>
      <c r="C17" s="9"/>
      <c r="D17" s="9"/>
      <c r="E17" s="10">
        <f>IFERROR(INDEX('Ingredients &amp; Packaging'!$H:$H, MATCH(1, ('Ingredients &amp; Packaging'!$B:$B=A17)*('Ingredients &amp; Packaging'!$A:$A=B17),0)),0)</f>
        <v>0</v>
      </c>
      <c r="F17" s="19">
        <f t="shared" ref="F17:F56" si="0">IFERROR(C17*E17,0)</f>
        <v>0</v>
      </c>
      <c r="G17" s="22"/>
      <c r="H17" s="19">
        <f t="shared" ref="H17:H56" si="1">IFERROR(F17*(1+G17),0)</f>
        <v>0</v>
      </c>
      <c r="I17" s="6"/>
    </row>
    <row r="18" spans="1:9">
      <c r="A18" s="9" t="s">
        <v>168</v>
      </c>
      <c r="B18" s="9"/>
      <c r="C18" s="9"/>
      <c r="D18" s="9"/>
      <c r="E18" s="10">
        <f>IFERROR(INDEX('Ingredients &amp; Packaging'!$H:$H, MATCH(1, ('Ingredients &amp; Packaging'!$B:$B=A18)*('Ingredients &amp; Packaging'!$A:$A=B18),0)),0)</f>
        <v>0</v>
      </c>
      <c r="F18" s="19">
        <f t="shared" si="0"/>
        <v>0</v>
      </c>
      <c r="G18" s="22"/>
      <c r="H18" s="19">
        <f t="shared" si="1"/>
        <v>0</v>
      </c>
      <c r="I18" s="6"/>
    </row>
    <row r="19" spans="1:9">
      <c r="A19" s="9" t="s">
        <v>169</v>
      </c>
      <c r="B19" s="9"/>
      <c r="C19" s="9"/>
      <c r="D19" s="9"/>
      <c r="E19" s="10">
        <f>IFERROR(INDEX('Ingredients &amp; Packaging'!$H:$H, MATCH(1, ('Ingredients &amp; Packaging'!$B:$B=A19)*('Ingredients &amp; Packaging'!$A:$A=B19),0)),0)</f>
        <v>0</v>
      </c>
      <c r="F19" s="19">
        <f t="shared" si="0"/>
        <v>0</v>
      </c>
      <c r="G19" s="22"/>
      <c r="H19" s="19">
        <f t="shared" si="1"/>
        <v>0</v>
      </c>
      <c r="I19" s="6"/>
    </row>
    <row r="20" spans="1:9">
      <c r="A20" s="9" t="s">
        <v>170</v>
      </c>
      <c r="B20" s="9"/>
      <c r="C20" s="9"/>
      <c r="D20" s="9"/>
      <c r="E20" s="10">
        <f>IFERROR(INDEX('Ingredients &amp; Packaging'!$H:$H, MATCH(1, ('Ingredients &amp; Packaging'!$B:$B=A20)*('Ingredients &amp; Packaging'!$A:$A=B20),0)),0)</f>
        <v>0</v>
      </c>
      <c r="F20" s="19">
        <f t="shared" si="0"/>
        <v>0</v>
      </c>
      <c r="G20" s="22"/>
      <c r="H20" s="19">
        <f t="shared" si="1"/>
        <v>0</v>
      </c>
      <c r="I20" s="6"/>
    </row>
    <row r="21" spans="1:9">
      <c r="A21" s="9" t="s">
        <v>171</v>
      </c>
      <c r="B21" s="9"/>
      <c r="C21" s="9"/>
      <c r="D21" s="9"/>
      <c r="E21" s="10">
        <f>IFERROR(INDEX('Ingredients &amp; Packaging'!$H:$H, MATCH(1, ('Ingredients &amp; Packaging'!$B:$B=A21)*('Ingredients &amp; Packaging'!$A:$A=B21),0)),0)</f>
        <v>0</v>
      </c>
      <c r="F21" s="19">
        <f t="shared" si="0"/>
        <v>0</v>
      </c>
      <c r="G21" s="22"/>
      <c r="H21" s="19">
        <f t="shared" si="1"/>
        <v>0</v>
      </c>
      <c r="I21" s="6"/>
    </row>
    <row r="22" spans="1:9">
      <c r="A22" s="9"/>
      <c r="B22" s="9"/>
      <c r="C22" s="9"/>
      <c r="D22" s="9"/>
      <c r="E22" s="10">
        <f>IFERROR(INDEX('Ingredients &amp; Packaging'!$H:$H, MATCH(1, ('Ingredients &amp; Packaging'!$B:$B=A22)*('Ingredients &amp; Packaging'!$A:$A=B22),0)),0)</f>
        <v>0</v>
      </c>
      <c r="F22" s="19">
        <f t="shared" si="0"/>
        <v>0</v>
      </c>
      <c r="G22" s="22"/>
      <c r="H22" s="19">
        <f t="shared" si="1"/>
        <v>0</v>
      </c>
      <c r="I22" s="6"/>
    </row>
    <row r="23" spans="1:9">
      <c r="A23" s="9"/>
      <c r="B23" s="9"/>
      <c r="C23" s="9"/>
      <c r="D23" s="9"/>
      <c r="E23" s="10">
        <f>IFERROR(INDEX('Ingredients &amp; Packaging'!$H:$H, MATCH(1, ('Ingredients &amp; Packaging'!$B:$B=A23)*('Ingredients &amp; Packaging'!$A:$A=B23),0)),0)</f>
        <v>0</v>
      </c>
      <c r="F23" s="19">
        <f t="shared" si="0"/>
        <v>0</v>
      </c>
      <c r="G23" s="22"/>
      <c r="H23" s="19">
        <f t="shared" si="1"/>
        <v>0</v>
      </c>
      <c r="I23" s="6"/>
    </row>
    <row r="24" spans="1:9">
      <c r="A24" s="9"/>
      <c r="B24" s="9"/>
      <c r="C24" s="9"/>
      <c r="D24" s="9"/>
      <c r="E24" s="10">
        <f>IFERROR(INDEX('Ingredients &amp; Packaging'!$H:$H, MATCH(1, ('Ingredients &amp; Packaging'!$B:$B=A24)*('Ingredients &amp; Packaging'!$A:$A=B24),0)),0)</f>
        <v>0</v>
      </c>
      <c r="F24" s="19">
        <f t="shared" si="0"/>
        <v>0</v>
      </c>
      <c r="G24" s="22"/>
      <c r="H24" s="19">
        <f t="shared" si="1"/>
        <v>0</v>
      </c>
      <c r="I24" s="6"/>
    </row>
    <row r="25" spans="1:9">
      <c r="A25" s="9"/>
      <c r="B25" s="9"/>
      <c r="C25" s="9"/>
      <c r="D25" s="9"/>
      <c r="E25" s="10">
        <f>IFERROR(INDEX('Ingredients &amp; Packaging'!$H:$H, MATCH(1, ('Ingredients &amp; Packaging'!$B:$B=A25)*('Ingredients &amp; Packaging'!$A:$A=B25),0)),0)</f>
        <v>0</v>
      </c>
      <c r="F25" s="19">
        <f t="shared" si="0"/>
        <v>0</v>
      </c>
      <c r="G25" s="22"/>
      <c r="H25" s="19">
        <f t="shared" si="1"/>
        <v>0</v>
      </c>
      <c r="I25" s="6"/>
    </row>
    <row r="26" spans="1:9">
      <c r="A26" s="9"/>
      <c r="B26" s="9"/>
      <c r="C26" s="9"/>
      <c r="D26" s="9"/>
      <c r="E26" s="10">
        <f>IFERROR(INDEX('Ingredients &amp; Packaging'!$H:$H, MATCH(1, ('Ingredients &amp; Packaging'!$B:$B=A26)*('Ingredients &amp; Packaging'!$A:$A=B26),0)),0)</f>
        <v>0</v>
      </c>
      <c r="F26" s="19">
        <f t="shared" si="0"/>
        <v>0</v>
      </c>
      <c r="G26" s="22"/>
      <c r="H26" s="19">
        <f t="shared" si="1"/>
        <v>0</v>
      </c>
      <c r="I26" s="6"/>
    </row>
    <row r="27" spans="1:9">
      <c r="A27" s="9"/>
      <c r="B27" s="9"/>
      <c r="C27" s="9"/>
      <c r="D27" s="9"/>
      <c r="E27" s="10">
        <f>IFERROR(INDEX('Ingredients &amp; Packaging'!$H:$H, MATCH(1, ('Ingredients &amp; Packaging'!$B:$B=A27)*('Ingredients &amp; Packaging'!$A:$A=B27),0)),0)</f>
        <v>0</v>
      </c>
      <c r="F27" s="19">
        <f t="shared" si="0"/>
        <v>0</v>
      </c>
      <c r="G27" s="22"/>
      <c r="H27" s="19">
        <f t="shared" si="1"/>
        <v>0</v>
      </c>
      <c r="I27" s="6"/>
    </row>
    <row r="28" spans="1:9">
      <c r="A28" s="9"/>
      <c r="B28" s="9"/>
      <c r="C28" s="9"/>
      <c r="D28" s="9"/>
      <c r="E28" s="10">
        <f>IFERROR(INDEX('Ingredients &amp; Packaging'!$H:$H, MATCH(1, ('Ingredients &amp; Packaging'!$B:$B=A28)*('Ingredients &amp; Packaging'!$A:$A=B28),0)),0)</f>
        <v>0</v>
      </c>
      <c r="F28" s="19">
        <f t="shared" si="0"/>
        <v>0</v>
      </c>
      <c r="G28" s="22"/>
      <c r="H28" s="19">
        <f t="shared" si="1"/>
        <v>0</v>
      </c>
      <c r="I28" s="6"/>
    </row>
    <row r="29" spans="1:9">
      <c r="A29" s="9"/>
      <c r="B29" s="9"/>
      <c r="C29" s="9"/>
      <c r="D29" s="9"/>
      <c r="E29" s="10">
        <f>IFERROR(INDEX('Ingredients &amp; Packaging'!$H:$H, MATCH(1, ('Ingredients &amp; Packaging'!$B:$B=A29)*('Ingredients &amp; Packaging'!$A:$A=B29),0)),0)</f>
        <v>0</v>
      </c>
      <c r="F29" s="19">
        <f t="shared" si="0"/>
        <v>0</v>
      </c>
      <c r="G29" s="22"/>
      <c r="H29" s="19">
        <f t="shared" si="1"/>
        <v>0</v>
      </c>
      <c r="I29" s="6"/>
    </row>
    <row r="30" spans="1:9">
      <c r="A30" s="9"/>
      <c r="B30" s="9"/>
      <c r="C30" s="9"/>
      <c r="D30" s="9"/>
      <c r="E30" s="10">
        <f>IFERROR(INDEX('Ingredients &amp; Packaging'!$H:$H, MATCH(1, ('Ingredients &amp; Packaging'!$B:$B=A30)*('Ingredients &amp; Packaging'!$A:$A=B30),0)),0)</f>
        <v>0</v>
      </c>
      <c r="F30" s="19">
        <f t="shared" si="0"/>
        <v>0</v>
      </c>
      <c r="G30" s="22"/>
      <c r="H30" s="19">
        <f t="shared" si="1"/>
        <v>0</v>
      </c>
      <c r="I30" s="6"/>
    </row>
    <row r="31" spans="1:9">
      <c r="A31" s="9"/>
      <c r="B31" s="9"/>
      <c r="C31" s="9"/>
      <c r="D31" s="9"/>
      <c r="E31" s="10">
        <f>IFERROR(INDEX('Ingredients &amp; Packaging'!$H:$H, MATCH(1, ('Ingredients &amp; Packaging'!$B:$B=A31)*('Ingredients &amp; Packaging'!$A:$A=B31),0)),0)</f>
        <v>0</v>
      </c>
      <c r="F31" s="19">
        <f t="shared" si="0"/>
        <v>0</v>
      </c>
      <c r="G31" s="22"/>
      <c r="H31" s="19">
        <f t="shared" si="1"/>
        <v>0</v>
      </c>
      <c r="I31" s="6"/>
    </row>
    <row r="32" spans="1:9">
      <c r="A32" s="9"/>
      <c r="B32" s="9"/>
      <c r="C32" s="9"/>
      <c r="D32" s="9"/>
      <c r="E32" s="10">
        <f>IFERROR(INDEX('Ingredients &amp; Packaging'!$H:$H, MATCH(1, ('Ingredients &amp; Packaging'!$B:$B=A32)*('Ingredients &amp; Packaging'!$A:$A=B32),0)),0)</f>
        <v>0</v>
      </c>
      <c r="F32" s="19">
        <f t="shared" si="0"/>
        <v>0</v>
      </c>
      <c r="G32" s="22"/>
      <c r="H32" s="19">
        <f t="shared" si="1"/>
        <v>0</v>
      </c>
      <c r="I32" s="6"/>
    </row>
    <row r="33" spans="1:9">
      <c r="A33" s="9"/>
      <c r="B33" s="9"/>
      <c r="C33" s="9"/>
      <c r="D33" s="9"/>
      <c r="E33" s="10">
        <f>IFERROR(INDEX('Ingredients &amp; Packaging'!$H:$H, MATCH(1, ('Ingredients &amp; Packaging'!$B:$B=A33)*('Ingredients &amp; Packaging'!$A:$A=B33),0)),0)</f>
        <v>0</v>
      </c>
      <c r="F33" s="19">
        <f t="shared" si="0"/>
        <v>0</v>
      </c>
      <c r="G33" s="22"/>
      <c r="H33" s="19">
        <f t="shared" si="1"/>
        <v>0</v>
      </c>
      <c r="I33" s="6"/>
    </row>
    <row r="34" spans="1:9">
      <c r="A34" s="9"/>
      <c r="B34" s="9"/>
      <c r="C34" s="9"/>
      <c r="D34" s="9"/>
      <c r="E34" s="10">
        <f>IFERROR(INDEX('Ingredients &amp; Packaging'!$H:$H, MATCH(1, ('Ingredients &amp; Packaging'!$B:$B=A34)*('Ingredients &amp; Packaging'!$A:$A=B34),0)),0)</f>
        <v>0</v>
      </c>
      <c r="F34" s="19">
        <f t="shared" si="0"/>
        <v>0</v>
      </c>
      <c r="G34" s="22"/>
      <c r="H34" s="19">
        <f t="shared" si="1"/>
        <v>0</v>
      </c>
      <c r="I34" s="6"/>
    </row>
    <row r="35" spans="1:9">
      <c r="A35" s="9"/>
      <c r="B35" s="9"/>
      <c r="C35" s="9"/>
      <c r="D35" s="9"/>
      <c r="E35" s="10">
        <f>IFERROR(INDEX('Ingredients &amp; Packaging'!$H:$H, MATCH(1, ('Ingredients &amp; Packaging'!$B:$B=A35)*('Ingredients &amp; Packaging'!$A:$A=B35),0)),0)</f>
        <v>0</v>
      </c>
      <c r="F35" s="19">
        <f t="shared" si="0"/>
        <v>0</v>
      </c>
      <c r="G35" s="22"/>
      <c r="H35" s="19">
        <f t="shared" si="1"/>
        <v>0</v>
      </c>
      <c r="I35" s="6"/>
    </row>
    <row r="36" spans="1:9">
      <c r="A36" s="9"/>
      <c r="B36" s="9"/>
      <c r="C36" s="9"/>
      <c r="D36" s="9"/>
      <c r="E36" s="10">
        <f>IFERROR(INDEX('Ingredients &amp; Packaging'!$H:$H, MATCH(1, ('Ingredients &amp; Packaging'!$B:$B=A36)*('Ingredients &amp; Packaging'!$A:$A=B36),0)),0)</f>
        <v>0</v>
      </c>
      <c r="F36" s="19">
        <f t="shared" si="0"/>
        <v>0</v>
      </c>
      <c r="G36" s="22"/>
      <c r="H36" s="19">
        <f t="shared" si="1"/>
        <v>0</v>
      </c>
      <c r="I36" s="6"/>
    </row>
    <row r="37" spans="1:9">
      <c r="A37" s="9"/>
      <c r="B37" s="9"/>
      <c r="C37" s="9"/>
      <c r="D37" s="9"/>
      <c r="E37" s="10">
        <f>IFERROR(INDEX('Ingredients &amp; Packaging'!$H:$H, MATCH(1, ('Ingredients &amp; Packaging'!$B:$B=A37)*('Ingredients &amp; Packaging'!$A:$A=B37),0)),0)</f>
        <v>0</v>
      </c>
      <c r="F37" s="19">
        <f t="shared" si="0"/>
        <v>0</v>
      </c>
      <c r="G37" s="22"/>
      <c r="H37" s="19">
        <f t="shared" si="1"/>
        <v>0</v>
      </c>
      <c r="I37" s="6"/>
    </row>
    <row r="38" spans="1:9">
      <c r="A38" s="9"/>
      <c r="B38" s="9"/>
      <c r="C38" s="9"/>
      <c r="D38" s="9"/>
      <c r="E38" s="10">
        <f>IFERROR(INDEX('Ingredients &amp; Packaging'!$H:$H, MATCH(1, ('Ingredients &amp; Packaging'!$B:$B=A38)*('Ingredients &amp; Packaging'!$A:$A=B38),0)),0)</f>
        <v>0</v>
      </c>
      <c r="F38" s="19">
        <f t="shared" si="0"/>
        <v>0</v>
      </c>
      <c r="G38" s="22"/>
      <c r="H38" s="19">
        <f t="shared" si="1"/>
        <v>0</v>
      </c>
      <c r="I38" s="6"/>
    </row>
    <row r="39" spans="1:9">
      <c r="A39" s="9"/>
      <c r="B39" s="9"/>
      <c r="C39" s="9"/>
      <c r="D39" s="9"/>
      <c r="E39" s="10">
        <f>IFERROR(INDEX('Ingredients &amp; Packaging'!$H:$H, MATCH(1, ('Ingredients &amp; Packaging'!$B:$B=A39)*('Ingredients &amp; Packaging'!$A:$A=B39),0)),0)</f>
        <v>0</v>
      </c>
      <c r="F39" s="19">
        <f t="shared" si="0"/>
        <v>0</v>
      </c>
      <c r="G39" s="22"/>
      <c r="H39" s="19">
        <f t="shared" si="1"/>
        <v>0</v>
      </c>
      <c r="I39" s="6"/>
    </row>
    <row r="40" spans="1:9">
      <c r="A40" s="9"/>
      <c r="B40" s="9"/>
      <c r="C40" s="9"/>
      <c r="D40" s="9"/>
      <c r="E40" s="10">
        <f>IFERROR(INDEX('Ingredients &amp; Packaging'!$H:$H, MATCH(1, ('Ingredients &amp; Packaging'!$B:$B=A40)*('Ingredients &amp; Packaging'!$A:$A=B40),0)),0)</f>
        <v>0</v>
      </c>
      <c r="F40" s="19">
        <f t="shared" si="0"/>
        <v>0</v>
      </c>
      <c r="G40" s="22"/>
      <c r="H40" s="19">
        <f t="shared" si="1"/>
        <v>0</v>
      </c>
      <c r="I40" s="6"/>
    </row>
    <row r="41" spans="1:9">
      <c r="A41" s="9"/>
      <c r="B41" s="9"/>
      <c r="C41" s="9"/>
      <c r="D41" s="9"/>
      <c r="E41" s="10">
        <f>IFERROR(INDEX('Ingredients &amp; Packaging'!$H:$H, MATCH(1, ('Ingredients &amp; Packaging'!$B:$B=A41)*('Ingredients &amp; Packaging'!$A:$A=B41),0)),0)</f>
        <v>0</v>
      </c>
      <c r="F41" s="19">
        <f t="shared" si="0"/>
        <v>0</v>
      </c>
      <c r="G41" s="22"/>
      <c r="H41" s="19">
        <f t="shared" si="1"/>
        <v>0</v>
      </c>
      <c r="I41" s="6"/>
    </row>
    <row r="42" spans="1:9">
      <c r="A42" s="9"/>
      <c r="B42" s="9"/>
      <c r="C42" s="9"/>
      <c r="D42" s="9"/>
      <c r="E42" s="10">
        <f>IFERROR(INDEX('Ingredients &amp; Packaging'!$H:$H, MATCH(1, ('Ingredients &amp; Packaging'!$B:$B=A42)*('Ingredients &amp; Packaging'!$A:$A=B42),0)),0)</f>
        <v>0</v>
      </c>
      <c r="F42" s="19">
        <f t="shared" si="0"/>
        <v>0</v>
      </c>
      <c r="G42" s="22"/>
      <c r="H42" s="19">
        <f t="shared" si="1"/>
        <v>0</v>
      </c>
      <c r="I42" s="6"/>
    </row>
    <row r="43" spans="1:9">
      <c r="A43" s="9"/>
      <c r="B43" s="9"/>
      <c r="C43" s="9"/>
      <c r="D43" s="9"/>
      <c r="E43" s="10">
        <f>IFERROR(INDEX('Ingredients &amp; Packaging'!$H:$H, MATCH(1, ('Ingredients &amp; Packaging'!$B:$B=A43)*('Ingredients &amp; Packaging'!$A:$A=B43),0)),0)</f>
        <v>0</v>
      </c>
      <c r="F43" s="19">
        <f t="shared" si="0"/>
        <v>0</v>
      </c>
      <c r="G43" s="22"/>
      <c r="H43" s="19">
        <f t="shared" si="1"/>
        <v>0</v>
      </c>
      <c r="I43" s="6"/>
    </row>
    <row r="44" spans="1:9">
      <c r="A44" s="9"/>
      <c r="B44" s="9"/>
      <c r="C44" s="9"/>
      <c r="D44" s="9"/>
      <c r="E44" s="10">
        <f>IFERROR(INDEX('Ingredients &amp; Packaging'!$H:$H, MATCH(1, ('Ingredients &amp; Packaging'!$B:$B=A44)*('Ingredients &amp; Packaging'!$A:$A=B44),0)),0)</f>
        <v>0</v>
      </c>
      <c r="F44" s="19">
        <f t="shared" si="0"/>
        <v>0</v>
      </c>
      <c r="G44" s="22"/>
      <c r="H44" s="19">
        <f t="shared" si="1"/>
        <v>0</v>
      </c>
      <c r="I44" s="6"/>
    </row>
    <row r="45" spans="1:9">
      <c r="A45" s="9"/>
      <c r="B45" s="9"/>
      <c r="C45" s="9"/>
      <c r="D45" s="9"/>
      <c r="E45" s="10">
        <f>IFERROR(INDEX('Ingredients &amp; Packaging'!$H:$H, MATCH(1, ('Ingredients &amp; Packaging'!$B:$B=A45)*('Ingredients &amp; Packaging'!$A:$A=B45),0)),0)</f>
        <v>0</v>
      </c>
      <c r="F45" s="19">
        <f t="shared" si="0"/>
        <v>0</v>
      </c>
      <c r="G45" s="22"/>
      <c r="H45" s="19">
        <f t="shared" si="1"/>
        <v>0</v>
      </c>
      <c r="I45" s="6"/>
    </row>
    <row r="46" spans="1:9">
      <c r="A46" s="9"/>
      <c r="B46" s="9"/>
      <c r="C46" s="9"/>
      <c r="D46" s="9"/>
      <c r="E46" s="10">
        <f>IFERROR(INDEX('Ingredients &amp; Packaging'!$H:$H, MATCH(1, ('Ingredients &amp; Packaging'!$B:$B=A46)*('Ingredients &amp; Packaging'!$A:$A=B46),0)),0)</f>
        <v>0</v>
      </c>
      <c r="F46" s="19">
        <f t="shared" si="0"/>
        <v>0</v>
      </c>
      <c r="G46" s="22"/>
      <c r="H46" s="19">
        <f t="shared" si="1"/>
        <v>0</v>
      </c>
      <c r="I46" s="6"/>
    </row>
    <row r="47" spans="1:9">
      <c r="A47" s="9"/>
      <c r="B47" s="9"/>
      <c r="C47" s="9"/>
      <c r="D47" s="9"/>
      <c r="E47" s="10">
        <f>IFERROR(INDEX('Ingredients &amp; Packaging'!$H:$H, MATCH(1, ('Ingredients &amp; Packaging'!$B:$B=A47)*('Ingredients &amp; Packaging'!$A:$A=B47),0)),0)</f>
        <v>0</v>
      </c>
      <c r="F47" s="19">
        <f t="shared" si="0"/>
        <v>0</v>
      </c>
      <c r="G47" s="22"/>
      <c r="H47" s="19">
        <f t="shared" si="1"/>
        <v>0</v>
      </c>
      <c r="I47" s="6"/>
    </row>
    <row r="48" spans="1:9">
      <c r="A48" s="9"/>
      <c r="B48" s="9"/>
      <c r="C48" s="9"/>
      <c r="D48" s="9"/>
      <c r="E48" s="10">
        <f>IFERROR(INDEX('Ingredients &amp; Packaging'!$H:$H, MATCH(1, ('Ingredients &amp; Packaging'!$B:$B=A48)*('Ingredients &amp; Packaging'!$A:$A=B48),0)),0)</f>
        <v>0</v>
      </c>
      <c r="F48" s="19">
        <f t="shared" si="0"/>
        <v>0</v>
      </c>
      <c r="G48" s="22"/>
      <c r="H48" s="19">
        <f t="shared" si="1"/>
        <v>0</v>
      </c>
      <c r="I48" s="6"/>
    </row>
    <row r="49" spans="1:9">
      <c r="A49" s="9"/>
      <c r="B49" s="9"/>
      <c r="C49" s="9"/>
      <c r="D49" s="9"/>
      <c r="E49" s="10">
        <f>IFERROR(INDEX('Ingredients &amp; Packaging'!$H:$H, MATCH(1, ('Ingredients &amp; Packaging'!$B:$B=A49)*('Ingredients &amp; Packaging'!$A:$A=B49),0)),0)</f>
        <v>0</v>
      </c>
      <c r="F49" s="19">
        <f t="shared" si="0"/>
        <v>0</v>
      </c>
      <c r="G49" s="22"/>
      <c r="H49" s="19">
        <f t="shared" si="1"/>
        <v>0</v>
      </c>
      <c r="I49" s="6"/>
    </row>
    <row r="50" spans="1:9">
      <c r="A50" s="9"/>
      <c r="B50" s="9"/>
      <c r="C50" s="9"/>
      <c r="D50" s="9"/>
      <c r="E50" s="10">
        <f>IFERROR(INDEX('Ingredients &amp; Packaging'!$H:$H, MATCH(1, ('Ingredients &amp; Packaging'!$B:$B=A50)*('Ingredients &amp; Packaging'!$A:$A=B50),0)),0)</f>
        <v>0</v>
      </c>
      <c r="F50" s="19">
        <f t="shared" si="0"/>
        <v>0</v>
      </c>
      <c r="G50" s="22"/>
      <c r="H50" s="19">
        <f t="shared" si="1"/>
        <v>0</v>
      </c>
      <c r="I50" s="6"/>
    </row>
    <row r="51" spans="1:9">
      <c r="A51" s="9"/>
      <c r="B51" s="9"/>
      <c r="C51" s="9"/>
      <c r="D51" s="9"/>
      <c r="E51" s="10">
        <f>IFERROR(INDEX('Ingredients &amp; Packaging'!$H:$H, MATCH(1, ('Ingredients &amp; Packaging'!$B:$B=A51)*('Ingredients &amp; Packaging'!$A:$A=B51),0)),0)</f>
        <v>0</v>
      </c>
      <c r="F51" s="19">
        <f t="shared" si="0"/>
        <v>0</v>
      </c>
      <c r="G51" s="22"/>
      <c r="H51" s="19">
        <f t="shared" si="1"/>
        <v>0</v>
      </c>
      <c r="I51" s="6"/>
    </row>
    <row r="52" spans="1:9">
      <c r="A52" s="9"/>
      <c r="B52" s="9"/>
      <c r="C52" s="9"/>
      <c r="D52" s="9"/>
      <c r="E52" s="10">
        <f>IFERROR(INDEX('Ingredients &amp; Packaging'!$H:$H, MATCH(1, ('Ingredients &amp; Packaging'!$B:$B=A52)*('Ingredients &amp; Packaging'!$A:$A=B52),0)),0)</f>
        <v>0</v>
      </c>
      <c r="F52" s="19">
        <f t="shared" si="0"/>
        <v>0</v>
      </c>
      <c r="G52" s="22"/>
      <c r="H52" s="19">
        <f t="shared" si="1"/>
        <v>0</v>
      </c>
      <c r="I52" s="6"/>
    </row>
    <row r="53" spans="1:9">
      <c r="A53" s="9"/>
      <c r="B53" s="9"/>
      <c r="C53" s="9"/>
      <c r="D53" s="9"/>
      <c r="E53" s="10">
        <f>IFERROR(INDEX('Ingredients &amp; Packaging'!$H:$H, MATCH(1, ('Ingredients &amp; Packaging'!$B:$B=A53)*('Ingredients &amp; Packaging'!$A:$A=B53),0)),0)</f>
        <v>0</v>
      </c>
      <c r="F53" s="19">
        <f t="shared" si="0"/>
        <v>0</v>
      </c>
      <c r="G53" s="22"/>
      <c r="H53" s="19">
        <f t="shared" si="1"/>
        <v>0</v>
      </c>
      <c r="I53" s="6"/>
    </row>
    <row r="54" spans="1:9">
      <c r="A54" s="9"/>
      <c r="B54" s="9"/>
      <c r="C54" s="9"/>
      <c r="D54" s="9"/>
      <c r="E54" s="10">
        <f>IFERROR(INDEX('Ingredients &amp; Packaging'!$H:$H, MATCH(1, ('Ingredients &amp; Packaging'!$B:$B=A54)*('Ingredients &amp; Packaging'!$A:$A=B54),0)),0)</f>
        <v>0</v>
      </c>
      <c r="F54" s="19">
        <f t="shared" si="0"/>
        <v>0</v>
      </c>
      <c r="G54" s="22"/>
      <c r="H54" s="19">
        <f t="shared" si="1"/>
        <v>0</v>
      </c>
      <c r="I54" s="6"/>
    </row>
    <row r="55" spans="1:9">
      <c r="A55" s="9"/>
      <c r="B55" s="9"/>
      <c r="C55" s="9"/>
      <c r="D55" s="9"/>
      <c r="E55" s="10">
        <f>IFERROR(INDEX('Ingredients &amp; Packaging'!$H:$H, MATCH(1, ('Ingredients &amp; Packaging'!$B:$B=A55)*('Ingredients &amp; Packaging'!$A:$A=B55),0)),0)</f>
        <v>0</v>
      </c>
      <c r="F55" s="19">
        <f t="shared" si="0"/>
        <v>0</v>
      </c>
      <c r="G55" s="22"/>
      <c r="H55" s="19">
        <f t="shared" si="1"/>
        <v>0</v>
      </c>
      <c r="I55" s="6"/>
    </row>
    <row r="56" spans="1:9">
      <c r="A56" s="9"/>
      <c r="B56" s="9"/>
      <c r="C56" s="9"/>
      <c r="D56" s="9"/>
      <c r="E56" s="10">
        <f>IFERROR(INDEX('Ingredients &amp; Packaging'!$H:$H, MATCH(1, ('Ingredients &amp; Packaging'!$B:$B=A56)*('Ingredients &amp; Packaging'!$A:$A=B56),0)),0)</f>
        <v>0</v>
      </c>
      <c r="F56" s="19">
        <f t="shared" si="0"/>
        <v>0</v>
      </c>
      <c r="G56" s="22"/>
      <c r="H56" s="19">
        <f t="shared" si="1"/>
        <v>0</v>
      </c>
      <c r="I56" s="6"/>
    </row>
    <row r="58" spans="1:9">
      <c r="A58" s="38" t="s">
        <v>119</v>
      </c>
      <c r="B58" s="45"/>
      <c r="C58" s="45"/>
      <c r="D58" s="39"/>
    </row>
    <row r="59" spans="1:9">
      <c r="A59" s="21" t="s">
        <v>120</v>
      </c>
      <c r="B59" s="23">
        <f>SUM(H17:H56)</f>
        <v>0</v>
      </c>
    </row>
    <row r="60" spans="1:9">
      <c r="A60" s="21" t="s">
        <v>121</v>
      </c>
      <c r="B60" s="23">
        <f>IFERROR(B59/ B8,0)</f>
        <v>0</v>
      </c>
    </row>
    <row r="61" spans="1:9">
      <c r="A61" s="21" t="s">
        <v>122</v>
      </c>
      <c r="B61" s="23">
        <f>VLOOKUP("SK",'Products Index'!$A:$F,6,FALSE)</f>
        <v>0</v>
      </c>
    </row>
    <row r="62" spans="1:9">
      <c r="A62" s="21" t="s">
        <v>67</v>
      </c>
      <c r="B62" s="23">
        <f>VLOOKUP("SK",'Products Index'!$A:$G,7,FALSE)</f>
        <v>0</v>
      </c>
    </row>
    <row r="63" spans="1:9">
      <c r="A63" s="21" t="s">
        <v>123</v>
      </c>
      <c r="B63" s="24">
        <f>IFERROR((B61-B60)/B61,0)</f>
        <v>0</v>
      </c>
    </row>
    <row r="64" spans="1:9">
      <c r="A64" s="21" t="s">
        <v>124</v>
      </c>
      <c r="B64" s="24">
        <f>IFERROR((B62-B60)/B62,0)</f>
        <v>0</v>
      </c>
    </row>
  </sheetData>
  <mergeCells count="9">
    <mergeCell ref="E4:I4"/>
    <mergeCell ref="A58:D58"/>
    <mergeCell ref="F9:I9"/>
    <mergeCell ref="F7:I7"/>
    <mergeCell ref="F8:I8"/>
    <mergeCell ref="A4:D4"/>
    <mergeCell ref="A15:G15"/>
    <mergeCell ref="F5:I5"/>
    <mergeCell ref="F6:I6"/>
  </mergeCells>
  <dataValidations count="2">
    <dataValidation type="list" allowBlank="1" sqref="B17 B18 B19 B20 B21 B22 B23 B24 B25 B26 B27 B28 B29 B30 B31 B32 B33 B34 B35 B36 B37 B38 B39 B40 B41 B42 B43 B44 B45 B46 B47 B48 B49 B50 B51 B52 B53 B54 B55 B56">
      <formula1>"Ingredient,Packaging,Label,Overhead"</formula1>
    </dataValidation>
    <dataValidation type="list" allowBlank="1" sqref="D17 D18 D19 D20 D21 D22 D23 D24 D25 D26 D27 D28 D29 D30 D31 D32 D33 D34 D35 D36 D37 D38 D39 D40 D41 D42 D43 D44 D45 D46 D47 D48 D49 D50 D51 D52 D53 D54 D55 D56">
      <formula1>"g,kg,ml,l,each"</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64"/>
  <sheetViews>
    <sheetView showGridLines="0" workbookViewId="0"/>
  </sheetViews>
  <sheetFormatPr defaultRowHeight="14.5"/>
  <cols>
    <col min="1" max="1" width="26" customWidth="1"/>
    <col min="2" max="2" width="12" customWidth="1"/>
    <col min="3" max="3" width="10" customWidth="1"/>
    <col min="4" max="4" width="8" customWidth="1"/>
    <col min="5" max="6" width="14" customWidth="1"/>
    <col min="7" max="7" width="10" customWidth="1"/>
    <col min="8" max="8" width="14" customWidth="1"/>
    <col min="9" max="9" width="22" customWidth="1"/>
  </cols>
  <sheetData>
    <row r="1" spans="1:9" ht="20">
      <c r="A1" s="1" t="s">
        <v>172</v>
      </c>
    </row>
    <row r="2" spans="1:9">
      <c r="A2" s="2" t="s">
        <v>173</v>
      </c>
    </row>
    <row r="4" spans="1:9">
      <c r="A4" s="38" t="s">
        <v>83</v>
      </c>
      <c r="B4" s="45"/>
      <c r="C4" s="45"/>
      <c r="D4" s="39"/>
      <c r="E4" s="38" t="s">
        <v>84</v>
      </c>
      <c r="F4" s="45"/>
      <c r="G4" s="45"/>
      <c r="H4" s="45"/>
      <c r="I4" s="39"/>
    </row>
    <row r="5" spans="1:9">
      <c r="A5" s="21" t="s">
        <v>85</v>
      </c>
      <c r="B5" s="7">
        <v>190</v>
      </c>
      <c r="E5" s="21" t="s">
        <v>86</v>
      </c>
      <c r="F5" s="46" t="s">
        <v>174</v>
      </c>
      <c r="G5" s="45"/>
      <c r="H5" s="45"/>
      <c r="I5" s="39"/>
    </row>
    <row r="6" spans="1:9">
      <c r="A6" s="21" t="s">
        <v>88</v>
      </c>
      <c r="B6" s="7">
        <v>2200</v>
      </c>
      <c r="E6" s="21" t="s">
        <v>89</v>
      </c>
      <c r="F6" s="46" t="s">
        <v>90</v>
      </c>
      <c r="G6" s="45"/>
      <c r="H6" s="45"/>
      <c r="I6" s="39"/>
    </row>
    <row r="7" spans="1:9">
      <c r="A7" s="21" t="s">
        <v>91</v>
      </c>
      <c r="B7" s="7">
        <v>2200</v>
      </c>
      <c r="E7" s="21" t="s">
        <v>92</v>
      </c>
      <c r="F7" s="46" t="s">
        <v>175</v>
      </c>
      <c r="G7" s="45"/>
      <c r="H7" s="45"/>
      <c r="I7" s="39"/>
    </row>
    <row r="8" spans="1:9">
      <c r="A8" s="21" t="s">
        <v>94</v>
      </c>
      <c r="B8" s="29">
        <f>IFERROR(B7/B5,0)</f>
        <v>11.578947368421053</v>
      </c>
      <c r="E8" s="21" t="s">
        <v>95</v>
      </c>
      <c r="F8" s="46" t="s">
        <v>176</v>
      </c>
      <c r="G8" s="45"/>
      <c r="H8" s="45"/>
      <c r="I8" s="39"/>
    </row>
    <row r="9" spans="1:9">
      <c r="A9" s="21" t="s">
        <v>97</v>
      </c>
      <c r="B9" s="9"/>
      <c r="E9" s="21" t="s">
        <v>98</v>
      </c>
      <c r="F9" s="46" t="s">
        <v>177</v>
      </c>
      <c r="G9" s="45"/>
      <c r="H9" s="45"/>
      <c r="I9" s="39"/>
    </row>
    <row r="10" spans="1:9">
      <c r="A10" s="21" t="s">
        <v>100</v>
      </c>
      <c r="B10" s="9"/>
    </row>
    <row r="11" spans="1:9">
      <c r="A11" s="21" t="s">
        <v>101</v>
      </c>
      <c r="B11" s="9"/>
    </row>
    <row r="12" spans="1:9">
      <c r="A12" s="21" t="s">
        <v>102</v>
      </c>
      <c r="B12" s="7">
        <v>190</v>
      </c>
    </row>
    <row r="13" spans="1:9">
      <c r="A13" s="21" t="s">
        <v>28</v>
      </c>
      <c r="B13" s="9"/>
    </row>
    <row r="15" spans="1:9">
      <c r="A15" s="38" t="s">
        <v>103</v>
      </c>
      <c r="B15" s="45"/>
      <c r="C15" s="45"/>
      <c r="D15" s="45"/>
      <c r="E15" s="45"/>
      <c r="F15" s="45"/>
      <c r="G15" s="39"/>
    </row>
    <row r="16" spans="1:9" ht="29">
      <c r="A16" s="14" t="s">
        <v>104</v>
      </c>
      <c r="B16" s="14" t="s">
        <v>17</v>
      </c>
      <c r="C16" s="14" t="s">
        <v>105</v>
      </c>
      <c r="D16" s="14" t="s">
        <v>22</v>
      </c>
      <c r="E16" s="14" t="s">
        <v>106</v>
      </c>
      <c r="F16" s="14" t="s">
        <v>107</v>
      </c>
      <c r="G16" s="14" t="s">
        <v>108</v>
      </c>
      <c r="H16" s="14" t="s">
        <v>109</v>
      </c>
      <c r="I16" s="14" t="s">
        <v>110</v>
      </c>
    </row>
    <row r="17" spans="1:9">
      <c r="A17" s="9" t="s">
        <v>146</v>
      </c>
      <c r="B17" s="9"/>
      <c r="C17" s="9"/>
      <c r="D17" s="9"/>
      <c r="E17" s="10">
        <f>IFERROR(INDEX('Ingredients &amp; Packaging'!$H:$H, MATCH(1, ('Ingredients &amp; Packaging'!$B:$B=A17)*('Ingredients &amp; Packaging'!$A:$A=B17),0)),0)</f>
        <v>0</v>
      </c>
      <c r="F17" s="19">
        <f t="shared" ref="F17:F56" si="0">IFERROR(C17*E17,0)</f>
        <v>0</v>
      </c>
      <c r="G17" s="22"/>
      <c r="H17" s="19">
        <f t="shared" ref="H17:H56" si="1">IFERROR(F17*(1+G17),0)</f>
        <v>0</v>
      </c>
      <c r="I17" s="6"/>
    </row>
    <row r="18" spans="1:9">
      <c r="A18" s="9" t="s">
        <v>178</v>
      </c>
      <c r="B18" s="9"/>
      <c r="C18" s="9"/>
      <c r="D18" s="9"/>
      <c r="E18" s="10">
        <f>IFERROR(INDEX('Ingredients &amp; Packaging'!$H:$H, MATCH(1, ('Ingredients &amp; Packaging'!$B:$B=A18)*('Ingredients &amp; Packaging'!$A:$A=B18),0)),0)</f>
        <v>0</v>
      </c>
      <c r="F18" s="19">
        <f t="shared" si="0"/>
        <v>0</v>
      </c>
      <c r="G18" s="22"/>
      <c r="H18" s="19">
        <f t="shared" si="1"/>
        <v>0</v>
      </c>
      <c r="I18" s="6"/>
    </row>
    <row r="19" spans="1:9">
      <c r="A19" s="9" t="s">
        <v>179</v>
      </c>
      <c r="B19" s="9"/>
      <c r="C19" s="9"/>
      <c r="D19" s="9"/>
      <c r="E19" s="10">
        <f>IFERROR(INDEX('Ingredients &amp; Packaging'!$H:$H, MATCH(1, ('Ingredients &amp; Packaging'!$B:$B=A19)*('Ingredients &amp; Packaging'!$A:$A=B19),0)),0)</f>
        <v>0</v>
      </c>
      <c r="F19" s="19">
        <f t="shared" si="0"/>
        <v>0</v>
      </c>
      <c r="G19" s="22"/>
      <c r="H19" s="19">
        <f t="shared" si="1"/>
        <v>0</v>
      </c>
      <c r="I19" s="6"/>
    </row>
    <row r="20" spans="1:9">
      <c r="A20" s="9" t="s">
        <v>180</v>
      </c>
      <c r="B20" s="9"/>
      <c r="C20" s="9"/>
      <c r="D20" s="9"/>
      <c r="E20" s="10">
        <f>IFERROR(INDEX('Ingredients &amp; Packaging'!$H:$H, MATCH(1, ('Ingredients &amp; Packaging'!$B:$B=A20)*('Ingredients &amp; Packaging'!$A:$A=B20),0)),0)</f>
        <v>0</v>
      </c>
      <c r="F20" s="19">
        <f t="shared" si="0"/>
        <v>0</v>
      </c>
      <c r="G20" s="22"/>
      <c r="H20" s="19">
        <f t="shared" si="1"/>
        <v>0</v>
      </c>
      <c r="I20" s="6"/>
    </row>
    <row r="21" spans="1:9">
      <c r="A21" s="9" t="s">
        <v>171</v>
      </c>
      <c r="B21" s="9"/>
      <c r="C21" s="9"/>
      <c r="D21" s="9"/>
      <c r="E21" s="10">
        <f>IFERROR(INDEX('Ingredients &amp; Packaging'!$H:$H, MATCH(1, ('Ingredients &amp; Packaging'!$B:$B=A21)*('Ingredients &amp; Packaging'!$A:$A=B21),0)),0)</f>
        <v>0</v>
      </c>
      <c r="F21" s="19">
        <f t="shared" si="0"/>
        <v>0</v>
      </c>
      <c r="G21" s="22"/>
      <c r="H21" s="19">
        <f t="shared" si="1"/>
        <v>0</v>
      </c>
      <c r="I21" s="6"/>
    </row>
    <row r="22" spans="1:9">
      <c r="A22" s="9"/>
      <c r="B22" s="9"/>
      <c r="C22" s="9"/>
      <c r="D22" s="9"/>
      <c r="E22" s="10">
        <f>IFERROR(INDEX('Ingredients &amp; Packaging'!$H:$H, MATCH(1, ('Ingredients &amp; Packaging'!$B:$B=A22)*('Ingredients &amp; Packaging'!$A:$A=B22),0)),0)</f>
        <v>0</v>
      </c>
      <c r="F22" s="19">
        <f t="shared" si="0"/>
        <v>0</v>
      </c>
      <c r="G22" s="22"/>
      <c r="H22" s="19">
        <f t="shared" si="1"/>
        <v>0</v>
      </c>
      <c r="I22" s="6"/>
    </row>
    <row r="23" spans="1:9">
      <c r="A23" s="9"/>
      <c r="B23" s="9"/>
      <c r="C23" s="9"/>
      <c r="D23" s="9"/>
      <c r="E23" s="10">
        <f>IFERROR(INDEX('Ingredients &amp; Packaging'!$H:$H, MATCH(1, ('Ingredients &amp; Packaging'!$B:$B=A23)*('Ingredients &amp; Packaging'!$A:$A=B23),0)),0)</f>
        <v>0</v>
      </c>
      <c r="F23" s="19">
        <f t="shared" si="0"/>
        <v>0</v>
      </c>
      <c r="G23" s="22"/>
      <c r="H23" s="19">
        <f t="shared" si="1"/>
        <v>0</v>
      </c>
      <c r="I23" s="6"/>
    </row>
    <row r="24" spans="1:9">
      <c r="A24" s="9"/>
      <c r="B24" s="9"/>
      <c r="C24" s="9"/>
      <c r="D24" s="9"/>
      <c r="E24" s="10">
        <f>IFERROR(INDEX('Ingredients &amp; Packaging'!$H:$H, MATCH(1, ('Ingredients &amp; Packaging'!$B:$B=A24)*('Ingredients &amp; Packaging'!$A:$A=B24),0)),0)</f>
        <v>0</v>
      </c>
      <c r="F24" s="19">
        <f t="shared" si="0"/>
        <v>0</v>
      </c>
      <c r="G24" s="22"/>
      <c r="H24" s="19">
        <f t="shared" si="1"/>
        <v>0</v>
      </c>
      <c r="I24" s="6"/>
    </row>
    <row r="25" spans="1:9">
      <c r="A25" s="9"/>
      <c r="B25" s="9"/>
      <c r="C25" s="9"/>
      <c r="D25" s="9"/>
      <c r="E25" s="10">
        <f>IFERROR(INDEX('Ingredients &amp; Packaging'!$H:$H, MATCH(1, ('Ingredients &amp; Packaging'!$B:$B=A25)*('Ingredients &amp; Packaging'!$A:$A=B25),0)),0)</f>
        <v>0</v>
      </c>
      <c r="F25" s="19">
        <f t="shared" si="0"/>
        <v>0</v>
      </c>
      <c r="G25" s="22"/>
      <c r="H25" s="19">
        <f t="shared" si="1"/>
        <v>0</v>
      </c>
      <c r="I25" s="6"/>
    </row>
    <row r="26" spans="1:9">
      <c r="A26" s="9"/>
      <c r="B26" s="9"/>
      <c r="C26" s="9"/>
      <c r="D26" s="9"/>
      <c r="E26" s="10">
        <f>IFERROR(INDEX('Ingredients &amp; Packaging'!$H:$H, MATCH(1, ('Ingredients &amp; Packaging'!$B:$B=A26)*('Ingredients &amp; Packaging'!$A:$A=B26),0)),0)</f>
        <v>0</v>
      </c>
      <c r="F26" s="19">
        <f t="shared" si="0"/>
        <v>0</v>
      </c>
      <c r="G26" s="22"/>
      <c r="H26" s="19">
        <f t="shared" si="1"/>
        <v>0</v>
      </c>
      <c r="I26" s="6"/>
    </row>
    <row r="27" spans="1:9">
      <c r="A27" s="9"/>
      <c r="B27" s="9"/>
      <c r="C27" s="9"/>
      <c r="D27" s="9"/>
      <c r="E27" s="10">
        <f>IFERROR(INDEX('Ingredients &amp; Packaging'!$H:$H, MATCH(1, ('Ingredients &amp; Packaging'!$B:$B=A27)*('Ingredients &amp; Packaging'!$A:$A=B27),0)),0)</f>
        <v>0</v>
      </c>
      <c r="F27" s="19">
        <f t="shared" si="0"/>
        <v>0</v>
      </c>
      <c r="G27" s="22"/>
      <c r="H27" s="19">
        <f t="shared" si="1"/>
        <v>0</v>
      </c>
      <c r="I27" s="6"/>
    </row>
    <row r="28" spans="1:9">
      <c r="A28" s="9"/>
      <c r="B28" s="9"/>
      <c r="C28" s="9"/>
      <c r="D28" s="9"/>
      <c r="E28" s="10">
        <f>IFERROR(INDEX('Ingredients &amp; Packaging'!$H:$H, MATCH(1, ('Ingredients &amp; Packaging'!$B:$B=A28)*('Ingredients &amp; Packaging'!$A:$A=B28),0)),0)</f>
        <v>0</v>
      </c>
      <c r="F28" s="19">
        <f t="shared" si="0"/>
        <v>0</v>
      </c>
      <c r="G28" s="22"/>
      <c r="H28" s="19">
        <f t="shared" si="1"/>
        <v>0</v>
      </c>
      <c r="I28" s="6"/>
    </row>
    <row r="29" spans="1:9">
      <c r="A29" s="9"/>
      <c r="B29" s="9"/>
      <c r="C29" s="9"/>
      <c r="D29" s="9"/>
      <c r="E29" s="10">
        <f>IFERROR(INDEX('Ingredients &amp; Packaging'!$H:$H, MATCH(1, ('Ingredients &amp; Packaging'!$B:$B=A29)*('Ingredients &amp; Packaging'!$A:$A=B29),0)),0)</f>
        <v>0</v>
      </c>
      <c r="F29" s="19">
        <f t="shared" si="0"/>
        <v>0</v>
      </c>
      <c r="G29" s="22"/>
      <c r="H29" s="19">
        <f t="shared" si="1"/>
        <v>0</v>
      </c>
      <c r="I29" s="6"/>
    </row>
    <row r="30" spans="1:9">
      <c r="A30" s="9"/>
      <c r="B30" s="9"/>
      <c r="C30" s="9"/>
      <c r="D30" s="9"/>
      <c r="E30" s="10">
        <f>IFERROR(INDEX('Ingredients &amp; Packaging'!$H:$H, MATCH(1, ('Ingredients &amp; Packaging'!$B:$B=A30)*('Ingredients &amp; Packaging'!$A:$A=B30),0)),0)</f>
        <v>0</v>
      </c>
      <c r="F30" s="19">
        <f t="shared" si="0"/>
        <v>0</v>
      </c>
      <c r="G30" s="22"/>
      <c r="H30" s="19">
        <f t="shared" si="1"/>
        <v>0</v>
      </c>
      <c r="I30" s="6"/>
    </row>
    <row r="31" spans="1:9">
      <c r="A31" s="9"/>
      <c r="B31" s="9"/>
      <c r="C31" s="9"/>
      <c r="D31" s="9"/>
      <c r="E31" s="10">
        <f>IFERROR(INDEX('Ingredients &amp; Packaging'!$H:$H, MATCH(1, ('Ingredients &amp; Packaging'!$B:$B=A31)*('Ingredients &amp; Packaging'!$A:$A=B31),0)),0)</f>
        <v>0</v>
      </c>
      <c r="F31" s="19">
        <f t="shared" si="0"/>
        <v>0</v>
      </c>
      <c r="G31" s="22"/>
      <c r="H31" s="19">
        <f t="shared" si="1"/>
        <v>0</v>
      </c>
      <c r="I31" s="6"/>
    </row>
    <row r="32" spans="1:9">
      <c r="A32" s="9"/>
      <c r="B32" s="9"/>
      <c r="C32" s="9"/>
      <c r="D32" s="9"/>
      <c r="E32" s="10">
        <f>IFERROR(INDEX('Ingredients &amp; Packaging'!$H:$H, MATCH(1, ('Ingredients &amp; Packaging'!$B:$B=A32)*('Ingredients &amp; Packaging'!$A:$A=B32),0)),0)</f>
        <v>0</v>
      </c>
      <c r="F32" s="19">
        <f t="shared" si="0"/>
        <v>0</v>
      </c>
      <c r="G32" s="22"/>
      <c r="H32" s="19">
        <f t="shared" si="1"/>
        <v>0</v>
      </c>
      <c r="I32" s="6"/>
    </row>
    <row r="33" spans="1:9">
      <c r="A33" s="9"/>
      <c r="B33" s="9"/>
      <c r="C33" s="9"/>
      <c r="D33" s="9"/>
      <c r="E33" s="10">
        <f>IFERROR(INDEX('Ingredients &amp; Packaging'!$H:$H, MATCH(1, ('Ingredients &amp; Packaging'!$B:$B=A33)*('Ingredients &amp; Packaging'!$A:$A=B33),0)),0)</f>
        <v>0</v>
      </c>
      <c r="F33" s="19">
        <f t="shared" si="0"/>
        <v>0</v>
      </c>
      <c r="G33" s="22"/>
      <c r="H33" s="19">
        <f t="shared" si="1"/>
        <v>0</v>
      </c>
      <c r="I33" s="6"/>
    </row>
    <row r="34" spans="1:9">
      <c r="A34" s="9"/>
      <c r="B34" s="9"/>
      <c r="C34" s="9"/>
      <c r="D34" s="9"/>
      <c r="E34" s="10">
        <f>IFERROR(INDEX('Ingredients &amp; Packaging'!$H:$H, MATCH(1, ('Ingredients &amp; Packaging'!$B:$B=A34)*('Ingredients &amp; Packaging'!$A:$A=B34),0)),0)</f>
        <v>0</v>
      </c>
      <c r="F34" s="19">
        <f t="shared" si="0"/>
        <v>0</v>
      </c>
      <c r="G34" s="22"/>
      <c r="H34" s="19">
        <f t="shared" si="1"/>
        <v>0</v>
      </c>
      <c r="I34" s="6"/>
    </row>
    <row r="35" spans="1:9">
      <c r="A35" s="9"/>
      <c r="B35" s="9"/>
      <c r="C35" s="9"/>
      <c r="D35" s="9"/>
      <c r="E35" s="10">
        <f>IFERROR(INDEX('Ingredients &amp; Packaging'!$H:$H, MATCH(1, ('Ingredients &amp; Packaging'!$B:$B=A35)*('Ingredients &amp; Packaging'!$A:$A=B35),0)),0)</f>
        <v>0</v>
      </c>
      <c r="F35" s="19">
        <f t="shared" si="0"/>
        <v>0</v>
      </c>
      <c r="G35" s="22"/>
      <c r="H35" s="19">
        <f t="shared" si="1"/>
        <v>0</v>
      </c>
      <c r="I35" s="6"/>
    </row>
    <row r="36" spans="1:9">
      <c r="A36" s="9"/>
      <c r="B36" s="9"/>
      <c r="C36" s="9"/>
      <c r="D36" s="9"/>
      <c r="E36" s="10">
        <f>IFERROR(INDEX('Ingredients &amp; Packaging'!$H:$H, MATCH(1, ('Ingredients &amp; Packaging'!$B:$B=A36)*('Ingredients &amp; Packaging'!$A:$A=B36),0)),0)</f>
        <v>0</v>
      </c>
      <c r="F36" s="19">
        <f t="shared" si="0"/>
        <v>0</v>
      </c>
      <c r="G36" s="22"/>
      <c r="H36" s="19">
        <f t="shared" si="1"/>
        <v>0</v>
      </c>
      <c r="I36" s="6"/>
    </row>
    <row r="37" spans="1:9">
      <c r="A37" s="9"/>
      <c r="B37" s="9"/>
      <c r="C37" s="9"/>
      <c r="D37" s="9"/>
      <c r="E37" s="10">
        <f>IFERROR(INDEX('Ingredients &amp; Packaging'!$H:$H, MATCH(1, ('Ingredients &amp; Packaging'!$B:$B=A37)*('Ingredients &amp; Packaging'!$A:$A=B37),0)),0)</f>
        <v>0</v>
      </c>
      <c r="F37" s="19">
        <f t="shared" si="0"/>
        <v>0</v>
      </c>
      <c r="G37" s="22"/>
      <c r="H37" s="19">
        <f t="shared" si="1"/>
        <v>0</v>
      </c>
      <c r="I37" s="6"/>
    </row>
    <row r="38" spans="1:9">
      <c r="A38" s="9"/>
      <c r="B38" s="9"/>
      <c r="C38" s="9"/>
      <c r="D38" s="9"/>
      <c r="E38" s="10">
        <f>IFERROR(INDEX('Ingredients &amp; Packaging'!$H:$H, MATCH(1, ('Ingredients &amp; Packaging'!$B:$B=A38)*('Ingredients &amp; Packaging'!$A:$A=B38),0)),0)</f>
        <v>0</v>
      </c>
      <c r="F38" s="19">
        <f t="shared" si="0"/>
        <v>0</v>
      </c>
      <c r="G38" s="22"/>
      <c r="H38" s="19">
        <f t="shared" si="1"/>
        <v>0</v>
      </c>
      <c r="I38" s="6"/>
    </row>
    <row r="39" spans="1:9">
      <c r="A39" s="9"/>
      <c r="B39" s="9"/>
      <c r="C39" s="9"/>
      <c r="D39" s="9"/>
      <c r="E39" s="10">
        <f>IFERROR(INDEX('Ingredients &amp; Packaging'!$H:$H, MATCH(1, ('Ingredients &amp; Packaging'!$B:$B=A39)*('Ingredients &amp; Packaging'!$A:$A=B39),0)),0)</f>
        <v>0</v>
      </c>
      <c r="F39" s="19">
        <f t="shared" si="0"/>
        <v>0</v>
      </c>
      <c r="G39" s="22"/>
      <c r="H39" s="19">
        <f t="shared" si="1"/>
        <v>0</v>
      </c>
      <c r="I39" s="6"/>
    </row>
    <row r="40" spans="1:9">
      <c r="A40" s="9"/>
      <c r="B40" s="9"/>
      <c r="C40" s="9"/>
      <c r="D40" s="9"/>
      <c r="E40" s="10">
        <f>IFERROR(INDEX('Ingredients &amp; Packaging'!$H:$H, MATCH(1, ('Ingredients &amp; Packaging'!$B:$B=A40)*('Ingredients &amp; Packaging'!$A:$A=B40),0)),0)</f>
        <v>0</v>
      </c>
      <c r="F40" s="19">
        <f t="shared" si="0"/>
        <v>0</v>
      </c>
      <c r="G40" s="22"/>
      <c r="H40" s="19">
        <f t="shared" si="1"/>
        <v>0</v>
      </c>
      <c r="I40" s="6"/>
    </row>
    <row r="41" spans="1:9">
      <c r="A41" s="9"/>
      <c r="B41" s="9"/>
      <c r="C41" s="9"/>
      <c r="D41" s="9"/>
      <c r="E41" s="10">
        <f>IFERROR(INDEX('Ingredients &amp; Packaging'!$H:$H, MATCH(1, ('Ingredients &amp; Packaging'!$B:$B=A41)*('Ingredients &amp; Packaging'!$A:$A=B41),0)),0)</f>
        <v>0</v>
      </c>
      <c r="F41" s="19">
        <f t="shared" si="0"/>
        <v>0</v>
      </c>
      <c r="G41" s="22"/>
      <c r="H41" s="19">
        <f t="shared" si="1"/>
        <v>0</v>
      </c>
      <c r="I41" s="6"/>
    </row>
    <row r="42" spans="1:9">
      <c r="A42" s="9"/>
      <c r="B42" s="9"/>
      <c r="C42" s="9"/>
      <c r="D42" s="9"/>
      <c r="E42" s="10">
        <f>IFERROR(INDEX('Ingredients &amp; Packaging'!$H:$H, MATCH(1, ('Ingredients &amp; Packaging'!$B:$B=A42)*('Ingredients &amp; Packaging'!$A:$A=B42),0)),0)</f>
        <v>0</v>
      </c>
      <c r="F42" s="19">
        <f t="shared" si="0"/>
        <v>0</v>
      </c>
      <c r="G42" s="22"/>
      <c r="H42" s="19">
        <f t="shared" si="1"/>
        <v>0</v>
      </c>
      <c r="I42" s="6"/>
    </row>
    <row r="43" spans="1:9">
      <c r="A43" s="9"/>
      <c r="B43" s="9"/>
      <c r="C43" s="9"/>
      <c r="D43" s="9"/>
      <c r="E43" s="10">
        <f>IFERROR(INDEX('Ingredients &amp; Packaging'!$H:$H, MATCH(1, ('Ingredients &amp; Packaging'!$B:$B=A43)*('Ingredients &amp; Packaging'!$A:$A=B43),0)),0)</f>
        <v>0</v>
      </c>
      <c r="F43" s="19">
        <f t="shared" si="0"/>
        <v>0</v>
      </c>
      <c r="G43" s="22"/>
      <c r="H43" s="19">
        <f t="shared" si="1"/>
        <v>0</v>
      </c>
      <c r="I43" s="6"/>
    </row>
    <row r="44" spans="1:9">
      <c r="A44" s="9"/>
      <c r="B44" s="9"/>
      <c r="C44" s="9"/>
      <c r="D44" s="9"/>
      <c r="E44" s="10">
        <f>IFERROR(INDEX('Ingredients &amp; Packaging'!$H:$H, MATCH(1, ('Ingredients &amp; Packaging'!$B:$B=A44)*('Ingredients &amp; Packaging'!$A:$A=B44),0)),0)</f>
        <v>0</v>
      </c>
      <c r="F44" s="19">
        <f t="shared" si="0"/>
        <v>0</v>
      </c>
      <c r="G44" s="22"/>
      <c r="H44" s="19">
        <f t="shared" si="1"/>
        <v>0</v>
      </c>
      <c r="I44" s="6"/>
    </row>
    <row r="45" spans="1:9">
      <c r="A45" s="9"/>
      <c r="B45" s="9"/>
      <c r="C45" s="9"/>
      <c r="D45" s="9"/>
      <c r="E45" s="10">
        <f>IFERROR(INDEX('Ingredients &amp; Packaging'!$H:$H, MATCH(1, ('Ingredients &amp; Packaging'!$B:$B=A45)*('Ingredients &amp; Packaging'!$A:$A=B45),0)),0)</f>
        <v>0</v>
      </c>
      <c r="F45" s="19">
        <f t="shared" si="0"/>
        <v>0</v>
      </c>
      <c r="G45" s="22"/>
      <c r="H45" s="19">
        <f t="shared" si="1"/>
        <v>0</v>
      </c>
      <c r="I45" s="6"/>
    </row>
    <row r="46" spans="1:9">
      <c r="A46" s="9"/>
      <c r="B46" s="9"/>
      <c r="C46" s="9"/>
      <c r="D46" s="9"/>
      <c r="E46" s="10">
        <f>IFERROR(INDEX('Ingredients &amp; Packaging'!$H:$H, MATCH(1, ('Ingredients &amp; Packaging'!$B:$B=A46)*('Ingredients &amp; Packaging'!$A:$A=B46),0)),0)</f>
        <v>0</v>
      </c>
      <c r="F46" s="19">
        <f t="shared" si="0"/>
        <v>0</v>
      </c>
      <c r="G46" s="22"/>
      <c r="H46" s="19">
        <f t="shared" si="1"/>
        <v>0</v>
      </c>
      <c r="I46" s="6"/>
    </row>
    <row r="47" spans="1:9">
      <c r="A47" s="9"/>
      <c r="B47" s="9"/>
      <c r="C47" s="9"/>
      <c r="D47" s="9"/>
      <c r="E47" s="10">
        <f>IFERROR(INDEX('Ingredients &amp; Packaging'!$H:$H, MATCH(1, ('Ingredients &amp; Packaging'!$B:$B=A47)*('Ingredients &amp; Packaging'!$A:$A=B47),0)),0)</f>
        <v>0</v>
      </c>
      <c r="F47" s="19">
        <f t="shared" si="0"/>
        <v>0</v>
      </c>
      <c r="G47" s="22"/>
      <c r="H47" s="19">
        <f t="shared" si="1"/>
        <v>0</v>
      </c>
      <c r="I47" s="6"/>
    </row>
    <row r="48" spans="1:9">
      <c r="A48" s="9"/>
      <c r="B48" s="9"/>
      <c r="C48" s="9"/>
      <c r="D48" s="9"/>
      <c r="E48" s="10">
        <f>IFERROR(INDEX('Ingredients &amp; Packaging'!$H:$H, MATCH(1, ('Ingredients &amp; Packaging'!$B:$B=A48)*('Ingredients &amp; Packaging'!$A:$A=B48),0)),0)</f>
        <v>0</v>
      </c>
      <c r="F48" s="19">
        <f t="shared" si="0"/>
        <v>0</v>
      </c>
      <c r="G48" s="22"/>
      <c r="H48" s="19">
        <f t="shared" si="1"/>
        <v>0</v>
      </c>
      <c r="I48" s="6"/>
    </row>
    <row r="49" spans="1:9">
      <c r="A49" s="9"/>
      <c r="B49" s="9"/>
      <c r="C49" s="9"/>
      <c r="D49" s="9"/>
      <c r="E49" s="10">
        <f>IFERROR(INDEX('Ingredients &amp; Packaging'!$H:$H, MATCH(1, ('Ingredients &amp; Packaging'!$B:$B=A49)*('Ingredients &amp; Packaging'!$A:$A=B49),0)),0)</f>
        <v>0</v>
      </c>
      <c r="F49" s="19">
        <f t="shared" si="0"/>
        <v>0</v>
      </c>
      <c r="G49" s="22"/>
      <c r="H49" s="19">
        <f t="shared" si="1"/>
        <v>0</v>
      </c>
      <c r="I49" s="6"/>
    </row>
    <row r="50" spans="1:9">
      <c r="A50" s="9"/>
      <c r="B50" s="9"/>
      <c r="C50" s="9"/>
      <c r="D50" s="9"/>
      <c r="E50" s="10">
        <f>IFERROR(INDEX('Ingredients &amp; Packaging'!$H:$H, MATCH(1, ('Ingredients &amp; Packaging'!$B:$B=A50)*('Ingredients &amp; Packaging'!$A:$A=B50),0)),0)</f>
        <v>0</v>
      </c>
      <c r="F50" s="19">
        <f t="shared" si="0"/>
        <v>0</v>
      </c>
      <c r="G50" s="22"/>
      <c r="H50" s="19">
        <f t="shared" si="1"/>
        <v>0</v>
      </c>
      <c r="I50" s="6"/>
    </row>
    <row r="51" spans="1:9">
      <c r="A51" s="9"/>
      <c r="B51" s="9"/>
      <c r="C51" s="9"/>
      <c r="D51" s="9"/>
      <c r="E51" s="10">
        <f>IFERROR(INDEX('Ingredients &amp; Packaging'!$H:$H, MATCH(1, ('Ingredients &amp; Packaging'!$B:$B=A51)*('Ingredients &amp; Packaging'!$A:$A=B51),0)),0)</f>
        <v>0</v>
      </c>
      <c r="F51" s="19">
        <f t="shared" si="0"/>
        <v>0</v>
      </c>
      <c r="G51" s="22"/>
      <c r="H51" s="19">
        <f t="shared" si="1"/>
        <v>0</v>
      </c>
      <c r="I51" s="6"/>
    </row>
    <row r="52" spans="1:9">
      <c r="A52" s="9"/>
      <c r="B52" s="9"/>
      <c r="C52" s="9"/>
      <c r="D52" s="9"/>
      <c r="E52" s="10">
        <f>IFERROR(INDEX('Ingredients &amp; Packaging'!$H:$H, MATCH(1, ('Ingredients &amp; Packaging'!$B:$B=A52)*('Ingredients &amp; Packaging'!$A:$A=B52),0)),0)</f>
        <v>0</v>
      </c>
      <c r="F52" s="19">
        <f t="shared" si="0"/>
        <v>0</v>
      </c>
      <c r="G52" s="22"/>
      <c r="H52" s="19">
        <f t="shared" si="1"/>
        <v>0</v>
      </c>
      <c r="I52" s="6"/>
    </row>
    <row r="53" spans="1:9">
      <c r="A53" s="9"/>
      <c r="B53" s="9"/>
      <c r="C53" s="9"/>
      <c r="D53" s="9"/>
      <c r="E53" s="10">
        <f>IFERROR(INDEX('Ingredients &amp; Packaging'!$H:$H, MATCH(1, ('Ingredients &amp; Packaging'!$B:$B=A53)*('Ingredients &amp; Packaging'!$A:$A=B53),0)),0)</f>
        <v>0</v>
      </c>
      <c r="F53" s="19">
        <f t="shared" si="0"/>
        <v>0</v>
      </c>
      <c r="G53" s="22"/>
      <c r="H53" s="19">
        <f t="shared" si="1"/>
        <v>0</v>
      </c>
      <c r="I53" s="6"/>
    </row>
    <row r="54" spans="1:9">
      <c r="A54" s="9"/>
      <c r="B54" s="9"/>
      <c r="C54" s="9"/>
      <c r="D54" s="9"/>
      <c r="E54" s="10">
        <f>IFERROR(INDEX('Ingredients &amp; Packaging'!$H:$H, MATCH(1, ('Ingredients &amp; Packaging'!$B:$B=A54)*('Ingredients &amp; Packaging'!$A:$A=B54),0)),0)</f>
        <v>0</v>
      </c>
      <c r="F54" s="19">
        <f t="shared" si="0"/>
        <v>0</v>
      </c>
      <c r="G54" s="22"/>
      <c r="H54" s="19">
        <f t="shared" si="1"/>
        <v>0</v>
      </c>
      <c r="I54" s="6"/>
    </row>
    <row r="55" spans="1:9">
      <c r="A55" s="9"/>
      <c r="B55" s="9"/>
      <c r="C55" s="9"/>
      <c r="D55" s="9"/>
      <c r="E55" s="10">
        <f>IFERROR(INDEX('Ingredients &amp; Packaging'!$H:$H, MATCH(1, ('Ingredients &amp; Packaging'!$B:$B=A55)*('Ingredients &amp; Packaging'!$A:$A=B55),0)),0)</f>
        <v>0</v>
      </c>
      <c r="F55" s="19">
        <f t="shared" si="0"/>
        <v>0</v>
      </c>
      <c r="G55" s="22"/>
      <c r="H55" s="19">
        <f t="shared" si="1"/>
        <v>0</v>
      </c>
      <c r="I55" s="6"/>
    </row>
    <row r="56" spans="1:9">
      <c r="A56" s="9"/>
      <c r="B56" s="9"/>
      <c r="C56" s="9"/>
      <c r="D56" s="9"/>
      <c r="E56" s="10">
        <f>IFERROR(INDEX('Ingredients &amp; Packaging'!$H:$H, MATCH(1, ('Ingredients &amp; Packaging'!$B:$B=A56)*('Ingredients &amp; Packaging'!$A:$A=B56),0)),0)</f>
        <v>0</v>
      </c>
      <c r="F56" s="19">
        <f t="shared" si="0"/>
        <v>0</v>
      </c>
      <c r="G56" s="22"/>
      <c r="H56" s="19">
        <f t="shared" si="1"/>
        <v>0</v>
      </c>
      <c r="I56" s="6"/>
    </row>
    <row r="58" spans="1:9">
      <c r="A58" s="38" t="s">
        <v>119</v>
      </c>
      <c r="B58" s="45"/>
      <c r="C58" s="45"/>
      <c r="D58" s="39"/>
    </row>
    <row r="59" spans="1:9">
      <c r="A59" s="21" t="s">
        <v>120</v>
      </c>
      <c r="B59" s="23">
        <f>SUM(H17:H56)</f>
        <v>0</v>
      </c>
    </row>
    <row r="60" spans="1:9">
      <c r="A60" s="21" t="s">
        <v>121</v>
      </c>
      <c r="B60" s="23">
        <f>IFERROR(B59/ B8,0)</f>
        <v>0</v>
      </c>
    </row>
    <row r="61" spans="1:9">
      <c r="A61" s="21" t="s">
        <v>122</v>
      </c>
      <c r="B61" s="23" t="e">
        <f>VLOOKUP("HC",'Products Index'!$A:$F,6,FALSE)</f>
        <v>#N/A</v>
      </c>
    </row>
    <row r="62" spans="1:9">
      <c r="A62" s="21" t="s">
        <v>67</v>
      </c>
      <c r="B62" s="23" t="e">
        <f>VLOOKUP("HC",'Products Index'!$A:$G,7,FALSE)</f>
        <v>#N/A</v>
      </c>
    </row>
    <row r="63" spans="1:9">
      <c r="A63" s="21" t="s">
        <v>123</v>
      </c>
      <c r="B63" s="24">
        <f>IFERROR((B61-B60)/B61,0)</f>
        <v>0</v>
      </c>
    </row>
    <row r="64" spans="1:9">
      <c r="A64" s="21" t="s">
        <v>124</v>
      </c>
      <c r="B64" s="24">
        <f>IFERROR((B62-B60)/B62,0)</f>
        <v>0</v>
      </c>
    </row>
  </sheetData>
  <mergeCells count="9">
    <mergeCell ref="E4:I4"/>
    <mergeCell ref="A58:D58"/>
    <mergeCell ref="F9:I9"/>
    <mergeCell ref="F7:I7"/>
    <mergeCell ref="F8:I8"/>
    <mergeCell ref="A4:D4"/>
    <mergeCell ref="A15:G15"/>
    <mergeCell ref="F5:I5"/>
    <mergeCell ref="F6:I6"/>
  </mergeCells>
  <dataValidations count="2">
    <dataValidation type="list" allowBlank="1" sqref="B17 B18 B19 B20 B21 B22 B23 B24 B25 B26 B27 B28 B29 B30 B31 B32 B33 B34 B35 B36 B37 B38 B39 B40 B41 B42 B43 B44 B45 B46 B47 B48 B49 B50 B51 B52 B53 B54 B55 B56">
      <formula1>"Ingredient,Packaging,Label,Overhead"</formula1>
    </dataValidation>
    <dataValidation type="list" allowBlank="1" sqref="D17 D18 D19 D20 D21 D22 D23 D24 D25 D26 D27 D28 D29 D30 D31 D32 D33 D34 D35 D36 D37 D38 D39 D40 D41 D42 D43 D44 D45 D46 D47 D48 D49 D50 D51 D52 D53 D54 D55 D56">
      <formula1>"g,kg,ml,l,each"</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64"/>
  <sheetViews>
    <sheetView showGridLines="0" workbookViewId="0"/>
  </sheetViews>
  <sheetFormatPr defaultRowHeight="14.5"/>
  <cols>
    <col min="1" max="1" width="26" customWidth="1"/>
    <col min="2" max="2" width="12" customWidth="1"/>
    <col min="3" max="3" width="10" customWidth="1"/>
    <col min="4" max="4" width="8" customWidth="1"/>
    <col min="5" max="6" width="14" customWidth="1"/>
    <col min="7" max="7" width="10" customWidth="1"/>
    <col min="8" max="8" width="14" customWidth="1"/>
    <col min="9" max="9" width="22" customWidth="1"/>
  </cols>
  <sheetData>
    <row r="1" spans="1:9" ht="20">
      <c r="A1" s="1" t="s">
        <v>181</v>
      </c>
    </row>
    <row r="2" spans="1:9">
      <c r="A2" s="2" t="s">
        <v>182</v>
      </c>
    </row>
    <row r="4" spans="1:9">
      <c r="A4" s="38" t="s">
        <v>83</v>
      </c>
      <c r="B4" s="45"/>
      <c r="C4" s="45"/>
      <c r="D4" s="39"/>
      <c r="E4" s="38" t="s">
        <v>84</v>
      </c>
      <c r="F4" s="45"/>
      <c r="G4" s="45"/>
      <c r="H4" s="45"/>
      <c r="I4" s="39"/>
    </row>
    <row r="5" spans="1:9">
      <c r="A5" s="21" t="s">
        <v>85</v>
      </c>
      <c r="B5" s="7">
        <v>190</v>
      </c>
      <c r="E5" s="21" t="s">
        <v>86</v>
      </c>
      <c r="F5" s="46" t="s">
        <v>183</v>
      </c>
      <c r="G5" s="45"/>
      <c r="H5" s="45"/>
      <c r="I5" s="39"/>
    </row>
    <row r="6" spans="1:9">
      <c r="A6" s="21" t="s">
        <v>88</v>
      </c>
      <c r="B6" s="7">
        <v>2200</v>
      </c>
      <c r="E6" s="21" t="s">
        <v>89</v>
      </c>
      <c r="F6" s="46" t="s">
        <v>90</v>
      </c>
      <c r="G6" s="45"/>
      <c r="H6" s="45"/>
      <c r="I6" s="39"/>
    </row>
    <row r="7" spans="1:9">
      <c r="A7" s="21" t="s">
        <v>91</v>
      </c>
      <c r="B7" s="7">
        <v>2200</v>
      </c>
      <c r="E7" s="21" t="s">
        <v>92</v>
      </c>
      <c r="F7" s="46" t="s">
        <v>184</v>
      </c>
      <c r="G7" s="45"/>
      <c r="H7" s="45"/>
      <c r="I7" s="39"/>
    </row>
    <row r="8" spans="1:9">
      <c r="A8" s="21" t="s">
        <v>94</v>
      </c>
      <c r="B8" s="29">
        <f>IFERROR(B7/B5,0)</f>
        <v>11.578947368421053</v>
      </c>
      <c r="E8" s="21" t="s">
        <v>95</v>
      </c>
      <c r="F8" s="46" t="s">
        <v>185</v>
      </c>
      <c r="G8" s="45"/>
      <c r="H8" s="45"/>
      <c r="I8" s="39"/>
    </row>
    <row r="9" spans="1:9">
      <c r="A9" s="21" t="s">
        <v>97</v>
      </c>
      <c r="B9" s="9"/>
      <c r="E9" s="21" t="s">
        <v>98</v>
      </c>
      <c r="F9" s="46" t="s">
        <v>186</v>
      </c>
      <c r="G9" s="45"/>
      <c r="H9" s="45"/>
      <c r="I9" s="39"/>
    </row>
    <row r="10" spans="1:9">
      <c r="A10" s="21" t="s">
        <v>100</v>
      </c>
      <c r="B10" s="9"/>
    </row>
    <row r="11" spans="1:9">
      <c r="A11" s="21" t="s">
        <v>101</v>
      </c>
      <c r="B11" s="9"/>
    </row>
    <row r="12" spans="1:9">
      <c r="A12" s="21" t="s">
        <v>102</v>
      </c>
      <c r="B12" s="7">
        <v>190</v>
      </c>
    </row>
    <row r="13" spans="1:9">
      <c r="A13" s="21" t="s">
        <v>28</v>
      </c>
      <c r="B13" s="9"/>
    </row>
    <row r="15" spans="1:9">
      <c r="A15" s="38" t="s">
        <v>103</v>
      </c>
      <c r="B15" s="45"/>
      <c r="C15" s="45"/>
      <c r="D15" s="45"/>
      <c r="E15" s="45"/>
      <c r="F15" s="45"/>
      <c r="G15" s="39"/>
    </row>
    <row r="16" spans="1:9" ht="29">
      <c r="A16" s="14" t="s">
        <v>104</v>
      </c>
      <c r="B16" s="14" t="s">
        <v>17</v>
      </c>
      <c r="C16" s="14" t="s">
        <v>105</v>
      </c>
      <c r="D16" s="14" t="s">
        <v>22</v>
      </c>
      <c r="E16" s="14" t="s">
        <v>106</v>
      </c>
      <c r="F16" s="14" t="s">
        <v>107</v>
      </c>
      <c r="G16" s="14" t="s">
        <v>108</v>
      </c>
      <c r="H16" s="14" t="s">
        <v>109</v>
      </c>
      <c r="I16" s="14" t="s">
        <v>110</v>
      </c>
    </row>
    <row r="17" spans="1:9">
      <c r="A17" s="9" t="s">
        <v>187</v>
      </c>
      <c r="B17" s="9"/>
      <c r="C17" s="9"/>
      <c r="D17" s="9"/>
      <c r="E17" s="10">
        <f>IFERROR(INDEX('Ingredients &amp; Packaging'!$H:$H, MATCH(1, ('Ingredients &amp; Packaging'!$B:$B=A17)*('Ingredients &amp; Packaging'!$A:$A=B17),0)),0)</f>
        <v>0</v>
      </c>
      <c r="F17" s="19">
        <f t="shared" ref="F17:F56" si="0">IFERROR(C17*E17,0)</f>
        <v>0</v>
      </c>
      <c r="G17" s="22"/>
      <c r="H17" s="19">
        <f t="shared" ref="H17:H56" si="1">IFERROR(F17*(1+G17),0)</f>
        <v>0</v>
      </c>
      <c r="I17" s="6"/>
    </row>
    <row r="18" spans="1:9">
      <c r="A18" s="9" t="s">
        <v>146</v>
      </c>
      <c r="B18" s="9"/>
      <c r="C18" s="9"/>
      <c r="D18" s="9"/>
      <c r="E18" s="10">
        <f>IFERROR(INDEX('Ingredients &amp; Packaging'!$H:$H, MATCH(1, ('Ingredients &amp; Packaging'!$B:$B=A18)*('Ingredients &amp; Packaging'!$A:$A=B18),0)),0)</f>
        <v>0</v>
      </c>
      <c r="F18" s="19">
        <f t="shared" si="0"/>
        <v>0</v>
      </c>
      <c r="G18" s="22"/>
      <c r="H18" s="19">
        <f t="shared" si="1"/>
        <v>0</v>
      </c>
      <c r="I18" s="6"/>
    </row>
    <row r="19" spans="1:9">
      <c r="A19" s="9" t="s">
        <v>188</v>
      </c>
      <c r="B19" s="9"/>
      <c r="C19" s="9"/>
      <c r="D19" s="9"/>
      <c r="E19" s="10">
        <f>IFERROR(INDEX('Ingredients &amp; Packaging'!$H:$H, MATCH(1, ('Ingredients &amp; Packaging'!$B:$B=A19)*('Ingredients &amp; Packaging'!$A:$A=B19),0)),0)</f>
        <v>0</v>
      </c>
      <c r="F19" s="19">
        <f t="shared" si="0"/>
        <v>0</v>
      </c>
      <c r="G19" s="22"/>
      <c r="H19" s="19">
        <f t="shared" si="1"/>
        <v>0</v>
      </c>
      <c r="I19" s="6"/>
    </row>
    <row r="20" spans="1:9">
      <c r="A20" s="9" t="s">
        <v>189</v>
      </c>
      <c r="B20" s="9"/>
      <c r="C20" s="9"/>
      <c r="D20" s="9"/>
      <c r="E20" s="10">
        <f>IFERROR(INDEX('Ingredients &amp; Packaging'!$H:$H, MATCH(1, ('Ingredients &amp; Packaging'!$B:$B=A20)*('Ingredients &amp; Packaging'!$A:$A=B20),0)),0)</f>
        <v>0</v>
      </c>
      <c r="F20" s="19">
        <f t="shared" si="0"/>
        <v>0</v>
      </c>
      <c r="G20" s="22"/>
      <c r="H20" s="19">
        <f t="shared" si="1"/>
        <v>0</v>
      </c>
      <c r="I20" s="6"/>
    </row>
    <row r="21" spans="1:9">
      <c r="A21" s="9" t="s">
        <v>190</v>
      </c>
      <c r="B21" s="9"/>
      <c r="C21" s="9"/>
      <c r="D21" s="9"/>
      <c r="E21" s="10">
        <f>IFERROR(INDEX('Ingredients &amp; Packaging'!$H:$H, MATCH(1, ('Ingredients &amp; Packaging'!$B:$B=A21)*('Ingredients &amp; Packaging'!$A:$A=B21),0)),0)</f>
        <v>0</v>
      </c>
      <c r="F21" s="19">
        <f t="shared" si="0"/>
        <v>0</v>
      </c>
      <c r="G21" s="22"/>
      <c r="H21" s="19">
        <f t="shared" si="1"/>
        <v>0</v>
      </c>
      <c r="I21" s="6"/>
    </row>
    <row r="22" spans="1:9">
      <c r="A22" s="9" t="s">
        <v>135</v>
      </c>
      <c r="B22" s="9"/>
      <c r="C22" s="9"/>
      <c r="D22" s="9"/>
      <c r="E22" s="10">
        <f>IFERROR(INDEX('Ingredients &amp; Packaging'!$H:$H, MATCH(1, ('Ingredients &amp; Packaging'!$B:$B=A22)*('Ingredients &amp; Packaging'!$A:$A=B22),0)),0)</f>
        <v>0</v>
      </c>
      <c r="F22" s="19">
        <f t="shared" si="0"/>
        <v>0</v>
      </c>
      <c r="G22" s="22"/>
      <c r="H22" s="19">
        <f t="shared" si="1"/>
        <v>0</v>
      </c>
      <c r="I22" s="6"/>
    </row>
    <row r="23" spans="1:9">
      <c r="A23" s="9"/>
      <c r="B23" s="9"/>
      <c r="C23" s="9"/>
      <c r="D23" s="9"/>
      <c r="E23" s="10">
        <f>IFERROR(INDEX('Ingredients &amp; Packaging'!$H:$H, MATCH(1, ('Ingredients &amp; Packaging'!$B:$B=A23)*('Ingredients &amp; Packaging'!$A:$A=B23),0)),0)</f>
        <v>0</v>
      </c>
      <c r="F23" s="19">
        <f t="shared" si="0"/>
        <v>0</v>
      </c>
      <c r="G23" s="22"/>
      <c r="H23" s="19">
        <f t="shared" si="1"/>
        <v>0</v>
      </c>
      <c r="I23" s="6"/>
    </row>
    <row r="24" spans="1:9">
      <c r="A24" s="9"/>
      <c r="B24" s="9"/>
      <c r="C24" s="9"/>
      <c r="D24" s="9"/>
      <c r="E24" s="10">
        <f>IFERROR(INDEX('Ingredients &amp; Packaging'!$H:$H, MATCH(1, ('Ingredients &amp; Packaging'!$B:$B=A24)*('Ingredients &amp; Packaging'!$A:$A=B24),0)),0)</f>
        <v>0</v>
      </c>
      <c r="F24" s="19">
        <f t="shared" si="0"/>
        <v>0</v>
      </c>
      <c r="G24" s="22"/>
      <c r="H24" s="19">
        <f t="shared" si="1"/>
        <v>0</v>
      </c>
      <c r="I24" s="6"/>
    </row>
    <row r="25" spans="1:9">
      <c r="A25" s="9"/>
      <c r="B25" s="9"/>
      <c r="C25" s="9"/>
      <c r="D25" s="9"/>
      <c r="E25" s="10">
        <f>IFERROR(INDEX('Ingredients &amp; Packaging'!$H:$H, MATCH(1, ('Ingredients &amp; Packaging'!$B:$B=A25)*('Ingredients &amp; Packaging'!$A:$A=B25),0)),0)</f>
        <v>0</v>
      </c>
      <c r="F25" s="19">
        <f t="shared" si="0"/>
        <v>0</v>
      </c>
      <c r="G25" s="22"/>
      <c r="H25" s="19">
        <f t="shared" si="1"/>
        <v>0</v>
      </c>
      <c r="I25" s="6"/>
    </row>
    <row r="26" spans="1:9">
      <c r="A26" s="9"/>
      <c r="B26" s="9"/>
      <c r="C26" s="9"/>
      <c r="D26" s="9"/>
      <c r="E26" s="10">
        <f>IFERROR(INDEX('Ingredients &amp; Packaging'!$H:$H, MATCH(1, ('Ingredients &amp; Packaging'!$B:$B=A26)*('Ingredients &amp; Packaging'!$A:$A=B26),0)),0)</f>
        <v>0</v>
      </c>
      <c r="F26" s="19">
        <f t="shared" si="0"/>
        <v>0</v>
      </c>
      <c r="G26" s="22"/>
      <c r="H26" s="19">
        <f t="shared" si="1"/>
        <v>0</v>
      </c>
      <c r="I26" s="6"/>
    </row>
    <row r="27" spans="1:9">
      <c r="A27" s="9"/>
      <c r="B27" s="9"/>
      <c r="C27" s="9"/>
      <c r="D27" s="9"/>
      <c r="E27" s="10">
        <f>IFERROR(INDEX('Ingredients &amp; Packaging'!$H:$H, MATCH(1, ('Ingredients &amp; Packaging'!$B:$B=A27)*('Ingredients &amp; Packaging'!$A:$A=B27),0)),0)</f>
        <v>0</v>
      </c>
      <c r="F27" s="19">
        <f t="shared" si="0"/>
        <v>0</v>
      </c>
      <c r="G27" s="22"/>
      <c r="H27" s="19">
        <f t="shared" si="1"/>
        <v>0</v>
      </c>
      <c r="I27" s="6"/>
    </row>
    <row r="28" spans="1:9">
      <c r="A28" s="9"/>
      <c r="B28" s="9"/>
      <c r="C28" s="9"/>
      <c r="D28" s="9"/>
      <c r="E28" s="10">
        <f>IFERROR(INDEX('Ingredients &amp; Packaging'!$H:$H, MATCH(1, ('Ingredients &amp; Packaging'!$B:$B=A28)*('Ingredients &amp; Packaging'!$A:$A=B28),0)),0)</f>
        <v>0</v>
      </c>
      <c r="F28" s="19">
        <f t="shared" si="0"/>
        <v>0</v>
      </c>
      <c r="G28" s="22"/>
      <c r="H28" s="19">
        <f t="shared" si="1"/>
        <v>0</v>
      </c>
      <c r="I28" s="6"/>
    </row>
    <row r="29" spans="1:9">
      <c r="A29" s="9"/>
      <c r="B29" s="9"/>
      <c r="C29" s="9"/>
      <c r="D29" s="9"/>
      <c r="E29" s="10">
        <f>IFERROR(INDEX('Ingredients &amp; Packaging'!$H:$H, MATCH(1, ('Ingredients &amp; Packaging'!$B:$B=A29)*('Ingredients &amp; Packaging'!$A:$A=B29),0)),0)</f>
        <v>0</v>
      </c>
      <c r="F29" s="19">
        <f t="shared" si="0"/>
        <v>0</v>
      </c>
      <c r="G29" s="22"/>
      <c r="H29" s="19">
        <f t="shared" si="1"/>
        <v>0</v>
      </c>
      <c r="I29" s="6"/>
    </row>
    <row r="30" spans="1:9">
      <c r="A30" s="9"/>
      <c r="B30" s="9"/>
      <c r="C30" s="9"/>
      <c r="D30" s="9"/>
      <c r="E30" s="10">
        <f>IFERROR(INDEX('Ingredients &amp; Packaging'!$H:$H, MATCH(1, ('Ingredients &amp; Packaging'!$B:$B=A30)*('Ingredients &amp; Packaging'!$A:$A=B30),0)),0)</f>
        <v>0</v>
      </c>
      <c r="F30" s="19">
        <f t="shared" si="0"/>
        <v>0</v>
      </c>
      <c r="G30" s="22"/>
      <c r="H30" s="19">
        <f t="shared" si="1"/>
        <v>0</v>
      </c>
      <c r="I30" s="6"/>
    </row>
    <row r="31" spans="1:9">
      <c r="A31" s="9"/>
      <c r="B31" s="9"/>
      <c r="C31" s="9"/>
      <c r="D31" s="9"/>
      <c r="E31" s="10">
        <f>IFERROR(INDEX('Ingredients &amp; Packaging'!$H:$H, MATCH(1, ('Ingredients &amp; Packaging'!$B:$B=A31)*('Ingredients &amp; Packaging'!$A:$A=B31),0)),0)</f>
        <v>0</v>
      </c>
      <c r="F31" s="19">
        <f t="shared" si="0"/>
        <v>0</v>
      </c>
      <c r="G31" s="22"/>
      <c r="H31" s="19">
        <f t="shared" si="1"/>
        <v>0</v>
      </c>
      <c r="I31" s="6"/>
    </row>
    <row r="32" spans="1:9">
      <c r="A32" s="9"/>
      <c r="B32" s="9"/>
      <c r="C32" s="9"/>
      <c r="D32" s="9"/>
      <c r="E32" s="10">
        <f>IFERROR(INDEX('Ingredients &amp; Packaging'!$H:$H, MATCH(1, ('Ingredients &amp; Packaging'!$B:$B=A32)*('Ingredients &amp; Packaging'!$A:$A=B32),0)),0)</f>
        <v>0</v>
      </c>
      <c r="F32" s="19">
        <f t="shared" si="0"/>
        <v>0</v>
      </c>
      <c r="G32" s="22"/>
      <c r="H32" s="19">
        <f t="shared" si="1"/>
        <v>0</v>
      </c>
      <c r="I32" s="6"/>
    </row>
    <row r="33" spans="1:9">
      <c r="A33" s="9"/>
      <c r="B33" s="9"/>
      <c r="C33" s="9"/>
      <c r="D33" s="9"/>
      <c r="E33" s="10">
        <f>IFERROR(INDEX('Ingredients &amp; Packaging'!$H:$H, MATCH(1, ('Ingredients &amp; Packaging'!$B:$B=A33)*('Ingredients &amp; Packaging'!$A:$A=B33),0)),0)</f>
        <v>0</v>
      </c>
      <c r="F33" s="19">
        <f t="shared" si="0"/>
        <v>0</v>
      </c>
      <c r="G33" s="22"/>
      <c r="H33" s="19">
        <f t="shared" si="1"/>
        <v>0</v>
      </c>
      <c r="I33" s="6"/>
    </row>
    <row r="34" spans="1:9">
      <c r="A34" s="9"/>
      <c r="B34" s="9"/>
      <c r="C34" s="9"/>
      <c r="D34" s="9"/>
      <c r="E34" s="10">
        <f>IFERROR(INDEX('Ingredients &amp; Packaging'!$H:$H, MATCH(1, ('Ingredients &amp; Packaging'!$B:$B=A34)*('Ingredients &amp; Packaging'!$A:$A=B34),0)),0)</f>
        <v>0</v>
      </c>
      <c r="F34" s="19">
        <f t="shared" si="0"/>
        <v>0</v>
      </c>
      <c r="G34" s="22"/>
      <c r="H34" s="19">
        <f t="shared" si="1"/>
        <v>0</v>
      </c>
      <c r="I34" s="6"/>
    </row>
    <row r="35" spans="1:9">
      <c r="A35" s="9"/>
      <c r="B35" s="9"/>
      <c r="C35" s="9"/>
      <c r="D35" s="9"/>
      <c r="E35" s="10">
        <f>IFERROR(INDEX('Ingredients &amp; Packaging'!$H:$H, MATCH(1, ('Ingredients &amp; Packaging'!$B:$B=A35)*('Ingredients &amp; Packaging'!$A:$A=B35),0)),0)</f>
        <v>0</v>
      </c>
      <c r="F35" s="19">
        <f t="shared" si="0"/>
        <v>0</v>
      </c>
      <c r="G35" s="22"/>
      <c r="H35" s="19">
        <f t="shared" si="1"/>
        <v>0</v>
      </c>
      <c r="I35" s="6"/>
    </row>
    <row r="36" spans="1:9">
      <c r="A36" s="9"/>
      <c r="B36" s="9"/>
      <c r="C36" s="9"/>
      <c r="D36" s="9"/>
      <c r="E36" s="10">
        <f>IFERROR(INDEX('Ingredients &amp; Packaging'!$H:$H, MATCH(1, ('Ingredients &amp; Packaging'!$B:$B=A36)*('Ingredients &amp; Packaging'!$A:$A=B36),0)),0)</f>
        <v>0</v>
      </c>
      <c r="F36" s="19">
        <f t="shared" si="0"/>
        <v>0</v>
      </c>
      <c r="G36" s="22"/>
      <c r="H36" s="19">
        <f t="shared" si="1"/>
        <v>0</v>
      </c>
      <c r="I36" s="6"/>
    </row>
    <row r="37" spans="1:9">
      <c r="A37" s="9"/>
      <c r="B37" s="9"/>
      <c r="C37" s="9"/>
      <c r="D37" s="9"/>
      <c r="E37" s="10">
        <f>IFERROR(INDEX('Ingredients &amp; Packaging'!$H:$H, MATCH(1, ('Ingredients &amp; Packaging'!$B:$B=A37)*('Ingredients &amp; Packaging'!$A:$A=B37),0)),0)</f>
        <v>0</v>
      </c>
      <c r="F37" s="19">
        <f t="shared" si="0"/>
        <v>0</v>
      </c>
      <c r="G37" s="22"/>
      <c r="H37" s="19">
        <f t="shared" si="1"/>
        <v>0</v>
      </c>
      <c r="I37" s="6"/>
    </row>
    <row r="38" spans="1:9">
      <c r="A38" s="9"/>
      <c r="B38" s="9"/>
      <c r="C38" s="9"/>
      <c r="D38" s="9"/>
      <c r="E38" s="10">
        <f>IFERROR(INDEX('Ingredients &amp; Packaging'!$H:$H, MATCH(1, ('Ingredients &amp; Packaging'!$B:$B=A38)*('Ingredients &amp; Packaging'!$A:$A=B38),0)),0)</f>
        <v>0</v>
      </c>
      <c r="F38" s="19">
        <f t="shared" si="0"/>
        <v>0</v>
      </c>
      <c r="G38" s="22"/>
      <c r="H38" s="19">
        <f t="shared" si="1"/>
        <v>0</v>
      </c>
      <c r="I38" s="6"/>
    </row>
    <row r="39" spans="1:9">
      <c r="A39" s="9"/>
      <c r="B39" s="9"/>
      <c r="C39" s="9"/>
      <c r="D39" s="9"/>
      <c r="E39" s="10">
        <f>IFERROR(INDEX('Ingredients &amp; Packaging'!$H:$H, MATCH(1, ('Ingredients &amp; Packaging'!$B:$B=A39)*('Ingredients &amp; Packaging'!$A:$A=B39),0)),0)</f>
        <v>0</v>
      </c>
      <c r="F39" s="19">
        <f t="shared" si="0"/>
        <v>0</v>
      </c>
      <c r="G39" s="22"/>
      <c r="H39" s="19">
        <f t="shared" si="1"/>
        <v>0</v>
      </c>
      <c r="I39" s="6"/>
    </row>
    <row r="40" spans="1:9">
      <c r="A40" s="9"/>
      <c r="B40" s="9"/>
      <c r="C40" s="9"/>
      <c r="D40" s="9"/>
      <c r="E40" s="10">
        <f>IFERROR(INDEX('Ingredients &amp; Packaging'!$H:$H, MATCH(1, ('Ingredients &amp; Packaging'!$B:$B=A40)*('Ingredients &amp; Packaging'!$A:$A=B40),0)),0)</f>
        <v>0</v>
      </c>
      <c r="F40" s="19">
        <f t="shared" si="0"/>
        <v>0</v>
      </c>
      <c r="G40" s="22"/>
      <c r="H40" s="19">
        <f t="shared" si="1"/>
        <v>0</v>
      </c>
      <c r="I40" s="6"/>
    </row>
    <row r="41" spans="1:9">
      <c r="A41" s="9"/>
      <c r="B41" s="9"/>
      <c r="C41" s="9"/>
      <c r="D41" s="9"/>
      <c r="E41" s="10">
        <f>IFERROR(INDEX('Ingredients &amp; Packaging'!$H:$H, MATCH(1, ('Ingredients &amp; Packaging'!$B:$B=A41)*('Ingredients &amp; Packaging'!$A:$A=B41),0)),0)</f>
        <v>0</v>
      </c>
      <c r="F41" s="19">
        <f t="shared" si="0"/>
        <v>0</v>
      </c>
      <c r="G41" s="22"/>
      <c r="H41" s="19">
        <f t="shared" si="1"/>
        <v>0</v>
      </c>
      <c r="I41" s="6"/>
    </row>
    <row r="42" spans="1:9">
      <c r="A42" s="9"/>
      <c r="B42" s="9"/>
      <c r="C42" s="9"/>
      <c r="D42" s="9"/>
      <c r="E42" s="10">
        <f>IFERROR(INDEX('Ingredients &amp; Packaging'!$H:$H, MATCH(1, ('Ingredients &amp; Packaging'!$B:$B=A42)*('Ingredients &amp; Packaging'!$A:$A=B42),0)),0)</f>
        <v>0</v>
      </c>
      <c r="F42" s="19">
        <f t="shared" si="0"/>
        <v>0</v>
      </c>
      <c r="G42" s="22"/>
      <c r="H42" s="19">
        <f t="shared" si="1"/>
        <v>0</v>
      </c>
      <c r="I42" s="6"/>
    </row>
    <row r="43" spans="1:9">
      <c r="A43" s="9"/>
      <c r="B43" s="9"/>
      <c r="C43" s="9"/>
      <c r="D43" s="9"/>
      <c r="E43" s="10">
        <f>IFERROR(INDEX('Ingredients &amp; Packaging'!$H:$H, MATCH(1, ('Ingredients &amp; Packaging'!$B:$B=A43)*('Ingredients &amp; Packaging'!$A:$A=B43),0)),0)</f>
        <v>0</v>
      </c>
      <c r="F43" s="19">
        <f t="shared" si="0"/>
        <v>0</v>
      </c>
      <c r="G43" s="22"/>
      <c r="H43" s="19">
        <f t="shared" si="1"/>
        <v>0</v>
      </c>
      <c r="I43" s="6"/>
    </row>
    <row r="44" spans="1:9">
      <c r="A44" s="9"/>
      <c r="B44" s="9"/>
      <c r="C44" s="9"/>
      <c r="D44" s="9"/>
      <c r="E44" s="10">
        <f>IFERROR(INDEX('Ingredients &amp; Packaging'!$H:$H, MATCH(1, ('Ingredients &amp; Packaging'!$B:$B=A44)*('Ingredients &amp; Packaging'!$A:$A=B44),0)),0)</f>
        <v>0</v>
      </c>
      <c r="F44" s="19">
        <f t="shared" si="0"/>
        <v>0</v>
      </c>
      <c r="G44" s="22"/>
      <c r="H44" s="19">
        <f t="shared" si="1"/>
        <v>0</v>
      </c>
      <c r="I44" s="6"/>
    </row>
    <row r="45" spans="1:9">
      <c r="A45" s="9"/>
      <c r="B45" s="9"/>
      <c r="C45" s="9"/>
      <c r="D45" s="9"/>
      <c r="E45" s="10">
        <f>IFERROR(INDEX('Ingredients &amp; Packaging'!$H:$H, MATCH(1, ('Ingredients &amp; Packaging'!$B:$B=A45)*('Ingredients &amp; Packaging'!$A:$A=B45),0)),0)</f>
        <v>0</v>
      </c>
      <c r="F45" s="19">
        <f t="shared" si="0"/>
        <v>0</v>
      </c>
      <c r="G45" s="22"/>
      <c r="H45" s="19">
        <f t="shared" si="1"/>
        <v>0</v>
      </c>
      <c r="I45" s="6"/>
    </row>
    <row r="46" spans="1:9">
      <c r="A46" s="9"/>
      <c r="B46" s="9"/>
      <c r="C46" s="9"/>
      <c r="D46" s="9"/>
      <c r="E46" s="10">
        <f>IFERROR(INDEX('Ingredients &amp; Packaging'!$H:$H, MATCH(1, ('Ingredients &amp; Packaging'!$B:$B=A46)*('Ingredients &amp; Packaging'!$A:$A=B46),0)),0)</f>
        <v>0</v>
      </c>
      <c r="F46" s="19">
        <f t="shared" si="0"/>
        <v>0</v>
      </c>
      <c r="G46" s="22"/>
      <c r="H46" s="19">
        <f t="shared" si="1"/>
        <v>0</v>
      </c>
      <c r="I46" s="6"/>
    </row>
    <row r="47" spans="1:9">
      <c r="A47" s="9"/>
      <c r="B47" s="9"/>
      <c r="C47" s="9"/>
      <c r="D47" s="9"/>
      <c r="E47" s="10">
        <f>IFERROR(INDEX('Ingredients &amp; Packaging'!$H:$H, MATCH(1, ('Ingredients &amp; Packaging'!$B:$B=A47)*('Ingredients &amp; Packaging'!$A:$A=B47),0)),0)</f>
        <v>0</v>
      </c>
      <c r="F47" s="19">
        <f t="shared" si="0"/>
        <v>0</v>
      </c>
      <c r="G47" s="22"/>
      <c r="H47" s="19">
        <f t="shared" si="1"/>
        <v>0</v>
      </c>
      <c r="I47" s="6"/>
    </row>
    <row r="48" spans="1:9">
      <c r="A48" s="9"/>
      <c r="B48" s="9"/>
      <c r="C48" s="9"/>
      <c r="D48" s="9"/>
      <c r="E48" s="10">
        <f>IFERROR(INDEX('Ingredients &amp; Packaging'!$H:$H, MATCH(1, ('Ingredients &amp; Packaging'!$B:$B=A48)*('Ingredients &amp; Packaging'!$A:$A=B48),0)),0)</f>
        <v>0</v>
      </c>
      <c r="F48" s="19">
        <f t="shared" si="0"/>
        <v>0</v>
      </c>
      <c r="G48" s="22"/>
      <c r="H48" s="19">
        <f t="shared" si="1"/>
        <v>0</v>
      </c>
      <c r="I48" s="6"/>
    </row>
    <row r="49" spans="1:9">
      <c r="A49" s="9"/>
      <c r="B49" s="9"/>
      <c r="C49" s="9"/>
      <c r="D49" s="9"/>
      <c r="E49" s="10">
        <f>IFERROR(INDEX('Ingredients &amp; Packaging'!$H:$H, MATCH(1, ('Ingredients &amp; Packaging'!$B:$B=A49)*('Ingredients &amp; Packaging'!$A:$A=B49),0)),0)</f>
        <v>0</v>
      </c>
      <c r="F49" s="19">
        <f t="shared" si="0"/>
        <v>0</v>
      </c>
      <c r="G49" s="22"/>
      <c r="H49" s="19">
        <f t="shared" si="1"/>
        <v>0</v>
      </c>
      <c r="I49" s="6"/>
    </row>
    <row r="50" spans="1:9">
      <c r="A50" s="9"/>
      <c r="B50" s="9"/>
      <c r="C50" s="9"/>
      <c r="D50" s="9"/>
      <c r="E50" s="10">
        <f>IFERROR(INDEX('Ingredients &amp; Packaging'!$H:$H, MATCH(1, ('Ingredients &amp; Packaging'!$B:$B=A50)*('Ingredients &amp; Packaging'!$A:$A=B50),0)),0)</f>
        <v>0</v>
      </c>
      <c r="F50" s="19">
        <f t="shared" si="0"/>
        <v>0</v>
      </c>
      <c r="G50" s="22"/>
      <c r="H50" s="19">
        <f t="shared" si="1"/>
        <v>0</v>
      </c>
      <c r="I50" s="6"/>
    </row>
    <row r="51" spans="1:9">
      <c r="A51" s="9"/>
      <c r="B51" s="9"/>
      <c r="C51" s="9"/>
      <c r="D51" s="9"/>
      <c r="E51" s="10">
        <f>IFERROR(INDEX('Ingredients &amp; Packaging'!$H:$H, MATCH(1, ('Ingredients &amp; Packaging'!$B:$B=A51)*('Ingredients &amp; Packaging'!$A:$A=B51),0)),0)</f>
        <v>0</v>
      </c>
      <c r="F51" s="19">
        <f t="shared" si="0"/>
        <v>0</v>
      </c>
      <c r="G51" s="22"/>
      <c r="H51" s="19">
        <f t="shared" si="1"/>
        <v>0</v>
      </c>
      <c r="I51" s="6"/>
    </row>
    <row r="52" spans="1:9">
      <c r="A52" s="9"/>
      <c r="B52" s="9"/>
      <c r="C52" s="9"/>
      <c r="D52" s="9"/>
      <c r="E52" s="10">
        <f>IFERROR(INDEX('Ingredients &amp; Packaging'!$H:$H, MATCH(1, ('Ingredients &amp; Packaging'!$B:$B=A52)*('Ingredients &amp; Packaging'!$A:$A=B52),0)),0)</f>
        <v>0</v>
      </c>
      <c r="F52" s="19">
        <f t="shared" si="0"/>
        <v>0</v>
      </c>
      <c r="G52" s="22"/>
      <c r="H52" s="19">
        <f t="shared" si="1"/>
        <v>0</v>
      </c>
      <c r="I52" s="6"/>
    </row>
    <row r="53" spans="1:9">
      <c r="A53" s="9"/>
      <c r="B53" s="9"/>
      <c r="C53" s="9"/>
      <c r="D53" s="9"/>
      <c r="E53" s="10">
        <f>IFERROR(INDEX('Ingredients &amp; Packaging'!$H:$H, MATCH(1, ('Ingredients &amp; Packaging'!$B:$B=A53)*('Ingredients &amp; Packaging'!$A:$A=B53),0)),0)</f>
        <v>0</v>
      </c>
      <c r="F53" s="19">
        <f t="shared" si="0"/>
        <v>0</v>
      </c>
      <c r="G53" s="22"/>
      <c r="H53" s="19">
        <f t="shared" si="1"/>
        <v>0</v>
      </c>
      <c r="I53" s="6"/>
    </row>
    <row r="54" spans="1:9">
      <c r="A54" s="9"/>
      <c r="B54" s="9"/>
      <c r="C54" s="9"/>
      <c r="D54" s="9"/>
      <c r="E54" s="10">
        <f>IFERROR(INDEX('Ingredients &amp; Packaging'!$H:$H, MATCH(1, ('Ingredients &amp; Packaging'!$B:$B=A54)*('Ingredients &amp; Packaging'!$A:$A=B54),0)),0)</f>
        <v>0</v>
      </c>
      <c r="F54" s="19">
        <f t="shared" si="0"/>
        <v>0</v>
      </c>
      <c r="G54" s="22"/>
      <c r="H54" s="19">
        <f t="shared" si="1"/>
        <v>0</v>
      </c>
      <c r="I54" s="6"/>
    </row>
    <row r="55" spans="1:9">
      <c r="A55" s="9"/>
      <c r="B55" s="9"/>
      <c r="C55" s="9"/>
      <c r="D55" s="9"/>
      <c r="E55" s="10">
        <f>IFERROR(INDEX('Ingredients &amp; Packaging'!$H:$H, MATCH(1, ('Ingredients &amp; Packaging'!$B:$B=A55)*('Ingredients &amp; Packaging'!$A:$A=B55),0)),0)</f>
        <v>0</v>
      </c>
      <c r="F55" s="19">
        <f t="shared" si="0"/>
        <v>0</v>
      </c>
      <c r="G55" s="22"/>
      <c r="H55" s="19">
        <f t="shared" si="1"/>
        <v>0</v>
      </c>
      <c r="I55" s="6"/>
    </row>
    <row r="56" spans="1:9">
      <c r="A56" s="9"/>
      <c r="B56" s="9"/>
      <c r="C56" s="9"/>
      <c r="D56" s="9"/>
      <c r="E56" s="10">
        <f>IFERROR(INDEX('Ingredients &amp; Packaging'!$H:$H, MATCH(1, ('Ingredients &amp; Packaging'!$B:$B=A56)*('Ingredients &amp; Packaging'!$A:$A=B56),0)),0)</f>
        <v>0</v>
      </c>
      <c r="F56" s="19">
        <f t="shared" si="0"/>
        <v>0</v>
      </c>
      <c r="G56" s="22"/>
      <c r="H56" s="19">
        <f t="shared" si="1"/>
        <v>0</v>
      </c>
      <c r="I56" s="6"/>
    </row>
    <row r="58" spans="1:9">
      <c r="A58" s="38" t="s">
        <v>119</v>
      </c>
      <c r="B58" s="45"/>
      <c r="C58" s="45"/>
      <c r="D58" s="39"/>
    </row>
    <row r="59" spans="1:9">
      <c r="A59" s="21" t="s">
        <v>120</v>
      </c>
      <c r="B59" s="23">
        <f>SUM(H17:H56)</f>
        <v>0</v>
      </c>
    </row>
    <row r="60" spans="1:9">
      <c r="A60" s="21" t="s">
        <v>121</v>
      </c>
      <c r="B60" s="23">
        <f>IFERROR(B59/ B8,0)</f>
        <v>0</v>
      </c>
    </row>
    <row r="61" spans="1:9">
      <c r="A61" s="21" t="s">
        <v>122</v>
      </c>
      <c r="B61" s="23" t="e">
        <f>VLOOKUP("CHS",'Products Index'!$A:$F,6,FALSE)</f>
        <v>#N/A</v>
      </c>
    </row>
    <row r="62" spans="1:9">
      <c r="A62" s="21" t="s">
        <v>67</v>
      </c>
      <c r="B62" s="23" t="e">
        <f>VLOOKUP("CHS",'Products Index'!$A:$G,7,FALSE)</f>
        <v>#N/A</v>
      </c>
    </row>
    <row r="63" spans="1:9">
      <c r="A63" s="21" t="s">
        <v>123</v>
      </c>
      <c r="B63" s="24">
        <f>IFERROR((B61-B60)/B61,0)</f>
        <v>0</v>
      </c>
    </row>
    <row r="64" spans="1:9">
      <c r="A64" s="21" t="s">
        <v>124</v>
      </c>
      <c r="B64" s="24">
        <f>IFERROR((B62-B60)/B62,0)</f>
        <v>0</v>
      </c>
    </row>
  </sheetData>
  <mergeCells count="9">
    <mergeCell ref="E4:I4"/>
    <mergeCell ref="A58:D58"/>
    <mergeCell ref="F9:I9"/>
    <mergeCell ref="F7:I7"/>
    <mergeCell ref="F8:I8"/>
    <mergeCell ref="A4:D4"/>
    <mergeCell ref="A15:G15"/>
    <mergeCell ref="F5:I5"/>
    <mergeCell ref="F6:I6"/>
  </mergeCells>
  <dataValidations count="2">
    <dataValidation type="list" allowBlank="1" sqref="B17 B18 B19 B20 B21 B22 B23 B24 B25 B26 B27 B28 B29 B30 B31 B32 B33 B34 B35 B36 B37 B38 B39 B40 B41 B42 B43 B44 B45 B46 B47 B48 B49 B50 B51 B52 B53 B54 B55 B56">
      <formula1>"Ingredient,Packaging,Label,Overhead"</formula1>
    </dataValidation>
    <dataValidation type="list" allowBlank="1" sqref="D17 D18 D19 D20 D21 D22 D23 D24 D25 D26 D27 D28 D29 D30 D31 D32 D33 D34 D35 D36 D37 D38 D39 D40 D41 D42 D43 D44 D45 D46 D47 D48 D49 D50 D51 D52 D53 D54 D55 D56">
      <formula1>"g,kg,ml,l,each"</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64"/>
  <sheetViews>
    <sheetView showGridLines="0" workbookViewId="0"/>
  </sheetViews>
  <sheetFormatPr defaultRowHeight="14.5"/>
  <cols>
    <col min="1" max="1" width="26" customWidth="1"/>
    <col min="2" max="2" width="12" customWidth="1"/>
    <col min="3" max="3" width="10" customWidth="1"/>
    <col min="4" max="4" width="8" customWidth="1"/>
    <col min="5" max="6" width="14" customWidth="1"/>
    <col min="7" max="7" width="10" customWidth="1"/>
    <col min="8" max="8" width="14" customWidth="1"/>
    <col min="9" max="9" width="22" customWidth="1"/>
  </cols>
  <sheetData>
    <row r="1" spans="1:9" ht="20">
      <c r="A1" s="1" t="s">
        <v>191</v>
      </c>
    </row>
    <row r="2" spans="1:9">
      <c r="A2" s="2" t="s">
        <v>192</v>
      </c>
    </row>
    <row r="4" spans="1:9">
      <c r="A4" s="38" t="s">
        <v>83</v>
      </c>
      <c r="B4" s="45"/>
      <c r="C4" s="45"/>
      <c r="D4" s="39"/>
      <c r="E4" s="38" t="s">
        <v>84</v>
      </c>
      <c r="F4" s="45"/>
      <c r="G4" s="45"/>
      <c r="H4" s="45"/>
      <c r="I4" s="39"/>
    </row>
    <row r="5" spans="1:9">
      <c r="A5" s="21" t="s">
        <v>85</v>
      </c>
      <c r="B5" s="7">
        <v>190</v>
      </c>
      <c r="E5" s="21" t="s">
        <v>86</v>
      </c>
      <c r="F5" s="46" t="s">
        <v>193</v>
      </c>
      <c r="G5" s="45"/>
      <c r="H5" s="45"/>
      <c r="I5" s="39"/>
    </row>
    <row r="6" spans="1:9">
      <c r="A6" s="21" t="s">
        <v>88</v>
      </c>
      <c r="B6" s="7">
        <v>2200</v>
      </c>
      <c r="E6" s="21" t="s">
        <v>89</v>
      </c>
      <c r="F6" s="46" t="s">
        <v>90</v>
      </c>
      <c r="G6" s="45"/>
      <c r="H6" s="45"/>
      <c r="I6" s="39"/>
    </row>
    <row r="7" spans="1:9">
      <c r="A7" s="21" t="s">
        <v>91</v>
      </c>
      <c r="B7" s="7">
        <v>2200</v>
      </c>
      <c r="E7" s="21" t="s">
        <v>92</v>
      </c>
      <c r="F7" s="46" t="s">
        <v>194</v>
      </c>
      <c r="G7" s="45"/>
      <c r="H7" s="45"/>
      <c r="I7" s="39"/>
    </row>
    <row r="8" spans="1:9">
      <c r="A8" s="21" t="s">
        <v>94</v>
      </c>
      <c r="B8" s="29">
        <f>IFERROR(B7/B5,0)</f>
        <v>11.578947368421053</v>
      </c>
      <c r="E8" s="21" t="s">
        <v>95</v>
      </c>
      <c r="F8" s="46" t="s">
        <v>195</v>
      </c>
      <c r="G8" s="45"/>
      <c r="H8" s="45"/>
      <c r="I8" s="39"/>
    </row>
    <row r="9" spans="1:9">
      <c r="A9" s="21" t="s">
        <v>97</v>
      </c>
      <c r="B9" s="9"/>
      <c r="E9" s="21" t="s">
        <v>98</v>
      </c>
      <c r="F9" s="46" t="s">
        <v>196</v>
      </c>
      <c r="G9" s="45"/>
      <c r="H9" s="45"/>
      <c r="I9" s="39"/>
    </row>
    <row r="10" spans="1:9">
      <c r="A10" s="21" t="s">
        <v>100</v>
      </c>
      <c r="B10" s="9"/>
    </row>
    <row r="11" spans="1:9">
      <c r="A11" s="21" t="s">
        <v>101</v>
      </c>
      <c r="B11" s="9"/>
    </row>
    <row r="12" spans="1:9">
      <c r="A12" s="21" t="s">
        <v>102</v>
      </c>
      <c r="B12" s="7">
        <v>190</v>
      </c>
    </row>
    <row r="13" spans="1:9">
      <c r="A13" s="21" t="s">
        <v>28</v>
      </c>
      <c r="B13" s="9"/>
    </row>
    <row r="15" spans="1:9">
      <c r="A15" s="38" t="s">
        <v>103</v>
      </c>
      <c r="B15" s="45"/>
      <c r="C15" s="45"/>
      <c r="D15" s="45"/>
      <c r="E15" s="45"/>
      <c r="F15" s="45"/>
      <c r="G15" s="39"/>
    </row>
    <row r="16" spans="1:9" ht="29">
      <c r="A16" s="14" t="s">
        <v>104</v>
      </c>
      <c r="B16" s="14" t="s">
        <v>17</v>
      </c>
      <c r="C16" s="14" t="s">
        <v>105</v>
      </c>
      <c r="D16" s="14" t="s">
        <v>22</v>
      </c>
      <c r="E16" s="14" t="s">
        <v>106</v>
      </c>
      <c r="F16" s="14" t="s">
        <v>107</v>
      </c>
      <c r="G16" s="14" t="s">
        <v>108</v>
      </c>
      <c r="H16" s="14" t="s">
        <v>109</v>
      </c>
      <c r="I16" s="14" t="s">
        <v>110</v>
      </c>
    </row>
    <row r="17" spans="1:9">
      <c r="A17" s="9"/>
      <c r="B17" s="9"/>
      <c r="C17" s="9"/>
      <c r="D17" s="9"/>
      <c r="E17" s="10">
        <f>IFERROR(INDEX('Ingredients &amp; Packaging'!$H:$H, MATCH(1, ('Ingredients &amp; Packaging'!$B:$B=A17)*('Ingredients &amp; Packaging'!$A:$A=B17),0)),0)</f>
        <v>0</v>
      </c>
      <c r="F17" s="19">
        <f t="shared" ref="F17:F56" si="0">IFERROR(C17*E17,0)</f>
        <v>0</v>
      </c>
      <c r="G17" s="22"/>
      <c r="H17" s="19">
        <f t="shared" ref="H17:H56" si="1">IFERROR(F17*(1+G17),0)</f>
        <v>0</v>
      </c>
      <c r="I17" s="6"/>
    </row>
    <row r="18" spans="1:9">
      <c r="A18" s="9"/>
      <c r="B18" s="9"/>
      <c r="C18" s="9"/>
      <c r="D18" s="9"/>
      <c r="E18" s="10">
        <f>IFERROR(INDEX('Ingredients &amp; Packaging'!$H:$H, MATCH(1, ('Ingredients &amp; Packaging'!$B:$B=A18)*('Ingredients &amp; Packaging'!$A:$A=B18),0)),0)</f>
        <v>0</v>
      </c>
      <c r="F18" s="19">
        <f t="shared" si="0"/>
        <v>0</v>
      </c>
      <c r="G18" s="22"/>
      <c r="H18" s="19">
        <f t="shared" si="1"/>
        <v>0</v>
      </c>
      <c r="I18" s="6"/>
    </row>
    <row r="19" spans="1:9">
      <c r="A19" s="9"/>
      <c r="B19" s="9"/>
      <c r="C19" s="9"/>
      <c r="D19" s="9"/>
      <c r="E19" s="10">
        <f>IFERROR(INDEX('Ingredients &amp; Packaging'!$H:$H, MATCH(1, ('Ingredients &amp; Packaging'!$B:$B=A19)*('Ingredients &amp; Packaging'!$A:$A=B19),0)),0)</f>
        <v>0</v>
      </c>
      <c r="F19" s="19">
        <f t="shared" si="0"/>
        <v>0</v>
      </c>
      <c r="G19" s="22"/>
      <c r="H19" s="19">
        <f t="shared" si="1"/>
        <v>0</v>
      </c>
      <c r="I19" s="6"/>
    </row>
    <row r="20" spans="1:9">
      <c r="A20" s="9"/>
      <c r="B20" s="9"/>
      <c r="C20" s="9"/>
      <c r="D20" s="9"/>
      <c r="E20" s="10">
        <f>IFERROR(INDEX('Ingredients &amp; Packaging'!$H:$H, MATCH(1, ('Ingredients &amp; Packaging'!$B:$B=A20)*('Ingredients &amp; Packaging'!$A:$A=B20),0)),0)</f>
        <v>0</v>
      </c>
      <c r="F20" s="19">
        <f t="shared" si="0"/>
        <v>0</v>
      </c>
      <c r="G20" s="22"/>
      <c r="H20" s="19">
        <f t="shared" si="1"/>
        <v>0</v>
      </c>
      <c r="I20" s="6"/>
    </row>
    <row r="21" spans="1:9">
      <c r="A21" s="9"/>
      <c r="B21" s="9"/>
      <c r="C21" s="9"/>
      <c r="D21" s="9"/>
      <c r="E21" s="10">
        <f>IFERROR(INDEX('Ingredients &amp; Packaging'!$H:$H, MATCH(1, ('Ingredients &amp; Packaging'!$B:$B=A21)*('Ingredients &amp; Packaging'!$A:$A=B21),0)),0)</f>
        <v>0</v>
      </c>
      <c r="F21" s="19">
        <f t="shared" si="0"/>
        <v>0</v>
      </c>
      <c r="G21" s="22"/>
      <c r="H21" s="19">
        <f t="shared" si="1"/>
        <v>0</v>
      </c>
      <c r="I21" s="6"/>
    </row>
    <row r="22" spans="1:9">
      <c r="A22" s="9"/>
      <c r="B22" s="9"/>
      <c r="C22" s="9"/>
      <c r="D22" s="9"/>
      <c r="E22" s="10">
        <f>IFERROR(INDEX('Ingredients &amp; Packaging'!$H:$H, MATCH(1, ('Ingredients &amp; Packaging'!$B:$B=A22)*('Ingredients &amp; Packaging'!$A:$A=B22),0)),0)</f>
        <v>0</v>
      </c>
      <c r="F22" s="19">
        <f t="shared" si="0"/>
        <v>0</v>
      </c>
      <c r="G22" s="22"/>
      <c r="H22" s="19">
        <f t="shared" si="1"/>
        <v>0</v>
      </c>
      <c r="I22" s="6"/>
    </row>
    <row r="23" spans="1:9">
      <c r="A23" s="9"/>
      <c r="B23" s="9"/>
      <c r="C23" s="9"/>
      <c r="D23" s="9"/>
      <c r="E23" s="10">
        <f>IFERROR(INDEX('Ingredients &amp; Packaging'!$H:$H, MATCH(1, ('Ingredients &amp; Packaging'!$B:$B=A23)*('Ingredients &amp; Packaging'!$A:$A=B23),0)),0)</f>
        <v>0</v>
      </c>
      <c r="F23" s="19">
        <f t="shared" si="0"/>
        <v>0</v>
      </c>
      <c r="G23" s="22"/>
      <c r="H23" s="19">
        <f t="shared" si="1"/>
        <v>0</v>
      </c>
      <c r="I23" s="6"/>
    </row>
    <row r="24" spans="1:9">
      <c r="A24" s="9"/>
      <c r="B24" s="9"/>
      <c r="C24" s="9"/>
      <c r="D24" s="9"/>
      <c r="E24" s="10">
        <f>IFERROR(INDEX('Ingredients &amp; Packaging'!$H:$H, MATCH(1, ('Ingredients &amp; Packaging'!$B:$B=A24)*('Ingredients &amp; Packaging'!$A:$A=B24),0)),0)</f>
        <v>0</v>
      </c>
      <c r="F24" s="19">
        <f t="shared" si="0"/>
        <v>0</v>
      </c>
      <c r="G24" s="22"/>
      <c r="H24" s="19">
        <f t="shared" si="1"/>
        <v>0</v>
      </c>
      <c r="I24" s="6"/>
    </row>
    <row r="25" spans="1:9">
      <c r="A25" s="9"/>
      <c r="B25" s="9"/>
      <c r="C25" s="9"/>
      <c r="D25" s="9"/>
      <c r="E25" s="10">
        <f>IFERROR(INDEX('Ingredients &amp; Packaging'!$H:$H, MATCH(1, ('Ingredients &amp; Packaging'!$B:$B=A25)*('Ingredients &amp; Packaging'!$A:$A=B25),0)),0)</f>
        <v>0</v>
      </c>
      <c r="F25" s="19">
        <f t="shared" si="0"/>
        <v>0</v>
      </c>
      <c r="G25" s="22"/>
      <c r="H25" s="19">
        <f t="shared" si="1"/>
        <v>0</v>
      </c>
      <c r="I25" s="6"/>
    </row>
    <row r="26" spans="1:9">
      <c r="A26" s="9"/>
      <c r="B26" s="9"/>
      <c r="C26" s="9"/>
      <c r="D26" s="9"/>
      <c r="E26" s="10">
        <f>IFERROR(INDEX('Ingredients &amp; Packaging'!$H:$H, MATCH(1, ('Ingredients &amp; Packaging'!$B:$B=A26)*('Ingredients &amp; Packaging'!$A:$A=B26),0)),0)</f>
        <v>0</v>
      </c>
      <c r="F26" s="19">
        <f t="shared" si="0"/>
        <v>0</v>
      </c>
      <c r="G26" s="22"/>
      <c r="H26" s="19">
        <f t="shared" si="1"/>
        <v>0</v>
      </c>
      <c r="I26" s="6"/>
    </row>
    <row r="27" spans="1:9">
      <c r="A27" s="9"/>
      <c r="B27" s="9"/>
      <c r="C27" s="9"/>
      <c r="D27" s="9"/>
      <c r="E27" s="10">
        <f>IFERROR(INDEX('Ingredients &amp; Packaging'!$H:$H, MATCH(1, ('Ingredients &amp; Packaging'!$B:$B=A27)*('Ingredients &amp; Packaging'!$A:$A=B27),0)),0)</f>
        <v>0</v>
      </c>
      <c r="F27" s="19">
        <f t="shared" si="0"/>
        <v>0</v>
      </c>
      <c r="G27" s="22"/>
      <c r="H27" s="19">
        <f t="shared" si="1"/>
        <v>0</v>
      </c>
      <c r="I27" s="6"/>
    </row>
    <row r="28" spans="1:9">
      <c r="A28" s="9"/>
      <c r="B28" s="9"/>
      <c r="C28" s="9"/>
      <c r="D28" s="9"/>
      <c r="E28" s="10">
        <f>IFERROR(INDEX('Ingredients &amp; Packaging'!$H:$H, MATCH(1, ('Ingredients &amp; Packaging'!$B:$B=A28)*('Ingredients &amp; Packaging'!$A:$A=B28),0)),0)</f>
        <v>0</v>
      </c>
      <c r="F28" s="19">
        <f t="shared" si="0"/>
        <v>0</v>
      </c>
      <c r="G28" s="22"/>
      <c r="H28" s="19">
        <f t="shared" si="1"/>
        <v>0</v>
      </c>
      <c r="I28" s="6"/>
    </row>
    <row r="29" spans="1:9">
      <c r="A29" s="9"/>
      <c r="B29" s="9"/>
      <c r="C29" s="9"/>
      <c r="D29" s="9"/>
      <c r="E29" s="10">
        <f>IFERROR(INDEX('Ingredients &amp; Packaging'!$H:$H, MATCH(1, ('Ingredients &amp; Packaging'!$B:$B=A29)*('Ingredients &amp; Packaging'!$A:$A=B29),0)),0)</f>
        <v>0</v>
      </c>
      <c r="F29" s="19">
        <f t="shared" si="0"/>
        <v>0</v>
      </c>
      <c r="G29" s="22"/>
      <c r="H29" s="19">
        <f t="shared" si="1"/>
        <v>0</v>
      </c>
      <c r="I29" s="6"/>
    </row>
    <row r="30" spans="1:9">
      <c r="A30" s="9"/>
      <c r="B30" s="9"/>
      <c r="C30" s="9"/>
      <c r="D30" s="9"/>
      <c r="E30" s="10">
        <f>IFERROR(INDEX('Ingredients &amp; Packaging'!$H:$H, MATCH(1, ('Ingredients &amp; Packaging'!$B:$B=A30)*('Ingredients &amp; Packaging'!$A:$A=B30),0)),0)</f>
        <v>0</v>
      </c>
      <c r="F30" s="19">
        <f t="shared" si="0"/>
        <v>0</v>
      </c>
      <c r="G30" s="22"/>
      <c r="H30" s="19">
        <f t="shared" si="1"/>
        <v>0</v>
      </c>
      <c r="I30" s="6"/>
    </row>
    <row r="31" spans="1:9">
      <c r="A31" s="9"/>
      <c r="B31" s="9"/>
      <c r="C31" s="9"/>
      <c r="D31" s="9"/>
      <c r="E31" s="10">
        <f>IFERROR(INDEX('Ingredients &amp; Packaging'!$H:$H, MATCH(1, ('Ingredients &amp; Packaging'!$B:$B=A31)*('Ingredients &amp; Packaging'!$A:$A=B31),0)),0)</f>
        <v>0</v>
      </c>
      <c r="F31" s="19">
        <f t="shared" si="0"/>
        <v>0</v>
      </c>
      <c r="G31" s="22"/>
      <c r="H31" s="19">
        <f t="shared" si="1"/>
        <v>0</v>
      </c>
      <c r="I31" s="6"/>
    </row>
    <row r="32" spans="1:9">
      <c r="A32" s="9"/>
      <c r="B32" s="9"/>
      <c r="C32" s="9"/>
      <c r="D32" s="9"/>
      <c r="E32" s="10">
        <f>IFERROR(INDEX('Ingredients &amp; Packaging'!$H:$H, MATCH(1, ('Ingredients &amp; Packaging'!$B:$B=A32)*('Ingredients &amp; Packaging'!$A:$A=B32),0)),0)</f>
        <v>0</v>
      </c>
      <c r="F32" s="19">
        <f t="shared" si="0"/>
        <v>0</v>
      </c>
      <c r="G32" s="22"/>
      <c r="H32" s="19">
        <f t="shared" si="1"/>
        <v>0</v>
      </c>
      <c r="I32" s="6"/>
    </row>
    <row r="33" spans="1:9">
      <c r="A33" s="9"/>
      <c r="B33" s="9"/>
      <c r="C33" s="9"/>
      <c r="D33" s="9"/>
      <c r="E33" s="10">
        <f>IFERROR(INDEX('Ingredients &amp; Packaging'!$H:$H, MATCH(1, ('Ingredients &amp; Packaging'!$B:$B=A33)*('Ingredients &amp; Packaging'!$A:$A=B33),0)),0)</f>
        <v>0</v>
      </c>
      <c r="F33" s="19">
        <f t="shared" si="0"/>
        <v>0</v>
      </c>
      <c r="G33" s="22"/>
      <c r="H33" s="19">
        <f t="shared" si="1"/>
        <v>0</v>
      </c>
      <c r="I33" s="6"/>
    </row>
    <row r="34" spans="1:9">
      <c r="A34" s="9"/>
      <c r="B34" s="9"/>
      <c r="C34" s="9"/>
      <c r="D34" s="9"/>
      <c r="E34" s="10">
        <f>IFERROR(INDEX('Ingredients &amp; Packaging'!$H:$H, MATCH(1, ('Ingredients &amp; Packaging'!$B:$B=A34)*('Ingredients &amp; Packaging'!$A:$A=B34),0)),0)</f>
        <v>0</v>
      </c>
      <c r="F34" s="19">
        <f t="shared" si="0"/>
        <v>0</v>
      </c>
      <c r="G34" s="22"/>
      <c r="H34" s="19">
        <f t="shared" si="1"/>
        <v>0</v>
      </c>
      <c r="I34" s="6"/>
    </row>
    <row r="35" spans="1:9">
      <c r="A35" s="9"/>
      <c r="B35" s="9"/>
      <c r="C35" s="9"/>
      <c r="D35" s="9"/>
      <c r="E35" s="10">
        <f>IFERROR(INDEX('Ingredients &amp; Packaging'!$H:$H, MATCH(1, ('Ingredients &amp; Packaging'!$B:$B=A35)*('Ingredients &amp; Packaging'!$A:$A=B35),0)),0)</f>
        <v>0</v>
      </c>
      <c r="F35" s="19">
        <f t="shared" si="0"/>
        <v>0</v>
      </c>
      <c r="G35" s="22"/>
      <c r="H35" s="19">
        <f t="shared" si="1"/>
        <v>0</v>
      </c>
      <c r="I35" s="6"/>
    </row>
    <row r="36" spans="1:9">
      <c r="A36" s="9"/>
      <c r="B36" s="9"/>
      <c r="C36" s="9"/>
      <c r="D36" s="9"/>
      <c r="E36" s="10">
        <f>IFERROR(INDEX('Ingredients &amp; Packaging'!$H:$H, MATCH(1, ('Ingredients &amp; Packaging'!$B:$B=A36)*('Ingredients &amp; Packaging'!$A:$A=B36),0)),0)</f>
        <v>0</v>
      </c>
      <c r="F36" s="19">
        <f t="shared" si="0"/>
        <v>0</v>
      </c>
      <c r="G36" s="22"/>
      <c r="H36" s="19">
        <f t="shared" si="1"/>
        <v>0</v>
      </c>
      <c r="I36" s="6"/>
    </row>
    <row r="37" spans="1:9">
      <c r="A37" s="9"/>
      <c r="B37" s="9"/>
      <c r="C37" s="9"/>
      <c r="D37" s="9"/>
      <c r="E37" s="10">
        <f>IFERROR(INDEX('Ingredients &amp; Packaging'!$H:$H, MATCH(1, ('Ingredients &amp; Packaging'!$B:$B=A37)*('Ingredients &amp; Packaging'!$A:$A=B37),0)),0)</f>
        <v>0</v>
      </c>
      <c r="F37" s="19">
        <f t="shared" si="0"/>
        <v>0</v>
      </c>
      <c r="G37" s="22"/>
      <c r="H37" s="19">
        <f t="shared" si="1"/>
        <v>0</v>
      </c>
      <c r="I37" s="6"/>
    </row>
    <row r="38" spans="1:9">
      <c r="A38" s="9"/>
      <c r="B38" s="9"/>
      <c r="C38" s="9"/>
      <c r="D38" s="9"/>
      <c r="E38" s="10">
        <f>IFERROR(INDEX('Ingredients &amp; Packaging'!$H:$H, MATCH(1, ('Ingredients &amp; Packaging'!$B:$B=A38)*('Ingredients &amp; Packaging'!$A:$A=B38),0)),0)</f>
        <v>0</v>
      </c>
      <c r="F38" s="19">
        <f t="shared" si="0"/>
        <v>0</v>
      </c>
      <c r="G38" s="22"/>
      <c r="H38" s="19">
        <f t="shared" si="1"/>
        <v>0</v>
      </c>
      <c r="I38" s="6"/>
    </row>
    <row r="39" spans="1:9">
      <c r="A39" s="9"/>
      <c r="B39" s="9"/>
      <c r="C39" s="9"/>
      <c r="D39" s="9"/>
      <c r="E39" s="10">
        <f>IFERROR(INDEX('Ingredients &amp; Packaging'!$H:$H, MATCH(1, ('Ingredients &amp; Packaging'!$B:$B=A39)*('Ingredients &amp; Packaging'!$A:$A=B39),0)),0)</f>
        <v>0</v>
      </c>
      <c r="F39" s="19">
        <f t="shared" si="0"/>
        <v>0</v>
      </c>
      <c r="G39" s="22"/>
      <c r="H39" s="19">
        <f t="shared" si="1"/>
        <v>0</v>
      </c>
      <c r="I39" s="6"/>
    </row>
    <row r="40" spans="1:9">
      <c r="A40" s="9"/>
      <c r="B40" s="9"/>
      <c r="C40" s="9"/>
      <c r="D40" s="9"/>
      <c r="E40" s="10">
        <f>IFERROR(INDEX('Ingredients &amp; Packaging'!$H:$H, MATCH(1, ('Ingredients &amp; Packaging'!$B:$B=A40)*('Ingredients &amp; Packaging'!$A:$A=B40),0)),0)</f>
        <v>0</v>
      </c>
      <c r="F40" s="19">
        <f t="shared" si="0"/>
        <v>0</v>
      </c>
      <c r="G40" s="22"/>
      <c r="H40" s="19">
        <f t="shared" si="1"/>
        <v>0</v>
      </c>
      <c r="I40" s="6"/>
    </row>
    <row r="41" spans="1:9">
      <c r="A41" s="9"/>
      <c r="B41" s="9"/>
      <c r="C41" s="9"/>
      <c r="D41" s="9"/>
      <c r="E41" s="10">
        <f>IFERROR(INDEX('Ingredients &amp; Packaging'!$H:$H, MATCH(1, ('Ingredients &amp; Packaging'!$B:$B=A41)*('Ingredients &amp; Packaging'!$A:$A=B41),0)),0)</f>
        <v>0</v>
      </c>
      <c r="F41" s="19">
        <f t="shared" si="0"/>
        <v>0</v>
      </c>
      <c r="G41" s="22"/>
      <c r="H41" s="19">
        <f t="shared" si="1"/>
        <v>0</v>
      </c>
      <c r="I41" s="6"/>
    </row>
    <row r="42" spans="1:9">
      <c r="A42" s="9"/>
      <c r="B42" s="9"/>
      <c r="C42" s="9"/>
      <c r="D42" s="9"/>
      <c r="E42" s="10">
        <f>IFERROR(INDEX('Ingredients &amp; Packaging'!$H:$H, MATCH(1, ('Ingredients &amp; Packaging'!$B:$B=A42)*('Ingredients &amp; Packaging'!$A:$A=B42),0)),0)</f>
        <v>0</v>
      </c>
      <c r="F42" s="19">
        <f t="shared" si="0"/>
        <v>0</v>
      </c>
      <c r="G42" s="22"/>
      <c r="H42" s="19">
        <f t="shared" si="1"/>
        <v>0</v>
      </c>
      <c r="I42" s="6"/>
    </row>
    <row r="43" spans="1:9">
      <c r="A43" s="9"/>
      <c r="B43" s="9"/>
      <c r="C43" s="9"/>
      <c r="D43" s="9"/>
      <c r="E43" s="10">
        <f>IFERROR(INDEX('Ingredients &amp; Packaging'!$H:$H, MATCH(1, ('Ingredients &amp; Packaging'!$B:$B=A43)*('Ingredients &amp; Packaging'!$A:$A=B43),0)),0)</f>
        <v>0</v>
      </c>
      <c r="F43" s="19">
        <f t="shared" si="0"/>
        <v>0</v>
      </c>
      <c r="G43" s="22"/>
      <c r="H43" s="19">
        <f t="shared" si="1"/>
        <v>0</v>
      </c>
      <c r="I43" s="6"/>
    </row>
    <row r="44" spans="1:9">
      <c r="A44" s="9"/>
      <c r="B44" s="9"/>
      <c r="C44" s="9"/>
      <c r="D44" s="9"/>
      <c r="E44" s="10">
        <f>IFERROR(INDEX('Ingredients &amp; Packaging'!$H:$H, MATCH(1, ('Ingredients &amp; Packaging'!$B:$B=A44)*('Ingredients &amp; Packaging'!$A:$A=B44),0)),0)</f>
        <v>0</v>
      </c>
      <c r="F44" s="19">
        <f t="shared" si="0"/>
        <v>0</v>
      </c>
      <c r="G44" s="22"/>
      <c r="H44" s="19">
        <f t="shared" si="1"/>
        <v>0</v>
      </c>
      <c r="I44" s="6"/>
    </row>
    <row r="45" spans="1:9">
      <c r="A45" s="9"/>
      <c r="B45" s="9"/>
      <c r="C45" s="9"/>
      <c r="D45" s="9"/>
      <c r="E45" s="10">
        <f>IFERROR(INDEX('Ingredients &amp; Packaging'!$H:$H, MATCH(1, ('Ingredients &amp; Packaging'!$B:$B=A45)*('Ingredients &amp; Packaging'!$A:$A=B45),0)),0)</f>
        <v>0</v>
      </c>
      <c r="F45" s="19">
        <f t="shared" si="0"/>
        <v>0</v>
      </c>
      <c r="G45" s="22"/>
      <c r="H45" s="19">
        <f t="shared" si="1"/>
        <v>0</v>
      </c>
      <c r="I45" s="6"/>
    </row>
    <row r="46" spans="1:9">
      <c r="A46" s="9"/>
      <c r="B46" s="9"/>
      <c r="C46" s="9"/>
      <c r="D46" s="9"/>
      <c r="E46" s="10">
        <f>IFERROR(INDEX('Ingredients &amp; Packaging'!$H:$H, MATCH(1, ('Ingredients &amp; Packaging'!$B:$B=A46)*('Ingredients &amp; Packaging'!$A:$A=B46),0)),0)</f>
        <v>0</v>
      </c>
      <c r="F46" s="19">
        <f t="shared" si="0"/>
        <v>0</v>
      </c>
      <c r="G46" s="22"/>
      <c r="H46" s="19">
        <f t="shared" si="1"/>
        <v>0</v>
      </c>
      <c r="I46" s="6"/>
    </row>
    <row r="47" spans="1:9">
      <c r="A47" s="9"/>
      <c r="B47" s="9"/>
      <c r="C47" s="9"/>
      <c r="D47" s="9"/>
      <c r="E47" s="10">
        <f>IFERROR(INDEX('Ingredients &amp; Packaging'!$H:$H, MATCH(1, ('Ingredients &amp; Packaging'!$B:$B=A47)*('Ingredients &amp; Packaging'!$A:$A=B47),0)),0)</f>
        <v>0</v>
      </c>
      <c r="F47" s="19">
        <f t="shared" si="0"/>
        <v>0</v>
      </c>
      <c r="G47" s="22"/>
      <c r="H47" s="19">
        <f t="shared" si="1"/>
        <v>0</v>
      </c>
      <c r="I47" s="6"/>
    </row>
    <row r="48" spans="1:9">
      <c r="A48" s="9"/>
      <c r="B48" s="9"/>
      <c r="C48" s="9"/>
      <c r="D48" s="9"/>
      <c r="E48" s="10">
        <f>IFERROR(INDEX('Ingredients &amp; Packaging'!$H:$H, MATCH(1, ('Ingredients &amp; Packaging'!$B:$B=A48)*('Ingredients &amp; Packaging'!$A:$A=B48),0)),0)</f>
        <v>0</v>
      </c>
      <c r="F48" s="19">
        <f t="shared" si="0"/>
        <v>0</v>
      </c>
      <c r="G48" s="22"/>
      <c r="H48" s="19">
        <f t="shared" si="1"/>
        <v>0</v>
      </c>
      <c r="I48" s="6"/>
    </row>
    <row r="49" spans="1:9">
      <c r="A49" s="9"/>
      <c r="B49" s="9"/>
      <c r="C49" s="9"/>
      <c r="D49" s="9"/>
      <c r="E49" s="10">
        <f>IFERROR(INDEX('Ingredients &amp; Packaging'!$H:$H, MATCH(1, ('Ingredients &amp; Packaging'!$B:$B=A49)*('Ingredients &amp; Packaging'!$A:$A=B49),0)),0)</f>
        <v>0</v>
      </c>
      <c r="F49" s="19">
        <f t="shared" si="0"/>
        <v>0</v>
      </c>
      <c r="G49" s="22"/>
      <c r="H49" s="19">
        <f t="shared" si="1"/>
        <v>0</v>
      </c>
      <c r="I49" s="6"/>
    </row>
    <row r="50" spans="1:9">
      <c r="A50" s="9"/>
      <c r="B50" s="9"/>
      <c r="C50" s="9"/>
      <c r="D50" s="9"/>
      <c r="E50" s="10">
        <f>IFERROR(INDEX('Ingredients &amp; Packaging'!$H:$H, MATCH(1, ('Ingredients &amp; Packaging'!$B:$B=A50)*('Ingredients &amp; Packaging'!$A:$A=B50),0)),0)</f>
        <v>0</v>
      </c>
      <c r="F50" s="19">
        <f t="shared" si="0"/>
        <v>0</v>
      </c>
      <c r="G50" s="22"/>
      <c r="H50" s="19">
        <f t="shared" si="1"/>
        <v>0</v>
      </c>
      <c r="I50" s="6"/>
    </row>
    <row r="51" spans="1:9">
      <c r="A51" s="9"/>
      <c r="B51" s="9"/>
      <c r="C51" s="9"/>
      <c r="D51" s="9"/>
      <c r="E51" s="10">
        <f>IFERROR(INDEX('Ingredients &amp; Packaging'!$H:$H, MATCH(1, ('Ingredients &amp; Packaging'!$B:$B=A51)*('Ingredients &amp; Packaging'!$A:$A=B51),0)),0)</f>
        <v>0</v>
      </c>
      <c r="F51" s="19">
        <f t="shared" si="0"/>
        <v>0</v>
      </c>
      <c r="G51" s="22"/>
      <c r="H51" s="19">
        <f t="shared" si="1"/>
        <v>0</v>
      </c>
      <c r="I51" s="6"/>
    </row>
    <row r="52" spans="1:9">
      <c r="A52" s="9"/>
      <c r="B52" s="9"/>
      <c r="C52" s="9"/>
      <c r="D52" s="9"/>
      <c r="E52" s="10">
        <f>IFERROR(INDEX('Ingredients &amp; Packaging'!$H:$H, MATCH(1, ('Ingredients &amp; Packaging'!$B:$B=A52)*('Ingredients &amp; Packaging'!$A:$A=B52),0)),0)</f>
        <v>0</v>
      </c>
      <c r="F52" s="19">
        <f t="shared" si="0"/>
        <v>0</v>
      </c>
      <c r="G52" s="22"/>
      <c r="H52" s="19">
        <f t="shared" si="1"/>
        <v>0</v>
      </c>
      <c r="I52" s="6"/>
    </row>
    <row r="53" spans="1:9">
      <c r="A53" s="9"/>
      <c r="B53" s="9"/>
      <c r="C53" s="9"/>
      <c r="D53" s="9"/>
      <c r="E53" s="10">
        <f>IFERROR(INDEX('Ingredients &amp; Packaging'!$H:$H, MATCH(1, ('Ingredients &amp; Packaging'!$B:$B=A53)*('Ingredients &amp; Packaging'!$A:$A=B53),0)),0)</f>
        <v>0</v>
      </c>
      <c r="F53" s="19">
        <f t="shared" si="0"/>
        <v>0</v>
      </c>
      <c r="G53" s="22"/>
      <c r="H53" s="19">
        <f t="shared" si="1"/>
        <v>0</v>
      </c>
      <c r="I53" s="6"/>
    </row>
    <row r="54" spans="1:9">
      <c r="A54" s="9"/>
      <c r="B54" s="9"/>
      <c r="C54" s="9"/>
      <c r="D54" s="9"/>
      <c r="E54" s="10">
        <f>IFERROR(INDEX('Ingredients &amp; Packaging'!$H:$H, MATCH(1, ('Ingredients &amp; Packaging'!$B:$B=A54)*('Ingredients &amp; Packaging'!$A:$A=B54),0)),0)</f>
        <v>0</v>
      </c>
      <c r="F54" s="19">
        <f t="shared" si="0"/>
        <v>0</v>
      </c>
      <c r="G54" s="22"/>
      <c r="H54" s="19">
        <f t="shared" si="1"/>
        <v>0</v>
      </c>
      <c r="I54" s="6"/>
    </row>
    <row r="55" spans="1:9">
      <c r="A55" s="9"/>
      <c r="B55" s="9"/>
      <c r="C55" s="9"/>
      <c r="D55" s="9"/>
      <c r="E55" s="10">
        <f>IFERROR(INDEX('Ingredients &amp; Packaging'!$H:$H, MATCH(1, ('Ingredients &amp; Packaging'!$B:$B=A55)*('Ingredients &amp; Packaging'!$A:$A=B55),0)),0)</f>
        <v>0</v>
      </c>
      <c r="F55" s="19">
        <f t="shared" si="0"/>
        <v>0</v>
      </c>
      <c r="G55" s="22"/>
      <c r="H55" s="19">
        <f t="shared" si="1"/>
        <v>0</v>
      </c>
      <c r="I55" s="6"/>
    </row>
    <row r="56" spans="1:9">
      <c r="A56" s="9"/>
      <c r="B56" s="9"/>
      <c r="C56" s="9"/>
      <c r="D56" s="9"/>
      <c r="E56" s="10">
        <f>IFERROR(INDEX('Ingredients &amp; Packaging'!$H:$H, MATCH(1, ('Ingredients &amp; Packaging'!$B:$B=A56)*('Ingredients &amp; Packaging'!$A:$A=B56),0)),0)</f>
        <v>0</v>
      </c>
      <c r="F56" s="19">
        <f t="shared" si="0"/>
        <v>0</v>
      </c>
      <c r="G56" s="22"/>
      <c r="H56" s="19">
        <f t="shared" si="1"/>
        <v>0</v>
      </c>
      <c r="I56" s="6"/>
    </row>
    <row r="58" spans="1:9">
      <c r="A58" s="38" t="s">
        <v>119</v>
      </c>
      <c r="B58" s="45"/>
      <c r="C58" s="45"/>
      <c r="D58" s="39"/>
    </row>
    <row r="59" spans="1:9">
      <c r="A59" s="21" t="s">
        <v>120</v>
      </c>
      <c r="B59" s="23">
        <f>SUM(H17:H56)</f>
        <v>0</v>
      </c>
    </row>
    <row r="60" spans="1:9">
      <c r="A60" s="21" t="s">
        <v>121</v>
      </c>
      <c r="B60" s="23">
        <f>IFERROR(B59/ B8,0)</f>
        <v>0</v>
      </c>
    </row>
    <row r="61" spans="1:9">
      <c r="A61" s="21" t="s">
        <v>122</v>
      </c>
      <c r="B61" s="23">
        <f>VLOOKUP("GM",'Products Index'!$A:$F,6,FALSE)</f>
        <v>0</v>
      </c>
    </row>
    <row r="62" spans="1:9">
      <c r="A62" s="21" t="s">
        <v>67</v>
      </c>
      <c r="B62" s="23">
        <f>VLOOKUP("GM",'Products Index'!$A:$G,7,FALSE)</f>
        <v>0</v>
      </c>
    </row>
    <row r="63" spans="1:9">
      <c r="A63" s="21" t="s">
        <v>123</v>
      </c>
      <c r="B63" s="24">
        <f>IFERROR((B61-B60)/B61,0)</f>
        <v>0</v>
      </c>
    </row>
    <row r="64" spans="1:9">
      <c r="A64" s="21" t="s">
        <v>124</v>
      </c>
      <c r="B64" s="24">
        <f>IFERROR((B62-B60)/B62,0)</f>
        <v>0</v>
      </c>
    </row>
  </sheetData>
  <mergeCells count="9">
    <mergeCell ref="E4:I4"/>
    <mergeCell ref="A58:D58"/>
    <mergeCell ref="F9:I9"/>
    <mergeCell ref="F7:I7"/>
    <mergeCell ref="F8:I8"/>
    <mergeCell ref="A4:D4"/>
    <mergeCell ref="A15:G15"/>
    <mergeCell ref="F5:I5"/>
    <mergeCell ref="F6:I6"/>
  </mergeCells>
  <dataValidations count="2">
    <dataValidation type="list" allowBlank="1" sqref="B17 B18 B19 B20 B21 B22 B23 B24 B25 B26 B27 B28 B29 B30 B31 B32 B33 B34 B35 B36 B37 B38 B39 B40 B41 B42 B43 B44 B45 B46 B47 B48 B49 B50 B51 B52 B53 B54 B55 B56">
      <formula1>"Ingredient,Packaging,Label,Overhead"</formula1>
    </dataValidation>
    <dataValidation type="list" allowBlank="1" sqref="D17 D18 D19 D20 D21 D22 D23 D24 D25 D26 D27 D28 D29 D30 D31 D32 D33 D34 D35 D36 D37 D38 D39 D40 D41 D42 D43 D44 D45 D46 D47 D48 D49 D50 D51 D52 D53 D54 D55 D56">
      <formula1>"g,kg,ml,l,each"</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N501"/>
  <sheetViews>
    <sheetView showGridLines="0" workbookViewId="0"/>
  </sheetViews>
  <sheetFormatPr defaultRowHeight="14.5"/>
  <cols>
    <col min="1" max="1" width="16" customWidth="1"/>
    <col min="2" max="2" width="12" customWidth="1"/>
    <col min="3" max="3" width="8" customWidth="1"/>
    <col min="4" max="4" width="36" customWidth="1"/>
    <col min="5" max="6" width="14" customWidth="1"/>
    <col min="7" max="8" width="12" customWidth="1"/>
    <col min="9" max="11" width="16" customWidth="1"/>
    <col min="12" max="13" width="14" customWidth="1"/>
    <col min="14" max="14" width="22" customWidth="1"/>
  </cols>
  <sheetData>
    <row r="1" spans="1:14" ht="29">
      <c r="A1" s="14" t="s">
        <v>197</v>
      </c>
      <c r="B1" s="14" t="s">
        <v>198</v>
      </c>
      <c r="C1" s="14" t="s">
        <v>64</v>
      </c>
      <c r="D1" s="14" t="s">
        <v>65</v>
      </c>
      <c r="E1" s="14" t="s">
        <v>199</v>
      </c>
      <c r="F1" s="14" t="s">
        <v>200</v>
      </c>
      <c r="G1" s="14" t="s">
        <v>201</v>
      </c>
      <c r="H1" s="14" t="s">
        <v>202</v>
      </c>
      <c r="I1" s="14" t="s">
        <v>203</v>
      </c>
      <c r="J1" s="14" t="s">
        <v>204</v>
      </c>
      <c r="K1" s="14" t="s">
        <v>205</v>
      </c>
      <c r="L1" s="14" t="s">
        <v>206</v>
      </c>
      <c r="M1" s="14" t="s">
        <v>207</v>
      </c>
      <c r="N1" s="14" t="s">
        <v>28</v>
      </c>
    </row>
    <row r="2" spans="1:14">
      <c r="B2" s="30"/>
      <c r="C2" s="11"/>
      <c r="D2" t="str">
        <f>IFERROR(VLOOKUP(C2,'Products Index'!$A:$B,2,FALSE),"")</f>
        <v/>
      </c>
      <c r="E2" s="25"/>
      <c r="F2" s="25"/>
      <c r="G2" s="25"/>
      <c r="H2">
        <f t="shared" ref="H2:H65" si="0">MAX(F2-G2,0)</f>
        <v>0</v>
      </c>
      <c r="I2" s="16">
        <f ca="1">IFERROR(INDIRECT("'"&amp;D2&amp;"'!$B$18")*(E2/VLOOKUP(C2,'Products Index'!$A:$E,5,FALSE)),0)</f>
        <v>0</v>
      </c>
      <c r="J2" s="16">
        <f>IFERROR((INDEX(Overheads!$H:$H, MATCH(TEXT(B2,"yyyy-mm"), TEXT(Overheads!$A:$A,"yyyy-mm"),0)) / MAX(SUMIFS($H:$H,$B:$B,"&gt;="&amp;EOMONTH(B2,-1)+1,$B:$B,"&lt;="&amp;EOMONTH(B2,0)),1)) * H2,0)</f>
        <v>0</v>
      </c>
      <c r="K2" s="16">
        <f t="shared" ref="K2:K65" ca="1" si="1">I2+J2</f>
        <v>0</v>
      </c>
      <c r="L2" s="16">
        <f t="shared" ref="L2:L65" ca="1" si="2">IFERROR(K2/MAX(H2,1),0)</f>
        <v>0</v>
      </c>
      <c r="M2" s="11"/>
    </row>
    <row r="3" spans="1:14">
      <c r="B3" s="30"/>
      <c r="C3" s="11"/>
      <c r="D3" t="str">
        <f>IFERROR(VLOOKUP(C3,'Products Index'!$A:$B,2,FALSE),"")</f>
        <v/>
      </c>
      <c r="E3" s="25"/>
      <c r="F3" s="25"/>
      <c r="G3" s="25"/>
      <c r="H3">
        <f t="shared" si="0"/>
        <v>0</v>
      </c>
      <c r="I3" s="16">
        <f ca="1">IFERROR(INDIRECT("'"&amp;D3&amp;"'!$B$18")*(E3/VLOOKUP(C3,'Products Index'!$A:$E,5,FALSE)),0)</f>
        <v>0</v>
      </c>
      <c r="J3" s="16">
        <f>IFERROR((INDEX(Overheads!$H:$H, MATCH(TEXT(B3,"yyyy-mm"), TEXT(Overheads!$A:$A,"yyyy-mm"),0)) / MAX(SUMIFS($H:$H,$B:$B,"&gt;="&amp;EOMONTH(B3,-1)+1,$B:$B,"&lt;="&amp;EOMONTH(B3,0)),1)) * H3,0)</f>
        <v>0</v>
      </c>
      <c r="K3" s="16">
        <f t="shared" ca="1" si="1"/>
        <v>0</v>
      </c>
      <c r="L3" s="16">
        <f t="shared" ca="1" si="2"/>
        <v>0</v>
      </c>
      <c r="M3" s="11"/>
    </row>
    <row r="4" spans="1:14">
      <c r="B4" s="30"/>
      <c r="C4" s="11"/>
      <c r="D4" t="str">
        <f>IFERROR(VLOOKUP(C4,'Products Index'!$A:$B,2,FALSE),"")</f>
        <v/>
      </c>
      <c r="E4" s="25"/>
      <c r="F4" s="25"/>
      <c r="G4" s="25"/>
      <c r="H4">
        <f t="shared" si="0"/>
        <v>0</v>
      </c>
      <c r="I4" s="16">
        <f ca="1">IFERROR(INDIRECT("'"&amp;D4&amp;"'!$B$18")*(E4/VLOOKUP(C4,'Products Index'!$A:$E,5,FALSE)),0)</f>
        <v>0</v>
      </c>
      <c r="J4" s="16">
        <f>IFERROR((INDEX(Overheads!$H:$H, MATCH(TEXT(B4,"yyyy-mm"), TEXT(Overheads!$A:$A,"yyyy-mm"),0)) / MAX(SUMIFS($H:$H,$B:$B,"&gt;="&amp;EOMONTH(B4,-1)+1,$B:$B,"&lt;="&amp;EOMONTH(B4,0)),1)) * H4,0)</f>
        <v>0</v>
      </c>
      <c r="K4" s="16">
        <f t="shared" ca="1" si="1"/>
        <v>0</v>
      </c>
      <c r="L4" s="16">
        <f t="shared" ca="1" si="2"/>
        <v>0</v>
      </c>
      <c r="M4" s="11"/>
    </row>
    <row r="5" spans="1:14">
      <c r="B5" s="30"/>
      <c r="C5" s="11"/>
      <c r="D5" t="str">
        <f>IFERROR(VLOOKUP(C5,'Products Index'!$A:$B,2,FALSE),"")</f>
        <v/>
      </c>
      <c r="E5" s="25"/>
      <c r="F5" s="25"/>
      <c r="G5" s="25"/>
      <c r="H5">
        <f t="shared" si="0"/>
        <v>0</v>
      </c>
      <c r="I5" s="16">
        <f ca="1">IFERROR(INDIRECT("'"&amp;D5&amp;"'!$B$18")*(E5/VLOOKUP(C5,'Products Index'!$A:$E,5,FALSE)),0)</f>
        <v>0</v>
      </c>
      <c r="J5" s="16">
        <f>IFERROR((INDEX(Overheads!$H:$H, MATCH(TEXT(B5,"yyyy-mm"), TEXT(Overheads!$A:$A,"yyyy-mm"),0)) / MAX(SUMIFS($H:$H,$B:$B,"&gt;="&amp;EOMONTH(B5,-1)+1,$B:$B,"&lt;="&amp;EOMONTH(B5,0)),1)) * H5,0)</f>
        <v>0</v>
      </c>
      <c r="K5" s="16">
        <f t="shared" ca="1" si="1"/>
        <v>0</v>
      </c>
      <c r="L5" s="16">
        <f t="shared" ca="1" si="2"/>
        <v>0</v>
      </c>
      <c r="M5" s="11"/>
    </row>
    <row r="6" spans="1:14">
      <c r="B6" s="30"/>
      <c r="C6" s="11"/>
      <c r="D6" t="str">
        <f>IFERROR(VLOOKUP(C6,'Products Index'!$A:$B,2,FALSE),"")</f>
        <v/>
      </c>
      <c r="E6" s="25"/>
      <c r="F6" s="25"/>
      <c r="G6" s="25"/>
      <c r="H6">
        <f t="shared" si="0"/>
        <v>0</v>
      </c>
      <c r="I6" s="16">
        <f ca="1">IFERROR(INDIRECT("'"&amp;D6&amp;"'!$B$18")*(E6/VLOOKUP(C6,'Products Index'!$A:$E,5,FALSE)),0)</f>
        <v>0</v>
      </c>
      <c r="J6" s="16">
        <f>IFERROR((INDEX(Overheads!$H:$H, MATCH(TEXT(B6,"yyyy-mm"), TEXT(Overheads!$A:$A,"yyyy-mm"),0)) / MAX(SUMIFS($H:$H,$B:$B,"&gt;="&amp;EOMONTH(B6,-1)+1,$B:$B,"&lt;="&amp;EOMONTH(B6,0)),1)) * H6,0)</f>
        <v>0</v>
      </c>
      <c r="K6" s="16">
        <f t="shared" ca="1" si="1"/>
        <v>0</v>
      </c>
      <c r="L6" s="16">
        <f t="shared" ca="1" si="2"/>
        <v>0</v>
      </c>
      <c r="M6" s="11"/>
    </row>
    <row r="7" spans="1:14">
      <c r="B7" s="30"/>
      <c r="C7" s="11"/>
      <c r="D7" t="str">
        <f>IFERROR(VLOOKUP(C7,'Products Index'!$A:$B,2,FALSE),"")</f>
        <v/>
      </c>
      <c r="E7" s="25"/>
      <c r="F7" s="25"/>
      <c r="G7" s="25"/>
      <c r="H7">
        <f t="shared" si="0"/>
        <v>0</v>
      </c>
      <c r="I7" s="16">
        <f ca="1">IFERROR(INDIRECT("'"&amp;D7&amp;"'!$B$18")*(E7/VLOOKUP(C7,'Products Index'!$A:$E,5,FALSE)),0)</f>
        <v>0</v>
      </c>
      <c r="J7" s="16">
        <f>IFERROR((INDEX(Overheads!$H:$H, MATCH(TEXT(B7,"yyyy-mm"), TEXT(Overheads!$A:$A,"yyyy-mm"),0)) / MAX(SUMIFS($H:$H,$B:$B,"&gt;="&amp;EOMONTH(B7,-1)+1,$B:$B,"&lt;="&amp;EOMONTH(B7,0)),1)) * H7,0)</f>
        <v>0</v>
      </c>
      <c r="K7" s="16">
        <f t="shared" ca="1" si="1"/>
        <v>0</v>
      </c>
      <c r="L7" s="16">
        <f t="shared" ca="1" si="2"/>
        <v>0</v>
      </c>
      <c r="M7" s="11"/>
    </row>
    <row r="8" spans="1:14">
      <c r="B8" s="30"/>
      <c r="C8" s="11"/>
      <c r="D8" t="str">
        <f>IFERROR(VLOOKUP(C8,'Products Index'!$A:$B,2,FALSE),"")</f>
        <v/>
      </c>
      <c r="E8" s="25"/>
      <c r="F8" s="25"/>
      <c r="G8" s="25"/>
      <c r="H8">
        <f t="shared" si="0"/>
        <v>0</v>
      </c>
      <c r="I8" s="16">
        <f ca="1">IFERROR(INDIRECT("'"&amp;D8&amp;"'!$B$18")*(E8/VLOOKUP(C8,'Products Index'!$A:$E,5,FALSE)),0)</f>
        <v>0</v>
      </c>
      <c r="J8" s="16">
        <f>IFERROR((INDEX(Overheads!$H:$H, MATCH(TEXT(B8,"yyyy-mm"), TEXT(Overheads!$A:$A,"yyyy-mm"),0)) / MAX(SUMIFS($H:$H,$B:$B,"&gt;="&amp;EOMONTH(B8,-1)+1,$B:$B,"&lt;="&amp;EOMONTH(B8,0)),1)) * H8,0)</f>
        <v>0</v>
      </c>
      <c r="K8" s="16">
        <f t="shared" ca="1" si="1"/>
        <v>0</v>
      </c>
      <c r="L8" s="16">
        <f t="shared" ca="1" si="2"/>
        <v>0</v>
      </c>
      <c r="M8" s="11"/>
    </row>
    <row r="9" spans="1:14">
      <c r="B9" s="30"/>
      <c r="C9" s="11"/>
      <c r="D9" t="str">
        <f>IFERROR(VLOOKUP(C9,'Products Index'!$A:$B,2,FALSE),"")</f>
        <v/>
      </c>
      <c r="E9" s="25"/>
      <c r="F9" s="25"/>
      <c r="G9" s="25"/>
      <c r="H9">
        <f t="shared" si="0"/>
        <v>0</v>
      </c>
      <c r="I9" s="16">
        <f ca="1">IFERROR(INDIRECT("'"&amp;D9&amp;"'!$B$18")*(E9/VLOOKUP(C9,'Products Index'!$A:$E,5,FALSE)),0)</f>
        <v>0</v>
      </c>
      <c r="J9" s="16">
        <f>IFERROR((INDEX(Overheads!$H:$H, MATCH(TEXT(B9,"yyyy-mm"), TEXT(Overheads!$A:$A,"yyyy-mm"),0)) / MAX(SUMIFS($H:$H,$B:$B,"&gt;="&amp;EOMONTH(B9,-1)+1,$B:$B,"&lt;="&amp;EOMONTH(B9,0)),1)) * H9,0)</f>
        <v>0</v>
      </c>
      <c r="K9" s="16">
        <f t="shared" ca="1" si="1"/>
        <v>0</v>
      </c>
      <c r="L9" s="16">
        <f t="shared" ca="1" si="2"/>
        <v>0</v>
      </c>
      <c r="M9" s="11"/>
    </row>
    <row r="10" spans="1:14">
      <c r="B10" s="30"/>
      <c r="C10" s="11"/>
      <c r="D10" t="str">
        <f>IFERROR(VLOOKUP(C10,'Products Index'!$A:$B,2,FALSE),"")</f>
        <v/>
      </c>
      <c r="E10" s="25"/>
      <c r="F10" s="25"/>
      <c r="G10" s="25"/>
      <c r="H10">
        <f t="shared" si="0"/>
        <v>0</v>
      </c>
      <c r="I10" s="16">
        <f ca="1">IFERROR(INDIRECT("'"&amp;D10&amp;"'!$B$18")*(E10/VLOOKUP(C10,'Products Index'!$A:$E,5,FALSE)),0)</f>
        <v>0</v>
      </c>
      <c r="J10" s="16">
        <f>IFERROR((INDEX(Overheads!$H:$H, MATCH(TEXT(B10,"yyyy-mm"), TEXT(Overheads!$A:$A,"yyyy-mm"),0)) / MAX(SUMIFS($H:$H,$B:$B,"&gt;="&amp;EOMONTH(B10,-1)+1,$B:$B,"&lt;="&amp;EOMONTH(B10,0)),1)) * H10,0)</f>
        <v>0</v>
      </c>
      <c r="K10" s="16">
        <f t="shared" ca="1" si="1"/>
        <v>0</v>
      </c>
      <c r="L10" s="16">
        <f t="shared" ca="1" si="2"/>
        <v>0</v>
      </c>
      <c r="M10" s="11"/>
    </row>
    <row r="11" spans="1:14">
      <c r="B11" s="30"/>
      <c r="C11" s="11"/>
      <c r="D11" t="str">
        <f>IFERROR(VLOOKUP(C11,'Products Index'!$A:$B,2,FALSE),"")</f>
        <v/>
      </c>
      <c r="E11" s="25"/>
      <c r="F11" s="25"/>
      <c r="G11" s="25"/>
      <c r="H11">
        <f t="shared" si="0"/>
        <v>0</v>
      </c>
      <c r="I11" s="16">
        <f ca="1">IFERROR(INDIRECT("'"&amp;D11&amp;"'!$B$18")*(E11/VLOOKUP(C11,'Products Index'!$A:$E,5,FALSE)),0)</f>
        <v>0</v>
      </c>
      <c r="J11" s="16">
        <f>IFERROR((INDEX(Overheads!$H:$H, MATCH(TEXT(B11,"yyyy-mm"), TEXT(Overheads!$A:$A,"yyyy-mm"),0)) / MAX(SUMIFS($H:$H,$B:$B,"&gt;="&amp;EOMONTH(B11,-1)+1,$B:$B,"&lt;="&amp;EOMONTH(B11,0)),1)) * H11,0)</f>
        <v>0</v>
      </c>
      <c r="K11" s="16">
        <f t="shared" ca="1" si="1"/>
        <v>0</v>
      </c>
      <c r="L11" s="16">
        <f t="shared" ca="1" si="2"/>
        <v>0</v>
      </c>
      <c r="M11" s="11"/>
    </row>
    <row r="12" spans="1:14">
      <c r="B12" s="30"/>
      <c r="C12" s="11"/>
      <c r="D12" t="str">
        <f>IFERROR(VLOOKUP(C12,'Products Index'!$A:$B,2,FALSE),"")</f>
        <v/>
      </c>
      <c r="E12" s="25"/>
      <c r="F12" s="25"/>
      <c r="G12" s="25"/>
      <c r="H12">
        <f t="shared" si="0"/>
        <v>0</v>
      </c>
      <c r="I12" s="16">
        <f ca="1">IFERROR(INDIRECT("'"&amp;D12&amp;"'!$B$18")*(E12/VLOOKUP(C12,'Products Index'!$A:$E,5,FALSE)),0)</f>
        <v>0</v>
      </c>
      <c r="J12" s="16">
        <f>IFERROR((INDEX(Overheads!$H:$H, MATCH(TEXT(B12,"yyyy-mm"), TEXT(Overheads!$A:$A,"yyyy-mm"),0)) / MAX(SUMIFS($H:$H,$B:$B,"&gt;="&amp;EOMONTH(B12,-1)+1,$B:$B,"&lt;="&amp;EOMONTH(B12,0)),1)) * H12,0)</f>
        <v>0</v>
      </c>
      <c r="K12" s="16">
        <f t="shared" ca="1" si="1"/>
        <v>0</v>
      </c>
      <c r="L12" s="16">
        <f t="shared" ca="1" si="2"/>
        <v>0</v>
      </c>
      <c r="M12" s="11"/>
    </row>
    <row r="13" spans="1:14">
      <c r="B13" s="30"/>
      <c r="C13" s="11"/>
      <c r="D13" t="str">
        <f>IFERROR(VLOOKUP(C13,'Products Index'!$A:$B,2,FALSE),"")</f>
        <v/>
      </c>
      <c r="E13" s="25"/>
      <c r="F13" s="25"/>
      <c r="G13" s="25"/>
      <c r="H13">
        <f t="shared" si="0"/>
        <v>0</v>
      </c>
      <c r="I13" s="16">
        <f ca="1">IFERROR(INDIRECT("'"&amp;D13&amp;"'!$B$18")*(E13/VLOOKUP(C13,'Products Index'!$A:$E,5,FALSE)),0)</f>
        <v>0</v>
      </c>
      <c r="J13" s="16">
        <f>IFERROR((INDEX(Overheads!$H:$H, MATCH(TEXT(B13,"yyyy-mm"), TEXT(Overheads!$A:$A,"yyyy-mm"),0)) / MAX(SUMIFS($H:$H,$B:$B,"&gt;="&amp;EOMONTH(B13,-1)+1,$B:$B,"&lt;="&amp;EOMONTH(B13,0)),1)) * H13,0)</f>
        <v>0</v>
      </c>
      <c r="K13" s="16">
        <f t="shared" ca="1" si="1"/>
        <v>0</v>
      </c>
      <c r="L13" s="16">
        <f t="shared" ca="1" si="2"/>
        <v>0</v>
      </c>
      <c r="M13" s="11"/>
    </row>
    <row r="14" spans="1:14">
      <c r="B14" s="30"/>
      <c r="C14" s="11"/>
      <c r="D14" t="str">
        <f>IFERROR(VLOOKUP(C14,'Products Index'!$A:$B,2,FALSE),"")</f>
        <v/>
      </c>
      <c r="E14" s="25"/>
      <c r="F14" s="25"/>
      <c r="G14" s="25"/>
      <c r="H14">
        <f t="shared" si="0"/>
        <v>0</v>
      </c>
      <c r="I14" s="16">
        <f ca="1">IFERROR(INDIRECT("'"&amp;D14&amp;"'!$B$18")*(E14/VLOOKUP(C14,'Products Index'!$A:$E,5,FALSE)),0)</f>
        <v>0</v>
      </c>
      <c r="J14" s="16">
        <f>IFERROR((INDEX(Overheads!$H:$H, MATCH(TEXT(B14,"yyyy-mm"), TEXT(Overheads!$A:$A,"yyyy-mm"),0)) / MAX(SUMIFS($H:$H,$B:$B,"&gt;="&amp;EOMONTH(B14,-1)+1,$B:$B,"&lt;="&amp;EOMONTH(B14,0)),1)) * H14,0)</f>
        <v>0</v>
      </c>
      <c r="K14" s="16">
        <f t="shared" ca="1" si="1"/>
        <v>0</v>
      </c>
      <c r="L14" s="16">
        <f t="shared" ca="1" si="2"/>
        <v>0</v>
      </c>
      <c r="M14" s="11"/>
    </row>
    <row r="15" spans="1:14">
      <c r="B15" s="30"/>
      <c r="C15" s="11"/>
      <c r="D15" t="str">
        <f>IFERROR(VLOOKUP(C15,'Products Index'!$A:$B,2,FALSE),"")</f>
        <v/>
      </c>
      <c r="E15" s="25"/>
      <c r="F15" s="25"/>
      <c r="G15" s="25"/>
      <c r="H15">
        <f t="shared" si="0"/>
        <v>0</v>
      </c>
      <c r="I15" s="16">
        <f ca="1">IFERROR(INDIRECT("'"&amp;D15&amp;"'!$B$18")*(E15/VLOOKUP(C15,'Products Index'!$A:$E,5,FALSE)),0)</f>
        <v>0</v>
      </c>
      <c r="J15" s="16">
        <f>IFERROR((INDEX(Overheads!$H:$H, MATCH(TEXT(B15,"yyyy-mm"), TEXT(Overheads!$A:$A,"yyyy-mm"),0)) / MAX(SUMIFS($H:$H,$B:$B,"&gt;="&amp;EOMONTH(B15,-1)+1,$B:$B,"&lt;="&amp;EOMONTH(B15,0)),1)) * H15,0)</f>
        <v>0</v>
      </c>
      <c r="K15" s="16">
        <f t="shared" ca="1" si="1"/>
        <v>0</v>
      </c>
      <c r="L15" s="16">
        <f t="shared" ca="1" si="2"/>
        <v>0</v>
      </c>
      <c r="M15" s="11"/>
    </row>
    <row r="16" spans="1:14">
      <c r="B16" s="30"/>
      <c r="C16" s="11"/>
      <c r="D16" t="str">
        <f>IFERROR(VLOOKUP(C16,'Products Index'!$A:$B,2,FALSE),"")</f>
        <v/>
      </c>
      <c r="E16" s="25"/>
      <c r="F16" s="25"/>
      <c r="G16" s="25"/>
      <c r="H16">
        <f t="shared" si="0"/>
        <v>0</v>
      </c>
      <c r="I16" s="16">
        <f ca="1">IFERROR(INDIRECT("'"&amp;D16&amp;"'!$B$18")*(E16/VLOOKUP(C16,'Products Index'!$A:$E,5,FALSE)),0)</f>
        <v>0</v>
      </c>
      <c r="J16" s="16">
        <f>IFERROR((INDEX(Overheads!$H:$H, MATCH(TEXT(B16,"yyyy-mm"), TEXT(Overheads!$A:$A,"yyyy-mm"),0)) / MAX(SUMIFS($H:$H,$B:$B,"&gt;="&amp;EOMONTH(B16,-1)+1,$B:$B,"&lt;="&amp;EOMONTH(B16,0)),1)) * H16,0)</f>
        <v>0</v>
      </c>
      <c r="K16" s="16">
        <f t="shared" ca="1" si="1"/>
        <v>0</v>
      </c>
      <c r="L16" s="16">
        <f t="shared" ca="1" si="2"/>
        <v>0</v>
      </c>
      <c r="M16" s="11"/>
    </row>
    <row r="17" spans="2:13">
      <c r="B17" s="30"/>
      <c r="C17" s="11"/>
      <c r="D17" t="str">
        <f>IFERROR(VLOOKUP(C17,'Products Index'!$A:$B,2,FALSE),"")</f>
        <v/>
      </c>
      <c r="E17" s="25"/>
      <c r="F17" s="25"/>
      <c r="G17" s="25"/>
      <c r="H17">
        <f t="shared" si="0"/>
        <v>0</v>
      </c>
      <c r="I17" s="16">
        <f ca="1">IFERROR(INDIRECT("'"&amp;D17&amp;"'!$B$18")*(E17/VLOOKUP(C17,'Products Index'!$A:$E,5,FALSE)),0)</f>
        <v>0</v>
      </c>
      <c r="J17" s="16">
        <f>IFERROR((INDEX(Overheads!$H:$H, MATCH(TEXT(B17,"yyyy-mm"), TEXT(Overheads!$A:$A,"yyyy-mm"),0)) / MAX(SUMIFS($H:$H,$B:$B,"&gt;="&amp;EOMONTH(B17,-1)+1,$B:$B,"&lt;="&amp;EOMONTH(B17,0)),1)) * H17,0)</f>
        <v>0</v>
      </c>
      <c r="K17" s="16">
        <f t="shared" ca="1" si="1"/>
        <v>0</v>
      </c>
      <c r="L17" s="16">
        <f t="shared" ca="1" si="2"/>
        <v>0</v>
      </c>
      <c r="M17" s="11"/>
    </row>
    <row r="18" spans="2:13">
      <c r="B18" s="30"/>
      <c r="C18" s="11"/>
      <c r="D18" t="str">
        <f>IFERROR(VLOOKUP(C18,'Products Index'!$A:$B,2,FALSE),"")</f>
        <v/>
      </c>
      <c r="E18" s="25"/>
      <c r="F18" s="25"/>
      <c r="G18" s="25"/>
      <c r="H18">
        <f t="shared" si="0"/>
        <v>0</v>
      </c>
      <c r="I18" s="16">
        <f ca="1">IFERROR(INDIRECT("'"&amp;D18&amp;"'!$B$18")*(E18/VLOOKUP(C18,'Products Index'!$A:$E,5,FALSE)),0)</f>
        <v>0</v>
      </c>
      <c r="J18" s="16">
        <f>IFERROR((INDEX(Overheads!$H:$H, MATCH(TEXT(B18,"yyyy-mm"), TEXT(Overheads!$A:$A,"yyyy-mm"),0)) / MAX(SUMIFS($H:$H,$B:$B,"&gt;="&amp;EOMONTH(B18,-1)+1,$B:$B,"&lt;="&amp;EOMONTH(B18,0)),1)) * H18,0)</f>
        <v>0</v>
      </c>
      <c r="K18" s="16">
        <f t="shared" ca="1" si="1"/>
        <v>0</v>
      </c>
      <c r="L18" s="16">
        <f t="shared" ca="1" si="2"/>
        <v>0</v>
      </c>
      <c r="M18" s="11"/>
    </row>
    <row r="19" spans="2:13">
      <c r="B19" s="30"/>
      <c r="C19" s="11"/>
      <c r="D19" t="str">
        <f>IFERROR(VLOOKUP(C19,'Products Index'!$A:$B,2,FALSE),"")</f>
        <v/>
      </c>
      <c r="E19" s="25"/>
      <c r="F19" s="25"/>
      <c r="G19" s="25"/>
      <c r="H19">
        <f t="shared" si="0"/>
        <v>0</v>
      </c>
      <c r="I19" s="16">
        <f ca="1">IFERROR(INDIRECT("'"&amp;D19&amp;"'!$B$18")*(E19/VLOOKUP(C19,'Products Index'!$A:$E,5,FALSE)),0)</f>
        <v>0</v>
      </c>
      <c r="J19" s="16">
        <f>IFERROR((INDEX(Overheads!$H:$H, MATCH(TEXT(B19,"yyyy-mm"), TEXT(Overheads!$A:$A,"yyyy-mm"),0)) / MAX(SUMIFS($H:$H,$B:$B,"&gt;="&amp;EOMONTH(B19,-1)+1,$B:$B,"&lt;="&amp;EOMONTH(B19,0)),1)) * H19,0)</f>
        <v>0</v>
      </c>
      <c r="K19" s="16">
        <f t="shared" ca="1" si="1"/>
        <v>0</v>
      </c>
      <c r="L19" s="16">
        <f t="shared" ca="1" si="2"/>
        <v>0</v>
      </c>
      <c r="M19" s="11"/>
    </row>
    <row r="20" spans="2:13">
      <c r="B20" s="30"/>
      <c r="C20" s="11"/>
      <c r="D20" t="str">
        <f>IFERROR(VLOOKUP(C20,'Products Index'!$A:$B,2,FALSE),"")</f>
        <v/>
      </c>
      <c r="E20" s="25"/>
      <c r="F20" s="25"/>
      <c r="G20" s="25"/>
      <c r="H20">
        <f t="shared" si="0"/>
        <v>0</v>
      </c>
      <c r="I20" s="16">
        <f ca="1">IFERROR(INDIRECT("'"&amp;D20&amp;"'!$B$18")*(E20/VLOOKUP(C20,'Products Index'!$A:$E,5,FALSE)),0)</f>
        <v>0</v>
      </c>
      <c r="J20" s="16">
        <f>IFERROR((INDEX(Overheads!$H:$H, MATCH(TEXT(B20,"yyyy-mm"), TEXT(Overheads!$A:$A,"yyyy-mm"),0)) / MAX(SUMIFS($H:$H,$B:$B,"&gt;="&amp;EOMONTH(B20,-1)+1,$B:$B,"&lt;="&amp;EOMONTH(B20,0)),1)) * H20,0)</f>
        <v>0</v>
      </c>
      <c r="K20" s="16">
        <f t="shared" ca="1" si="1"/>
        <v>0</v>
      </c>
      <c r="L20" s="16">
        <f t="shared" ca="1" si="2"/>
        <v>0</v>
      </c>
      <c r="M20" s="11"/>
    </row>
    <row r="21" spans="2:13">
      <c r="B21" s="30"/>
      <c r="C21" s="11"/>
      <c r="D21" t="str">
        <f>IFERROR(VLOOKUP(C21,'Products Index'!$A:$B,2,FALSE),"")</f>
        <v/>
      </c>
      <c r="E21" s="25"/>
      <c r="F21" s="25"/>
      <c r="G21" s="25"/>
      <c r="H21">
        <f t="shared" si="0"/>
        <v>0</v>
      </c>
      <c r="I21" s="16">
        <f ca="1">IFERROR(INDIRECT("'"&amp;D21&amp;"'!$B$18")*(E21/VLOOKUP(C21,'Products Index'!$A:$E,5,FALSE)),0)</f>
        <v>0</v>
      </c>
      <c r="J21" s="16">
        <f>IFERROR((INDEX(Overheads!$H:$H, MATCH(TEXT(B21,"yyyy-mm"), TEXT(Overheads!$A:$A,"yyyy-mm"),0)) / MAX(SUMIFS($H:$H,$B:$B,"&gt;="&amp;EOMONTH(B21,-1)+1,$B:$B,"&lt;="&amp;EOMONTH(B21,0)),1)) * H21,0)</f>
        <v>0</v>
      </c>
      <c r="K21" s="16">
        <f t="shared" ca="1" si="1"/>
        <v>0</v>
      </c>
      <c r="L21" s="16">
        <f t="shared" ca="1" si="2"/>
        <v>0</v>
      </c>
      <c r="M21" s="11"/>
    </row>
    <row r="22" spans="2:13">
      <c r="B22" s="30"/>
      <c r="C22" s="11"/>
      <c r="D22" t="str">
        <f>IFERROR(VLOOKUP(C22,'Products Index'!$A:$B,2,FALSE),"")</f>
        <v/>
      </c>
      <c r="E22" s="25"/>
      <c r="F22" s="25"/>
      <c r="G22" s="25"/>
      <c r="H22">
        <f t="shared" si="0"/>
        <v>0</v>
      </c>
      <c r="I22" s="16">
        <f ca="1">IFERROR(INDIRECT("'"&amp;D22&amp;"'!$B$18")*(E22/VLOOKUP(C22,'Products Index'!$A:$E,5,FALSE)),0)</f>
        <v>0</v>
      </c>
      <c r="J22" s="16">
        <f>IFERROR((INDEX(Overheads!$H:$H, MATCH(TEXT(B22,"yyyy-mm"), TEXT(Overheads!$A:$A,"yyyy-mm"),0)) / MAX(SUMIFS($H:$H,$B:$B,"&gt;="&amp;EOMONTH(B22,-1)+1,$B:$B,"&lt;="&amp;EOMONTH(B22,0)),1)) * H22,0)</f>
        <v>0</v>
      </c>
      <c r="K22" s="16">
        <f t="shared" ca="1" si="1"/>
        <v>0</v>
      </c>
      <c r="L22" s="16">
        <f t="shared" ca="1" si="2"/>
        <v>0</v>
      </c>
      <c r="M22" s="11"/>
    </row>
    <row r="23" spans="2:13">
      <c r="B23" s="30"/>
      <c r="C23" s="11"/>
      <c r="D23" t="str">
        <f>IFERROR(VLOOKUP(C23,'Products Index'!$A:$B,2,FALSE),"")</f>
        <v/>
      </c>
      <c r="E23" s="25"/>
      <c r="F23" s="25"/>
      <c r="G23" s="25"/>
      <c r="H23">
        <f t="shared" si="0"/>
        <v>0</v>
      </c>
      <c r="I23" s="16">
        <f ca="1">IFERROR(INDIRECT("'"&amp;D23&amp;"'!$B$18")*(E23/VLOOKUP(C23,'Products Index'!$A:$E,5,FALSE)),0)</f>
        <v>0</v>
      </c>
      <c r="J23" s="16">
        <f>IFERROR((INDEX(Overheads!$H:$H, MATCH(TEXT(B23,"yyyy-mm"), TEXT(Overheads!$A:$A,"yyyy-mm"),0)) / MAX(SUMIFS($H:$H,$B:$B,"&gt;="&amp;EOMONTH(B23,-1)+1,$B:$B,"&lt;="&amp;EOMONTH(B23,0)),1)) * H23,0)</f>
        <v>0</v>
      </c>
      <c r="K23" s="16">
        <f t="shared" ca="1" si="1"/>
        <v>0</v>
      </c>
      <c r="L23" s="16">
        <f t="shared" ca="1" si="2"/>
        <v>0</v>
      </c>
      <c r="M23" s="11"/>
    </row>
    <row r="24" spans="2:13">
      <c r="B24" s="30"/>
      <c r="C24" s="11"/>
      <c r="D24" t="str">
        <f>IFERROR(VLOOKUP(C24,'Products Index'!$A:$B,2,FALSE),"")</f>
        <v/>
      </c>
      <c r="E24" s="25"/>
      <c r="F24" s="25"/>
      <c r="G24" s="25"/>
      <c r="H24">
        <f t="shared" si="0"/>
        <v>0</v>
      </c>
      <c r="I24" s="16">
        <f ca="1">IFERROR(INDIRECT("'"&amp;D24&amp;"'!$B$18")*(E24/VLOOKUP(C24,'Products Index'!$A:$E,5,FALSE)),0)</f>
        <v>0</v>
      </c>
      <c r="J24" s="16">
        <f>IFERROR((INDEX(Overheads!$H:$H, MATCH(TEXT(B24,"yyyy-mm"), TEXT(Overheads!$A:$A,"yyyy-mm"),0)) / MAX(SUMIFS($H:$H,$B:$B,"&gt;="&amp;EOMONTH(B24,-1)+1,$B:$B,"&lt;="&amp;EOMONTH(B24,0)),1)) * H24,0)</f>
        <v>0</v>
      </c>
      <c r="K24" s="16">
        <f t="shared" ca="1" si="1"/>
        <v>0</v>
      </c>
      <c r="L24" s="16">
        <f t="shared" ca="1" si="2"/>
        <v>0</v>
      </c>
      <c r="M24" s="11"/>
    </row>
    <row r="25" spans="2:13">
      <c r="B25" s="30"/>
      <c r="C25" s="11"/>
      <c r="D25" t="str">
        <f>IFERROR(VLOOKUP(C25,'Products Index'!$A:$B,2,FALSE),"")</f>
        <v/>
      </c>
      <c r="E25" s="25"/>
      <c r="F25" s="25"/>
      <c r="G25" s="25"/>
      <c r="H25">
        <f t="shared" si="0"/>
        <v>0</v>
      </c>
      <c r="I25" s="16">
        <f ca="1">IFERROR(INDIRECT("'"&amp;D25&amp;"'!$B$18")*(E25/VLOOKUP(C25,'Products Index'!$A:$E,5,FALSE)),0)</f>
        <v>0</v>
      </c>
      <c r="J25" s="16">
        <f>IFERROR((INDEX(Overheads!$H:$H, MATCH(TEXT(B25,"yyyy-mm"), TEXT(Overheads!$A:$A,"yyyy-mm"),0)) / MAX(SUMIFS($H:$H,$B:$B,"&gt;="&amp;EOMONTH(B25,-1)+1,$B:$B,"&lt;="&amp;EOMONTH(B25,0)),1)) * H25,0)</f>
        <v>0</v>
      </c>
      <c r="K25" s="16">
        <f t="shared" ca="1" si="1"/>
        <v>0</v>
      </c>
      <c r="L25" s="16">
        <f t="shared" ca="1" si="2"/>
        <v>0</v>
      </c>
      <c r="M25" s="11"/>
    </row>
    <row r="26" spans="2:13">
      <c r="B26" s="30"/>
      <c r="C26" s="11"/>
      <c r="D26" t="str">
        <f>IFERROR(VLOOKUP(C26,'Products Index'!$A:$B,2,FALSE),"")</f>
        <v/>
      </c>
      <c r="E26" s="25"/>
      <c r="F26" s="25"/>
      <c r="G26" s="25"/>
      <c r="H26">
        <f t="shared" si="0"/>
        <v>0</v>
      </c>
      <c r="I26" s="16">
        <f ca="1">IFERROR(INDIRECT("'"&amp;D26&amp;"'!$B$18")*(E26/VLOOKUP(C26,'Products Index'!$A:$E,5,FALSE)),0)</f>
        <v>0</v>
      </c>
      <c r="J26" s="16">
        <f>IFERROR((INDEX(Overheads!$H:$H, MATCH(TEXT(B26,"yyyy-mm"), TEXT(Overheads!$A:$A,"yyyy-mm"),0)) / MAX(SUMIFS($H:$H,$B:$B,"&gt;="&amp;EOMONTH(B26,-1)+1,$B:$B,"&lt;="&amp;EOMONTH(B26,0)),1)) * H26,0)</f>
        <v>0</v>
      </c>
      <c r="K26" s="16">
        <f t="shared" ca="1" si="1"/>
        <v>0</v>
      </c>
      <c r="L26" s="16">
        <f t="shared" ca="1" si="2"/>
        <v>0</v>
      </c>
      <c r="M26" s="11"/>
    </row>
    <row r="27" spans="2:13">
      <c r="B27" s="30"/>
      <c r="C27" s="11"/>
      <c r="D27" t="str">
        <f>IFERROR(VLOOKUP(C27,'Products Index'!$A:$B,2,FALSE),"")</f>
        <v/>
      </c>
      <c r="E27" s="25"/>
      <c r="F27" s="25"/>
      <c r="G27" s="25"/>
      <c r="H27">
        <f t="shared" si="0"/>
        <v>0</v>
      </c>
      <c r="I27" s="16">
        <f ca="1">IFERROR(INDIRECT("'"&amp;D27&amp;"'!$B$18")*(E27/VLOOKUP(C27,'Products Index'!$A:$E,5,FALSE)),0)</f>
        <v>0</v>
      </c>
      <c r="J27" s="16">
        <f>IFERROR((INDEX(Overheads!$H:$H, MATCH(TEXT(B27,"yyyy-mm"), TEXT(Overheads!$A:$A,"yyyy-mm"),0)) / MAX(SUMIFS($H:$H,$B:$B,"&gt;="&amp;EOMONTH(B27,-1)+1,$B:$B,"&lt;="&amp;EOMONTH(B27,0)),1)) * H27,0)</f>
        <v>0</v>
      </c>
      <c r="K27" s="16">
        <f t="shared" ca="1" si="1"/>
        <v>0</v>
      </c>
      <c r="L27" s="16">
        <f t="shared" ca="1" si="2"/>
        <v>0</v>
      </c>
      <c r="M27" s="11"/>
    </row>
    <row r="28" spans="2:13">
      <c r="B28" s="30"/>
      <c r="C28" s="11"/>
      <c r="D28" t="str">
        <f>IFERROR(VLOOKUP(C28,'Products Index'!$A:$B,2,FALSE),"")</f>
        <v/>
      </c>
      <c r="E28" s="25"/>
      <c r="F28" s="25"/>
      <c r="G28" s="25"/>
      <c r="H28">
        <f t="shared" si="0"/>
        <v>0</v>
      </c>
      <c r="I28" s="16">
        <f ca="1">IFERROR(INDIRECT("'"&amp;D28&amp;"'!$B$18")*(E28/VLOOKUP(C28,'Products Index'!$A:$E,5,FALSE)),0)</f>
        <v>0</v>
      </c>
      <c r="J28" s="16">
        <f>IFERROR((INDEX(Overheads!$H:$H, MATCH(TEXT(B28,"yyyy-mm"), TEXT(Overheads!$A:$A,"yyyy-mm"),0)) / MAX(SUMIFS($H:$H,$B:$B,"&gt;="&amp;EOMONTH(B28,-1)+1,$B:$B,"&lt;="&amp;EOMONTH(B28,0)),1)) * H28,0)</f>
        <v>0</v>
      </c>
      <c r="K28" s="16">
        <f t="shared" ca="1" si="1"/>
        <v>0</v>
      </c>
      <c r="L28" s="16">
        <f t="shared" ca="1" si="2"/>
        <v>0</v>
      </c>
      <c r="M28" s="11"/>
    </row>
    <row r="29" spans="2:13">
      <c r="B29" s="30"/>
      <c r="C29" s="11"/>
      <c r="D29" t="str">
        <f>IFERROR(VLOOKUP(C29,'Products Index'!$A:$B,2,FALSE),"")</f>
        <v/>
      </c>
      <c r="E29" s="25"/>
      <c r="F29" s="25"/>
      <c r="G29" s="25"/>
      <c r="H29">
        <f t="shared" si="0"/>
        <v>0</v>
      </c>
      <c r="I29" s="16">
        <f ca="1">IFERROR(INDIRECT("'"&amp;D29&amp;"'!$B$18")*(E29/VLOOKUP(C29,'Products Index'!$A:$E,5,FALSE)),0)</f>
        <v>0</v>
      </c>
      <c r="J29" s="16">
        <f>IFERROR((INDEX(Overheads!$H:$H, MATCH(TEXT(B29,"yyyy-mm"), TEXT(Overheads!$A:$A,"yyyy-mm"),0)) / MAX(SUMIFS($H:$H,$B:$B,"&gt;="&amp;EOMONTH(B29,-1)+1,$B:$B,"&lt;="&amp;EOMONTH(B29,0)),1)) * H29,0)</f>
        <v>0</v>
      </c>
      <c r="K29" s="16">
        <f t="shared" ca="1" si="1"/>
        <v>0</v>
      </c>
      <c r="L29" s="16">
        <f t="shared" ca="1" si="2"/>
        <v>0</v>
      </c>
      <c r="M29" s="11"/>
    </row>
    <row r="30" spans="2:13">
      <c r="B30" s="30"/>
      <c r="C30" s="11"/>
      <c r="D30" t="str">
        <f>IFERROR(VLOOKUP(C30,'Products Index'!$A:$B,2,FALSE),"")</f>
        <v/>
      </c>
      <c r="E30" s="25"/>
      <c r="F30" s="25"/>
      <c r="G30" s="25"/>
      <c r="H30">
        <f t="shared" si="0"/>
        <v>0</v>
      </c>
      <c r="I30" s="16">
        <f ca="1">IFERROR(INDIRECT("'"&amp;D30&amp;"'!$B$18")*(E30/VLOOKUP(C30,'Products Index'!$A:$E,5,FALSE)),0)</f>
        <v>0</v>
      </c>
      <c r="J30" s="16">
        <f>IFERROR((INDEX(Overheads!$H:$H, MATCH(TEXT(B30,"yyyy-mm"), TEXT(Overheads!$A:$A,"yyyy-mm"),0)) / MAX(SUMIFS($H:$H,$B:$B,"&gt;="&amp;EOMONTH(B30,-1)+1,$B:$B,"&lt;="&amp;EOMONTH(B30,0)),1)) * H30,0)</f>
        <v>0</v>
      </c>
      <c r="K30" s="16">
        <f t="shared" ca="1" si="1"/>
        <v>0</v>
      </c>
      <c r="L30" s="16">
        <f t="shared" ca="1" si="2"/>
        <v>0</v>
      </c>
      <c r="M30" s="11"/>
    </row>
    <row r="31" spans="2:13">
      <c r="B31" s="30"/>
      <c r="C31" s="11"/>
      <c r="D31" t="str">
        <f>IFERROR(VLOOKUP(C31,'Products Index'!$A:$B,2,FALSE),"")</f>
        <v/>
      </c>
      <c r="E31" s="25"/>
      <c r="F31" s="25"/>
      <c r="G31" s="25"/>
      <c r="H31">
        <f t="shared" si="0"/>
        <v>0</v>
      </c>
      <c r="I31" s="16">
        <f ca="1">IFERROR(INDIRECT("'"&amp;D31&amp;"'!$B$18")*(E31/VLOOKUP(C31,'Products Index'!$A:$E,5,FALSE)),0)</f>
        <v>0</v>
      </c>
      <c r="J31" s="16">
        <f>IFERROR((INDEX(Overheads!$H:$H, MATCH(TEXT(B31,"yyyy-mm"), TEXT(Overheads!$A:$A,"yyyy-mm"),0)) / MAX(SUMIFS($H:$H,$B:$B,"&gt;="&amp;EOMONTH(B31,-1)+1,$B:$B,"&lt;="&amp;EOMONTH(B31,0)),1)) * H31,0)</f>
        <v>0</v>
      </c>
      <c r="K31" s="16">
        <f t="shared" ca="1" si="1"/>
        <v>0</v>
      </c>
      <c r="L31" s="16">
        <f t="shared" ca="1" si="2"/>
        <v>0</v>
      </c>
      <c r="M31" s="11"/>
    </row>
    <row r="32" spans="2:13">
      <c r="B32" s="30"/>
      <c r="C32" s="11"/>
      <c r="D32" t="str">
        <f>IFERROR(VLOOKUP(C32,'Products Index'!$A:$B,2,FALSE),"")</f>
        <v/>
      </c>
      <c r="E32" s="25"/>
      <c r="F32" s="25"/>
      <c r="G32" s="25"/>
      <c r="H32">
        <f t="shared" si="0"/>
        <v>0</v>
      </c>
      <c r="I32" s="16">
        <f ca="1">IFERROR(INDIRECT("'"&amp;D32&amp;"'!$B$18")*(E32/VLOOKUP(C32,'Products Index'!$A:$E,5,FALSE)),0)</f>
        <v>0</v>
      </c>
      <c r="J32" s="16">
        <f>IFERROR((INDEX(Overheads!$H:$H, MATCH(TEXT(B32,"yyyy-mm"), TEXT(Overheads!$A:$A,"yyyy-mm"),0)) / MAX(SUMIFS($H:$H,$B:$B,"&gt;="&amp;EOMONTH(B32,-1)+1,$B:$B,"&lt;="&amp;EOMONTH(B32,0)),1)) * H32,0)</f>
        <v>0</v>
      </c>
      <c r="K32" s="16">
        <f t="shared" ca="1" si="1"/>
        <v>0</v>
      </c>
      <c r="L32" s="16">
        <f t="shared" ca="1" si="2"/>
        <v>0</v>
      </c>
      <c r="M32" s="11"/>
    </row>
    <row r="33" spans="2:13">
      <c r="B33" s="30"/>
      <c r="C33" s="11"/>
      <c r="D33" t="str">
        <f>IFERROR(VLOOKUP(C33,'Products Index'!$A:$B,2,FALSE),"")</f>
        <v/>
      </c>
      <c r="E33" s="25"/>
      <c r="F33" s="25"/>
      <c r="G33" s="25"/>
      <c r="H33">
        <f t="shared" si="0"/>
        <v>0</v>
      </c>
      <c r="I33" s="16">
        <f ca="1">IFERROR(INDIRECT("'"&amp;D33&amp;"'!$B$18")*(E33/VLOOKUP(C33,'Products Index'!$A:$E,5,FALSE)),0)</f>
        <v>0</v>
      </c>
      <c r="J33" s="16">
        <f>IFERROR((INDEX(Overheads!$H:$H, MATCH(TEXT(B33,"yyyy-mm"), TEXT(Overheads!$A:$A,"yyyy-mm"),0)) / MAX(SUMIFS($H:$H,$B:$B,"&gt;="&amp;EOMONTH(B33,-1)+1,$B:$B,"&lt;="&amp;EOMONTH(B33,0)),1)) * H33,0)</f>
        <v>0</v>
      </c>
      <c r="K33" s="16">
        <f t="shared" ca="1" si="1"/>
        <v>0</v>
      </c>
      <c r="L33" s="16">
        <f t="shared" ca="1" si="2"/>
        <v>0</v>
      </c>
      <c r="M33" s="11"/>
    </row>
    <row r="34" spans="2:13">
      <c r="B34" s="30"/>
      <c r="C34" s="11"/>
      <c r="D34" t="str">
        <f>IFERROR(VLOOKUP(C34,'Products Index'!$A:$B,2,FALSE),"")</f>
        <v/>
      </c>
      <c r="E34" s="25"/>
      <c r="F34" s="25"/>
      <c r="G34" s="25"/>
      <c r="H34">
        <f t="shared" si="0"/>
        <v>0</v>
      </c>
      <c r="I34" s="16">
        <f ca="1">IFERROR(INDIRECT("'"&amp;D34&amp;"'!$B$18")*(E34/VLOOKUP(C34,'Products Index'!$A:$E,5,FALSE)),0)</f>
        <v>0</v>
      </c>
      <c r="J34" s="16">
        <f>IFERROR((INDEX(Overheads!$H:$H, MATCH(TEXT(B34,"yyyy-mm"), TEXT(Overheads!$A:$A,"yyyy-mm"),0)) / MAX(SUMIFS($H:$H,$B:$B,"&gt;="&amp;EOMONTH(B34,-1)+1,$B:$B,"&lt;="&amp;EOMONTH(B34,0)),1)) * H34,0)</f>
        <v>0</v>
      </c>
      <c r="K34" s="16">
        <f t="shared" ca="1" si="1"/>
        <v>0</v>
      </c>
      <c r="L34" s="16">
        <f t="shared" ca="1" si="2"/>
        <v>0</v>
      </c>
      <c r="M34" s="11"/>
    </row>
    <row r="35" spans="2:13">
      <c r="B35" s="30"/>
      <c r="C35" s="11"/>
      <c r="D35" t="str">
        <f>IFERROR(VLOOKUP(C35,'Products Index'!$A:$B,2,FALSE),"")</f>
        <v/>
      </c>
      <c r="E35" s="25"/>
      <c r="F35" s="25"/>
      <c r="G35" s="25"/>
      <c r="H35">
        <f t="shared" si="0"/>
        <v>0</v>
      </c>
      <c r="I35" s="16">
        <f ca="1">IFERROR(INDIRECT("'"&amp;D35&amp;"'!$B$18")*(E35/VLOOKUP(C35,'Products Index'!$A:$E,5,FALSE)),0)</f>
        <v>0</v>
      </c>
      <c r="J35" s="16">
        <f>IFERROR((INDEX(Overheads!$H:$H, MATCH(TEXT(B35,"yyyy-mm"), TEXT(Overheads!$A:$A,"yyyy-mm"),0)) / MAX(SUMIFS($H:$H,$B:$B,"&gt;="&amp;EOMONTH(B35,-1)+1,$B:$B,"&lt;="&amp;EOMONTH(B35,0)),1)) * H35,0)</f>
        <v>0</v>
      </c>
      <c r="K35" s="16">
        <f t="shared" ca="1" si="1"/>
        <v>0</v>
      </c>
      <c r="L35" s="16">
        <f t="shared" ca="1" si="2"/>
        <v>0</v>
      </c>
      <c r="M35" s="11"/>
    </row>
    <row r="36" spans="2:13">
      <c r="B36" s="30"/>
      <c r="C36" s="11"/>
      <c r="D36" t="str">
        <f>IFERROR(VLOOKUP(C36,'Products Index'!$A:$B,2,FALSE),"")</f>
        <v/>
      </c>
      <c r="E36" s="25"/>
      <c r="F36" s="25"/>
      <c r="G36" s="25"/>
      <c r="H36">
        <f t="shared" si="0"/>
        <v>0</v>
      </c>
      <c r="I36" s="16">
        <f ca="1">IFERROR(INDIRECT("'"&amp;D36&amp;"'!$B$18")*(E36/VLOOKUP(C36,'Products Index'!$A:$E,5,FALSE)),0)</f>
        <v>0</v>
      </c>
      <c r="J36" s="16">
        <f>IFERROR((INDEX(Overheads!$H:$H, MATCH(TEXT(B36,"yyyy-mm"), TEXT(Overheads!$A:$A,"yyyy-mm"),0)) / MAX(SUMIFS($H:$H,$B:$B,"&gt;="&amp;EOMONTH(B36,-1)+1,$B:$B,"&lt;="&amp;EOMONTH(B36,0)),1)) * H36,0)</f>
        <v>0</v>
      </c>
      <c r="K36" s="16">
        <f t="shared" ca="1" si="1"/>
        <v>0</v>
      </c>
      <c r="L36" s="16">
        <f t="shared" ca="1" si="2"/>
        <v>0</v>
      </c>
      <c r="M36" s="11"/>
    </row>
    <row r="37" spans="2:13">
      <c r="B37" s="30"/>
      <c r="C37" s="11"/>
      <c r="D37" t="str">
        <f>IFERROR(VLOOKUP(C37,'Products Index'!$A:$B,2,FALSE),"")</f>
        <v/>
      </c>
      <c r="E37" s="25"/>
      <c r="F37" s="25"/>
      <c r="G37" s="25"/>
      <c r="H37">
        <f t="shared" si="0"/>
        <v>0</v>
      </c>
      <c r="I37" s="16">
        <f ca="1">IFERROR(INDIRECT("'"&amp;D37&amp;"'!$B$18")*(E37/VLOOKUP(C37,'Products Index'!$A:$E,5,FALSE)),0)</f>
        <v>0</v>
      </c>
      <c r="J37" s="16">
        <f>IFERROR((INDEX(Overheads!$H:$H, MATCH(TEXT(B37,"yyyy-mm"), TEXT(Overheads!$A:$A,"yyyy-mm"),0)) / MAX(SUMIFS($H:$H,$B:$B,"&gt;="&amp;EOMONTH(B37,-1)+1,$B:$B,"&lt;="&amp;EOMONTH(B37,0)),1)) * H37,0)</f>
        <v>0</v>
      </c>
      <c r="K37" s="16">
        <f t="shared" ca="1" si="1"/>
        <v>0</v>
      </c>
      <c r="L37" s="16">
        <f t="shared" ca="1" si="2"/>
        <v>0</v>
      </c>
      <c r="M37" s="11"/>
    </row>
    <row r="38" spans="2:13">
      <c r="B38" s="30"/>
      <c r="C38" s="11"/>
      <c r="D38" t="str">
        <f>IFERROR(VLOOKUP(C38,'Products Index'!$A:$B,2,FALSE),"")</f>
        <v/>
      </c>
      <c r="E38" s="25"/>
      <c r="F38" s="25"/>
      <c r="G38" s="25"/>
      <c r="H38">
        <f t="shared" si="0"/>
        <v>0</v>
      </c>
      <c r="I38" s="16">
        <f ca="1">IFERROR(INDIRECT("'"&amp;D38&amp;"'!$B$18")*(E38/VLOOKUP(C38,'Products Index'!$A:$E,5,FALSE)),0)</f>
        <v>0</v>
      </c>
      <c r="J38" s="16">
        <f>IFERROR((INDEX(Overheads!$H:$H, MATCH(TEXT(B38,"yyyy-mm"), TEXT(Overheads!$A:$A,"yyyy-mm"),0)) / MAX(SUMIFS($H:$H,$B:$B,"&gt;="&amp;EOMONTH(B38,-1)+1,$B:$B,"&lt;="&amp;EOMONTH(B38,0)),1)) * H38,0)</f>
        <v>0</v>
      </c>
      <c r="K38" s="16">
        <f t="shared" ca="1" si="1"/>
        <v>0</v>
      </c>
      <c r="L38" s="16">
        <f t="shared" ca="1" si="2"/>
        <v>0</v>
      </c>
      <c r="M38" s="11"/>
    </row>
    <row r="39" spans="2:13">
      <c r="B39" s="30"/>
      <c r="C39" s="11"/>
      <c r="D39" t="str">
        <f>IFERROR(VLOOKUP(C39,'Products Index'!$A:$B,2,FALSE),"")</f>
        <v/>
      </c>
      <c r="E39" s="25"/>
      <c r="F39" s="25"/>
      <c r="G39" s="25"/>
      <c r="H39">
        <f t="shared" si="0"/>
        <v>0</v>
      </c>
      <c r="I39" s="16">
        <f ca="1">IFERROR(INDIRECT("'"&amp;D39&amp;"'!$B$18")*(E39/VLOOKUP(C39,'Products Index'!$A:$E,5,FALSE)),0)</f>
        <v>0</v>
      </c>
      <c r="J39" s="16">
        <f>IFERROR((INDEX(Overheads!$H:$H, MATCH(TEXT(B39,"yyyy-mm"), TEXT(Overheads!$A:$A,"yyyy-mm"),0)) / MAX(SUMIFS($H:$H,$B:$B,"&gt;="&amp;EOMONTH(B39,-1)+1,$B:$B,"&lt;="&amp;EOMONTH(B39,0)),1)) * H39,0)</f>
        <v>0</v>
      </c>
      <c r="K39" s="16">
        <f t="shared" ca="1" si="1"/>
        <v>0</v>
      </c>
      <c r="L39" s="16">
        <f t="shared" ca="1" si="2"/>
        <v>0</v>
      </c>
      <c r="M39" s="11"/>
    </row>
    <row r="40" spans="2:13">
      <c r="B40" s="30"/>
      <c r="C40" s="11"/>
      <c r="D40" t="str">
        <f>IFERROR(VLOOKUP(C40,'Products Index'!$A:$B,2,FALSE),"")</f>
        <v/>
      </c>
      <c r="E40" s="25"/>
      <c r="F40" s="25"/>
      <c r="G40" s="25"/>
      <c r="H40">
        <f t="shared" si="0"/>
        <v>0</v>
      </c>
      <c r="I40" s="16">
        <f ca="1">IFERROR(INDIRECT("'"&amp;D40&amp;"'!$B$18")*(E40/VLOOKUP(C40,'Products Index'!$A:$E,5,FALSE)),0)</f>
        <v>0</v>
      </c>
      <c r="J40" s="16">
        <f>IFERROR((INDEX(Overheads!$H:$H, MATCH(TEXT(B40,"yyyy-mm"), TEXT(Overheads!$A:$A,"yyyy-mm"),0)) / MAX(SUMIFS($H:$H,$B:$B,"&gt;="&amp;EOMONTH(B40,-1)+1,$B:$B,"&lt;="&amp;EOMONTH(B40,0)),1)) * H40,0)</f>
        <v>0</v>
      </c>
      <c r="K40" s="16">
        <f t="shared" ca="1" si="1"/>
        <v>0</v>
      </c>
      <c r="L40" s="16">
        <f t="shared" ca="1" si="2"/>
        <v>0</v>
      </c>
      <c r="M40" s="11"/>
    </row>
    <row r="41" spans="2:13">
      <c r="B41" s="30"/>
      <c r="C41" s="11"/>
      <c r="D41" t="str">
        <f>IFERROR(VLOOKUP(C41,'Products Index'!$A:$B,2,FALSE),"")</f>
        <v/>
      </c>
      <c r="E41" s="25"/>
      <c r="F41" s="25"/>
      <c r="G41" s="25"/>
      <c r="H41">
        <f t="shared" si="0"/>
        <v>0</v>
      </c>
      <c r="I41" s="16">
        <f ca="1">IFERROR(INDIRECT("'"&amp;D41&amp;"'!$B$18")*(E41/VLOOKUP(C41,'Products Index'!$A:$E,5,FALSE)),0)</f>
        <v>0</v>
      </c>
      <c r="J41" s="16">
        <f>IFERROR((INDEX(Overheads!$H:$H, MATCH(TEXT(B41,"yyyy-mm"), TEXT(Overheads!$A:$A,"yyyy-mm"),0)) / MAX(SUMIFS($H:$H,$B:$B,"&gt;="&amp;EOMONTH(B41,-1)+1,$B:$B,"&lt;="&amp;EOMONTH(B41,0)),1)) * H41,0)</f>
        <v>0</v>
      </c>
      <c r="K41" s="16">
        <f t="shared" ca="1" si="1"/>
        <v>0</v>
      </c>
      <c r="L41" s="16">
        <f t="shared" ca="1" si="2"/>
        <v>0</v>
      </c>
      <c r="M41" s="11"/>
    </row>
    <row r="42" spans="2:13">
      <c r="B42" s="30"/>
      <c r="C42" s="11"/>
      <c r="D42" t="str">
        <f>IFERROR(VLOOKUP(C42,'Products Index'!$A:$B,2,FALSE),"")</f>
        <v/>
      </c>
      <c r="E42" s="25"/>
      <c r="F42" s="25"/>
      <c r="G42" s="25"/>
      <c r="H42">
        <f t="shared" si="0"/>
        <v>0</v>
      </c>
      <c r="I42" s="16">
        <f ca="1">IFERROR(INDIRECT("'"&amp;D42&amp;"'!$B$18")*(E42/VLOOKUP(C42,'Products Index'!$A:$E,5,FALSE)),0)</f>
        <v>0</v>
      </c>
      <c r="J42" s="16">
        <f>IFERROR((INDEX(Overheads!$H:$H, MATCH(TEXT(B42,"yyyy-mm"), TEXT(Overheads!$A:$A,"yyyy-mm"),0)) / MAX(SUMIFS($H:$H,$B:$B,"&gt;="&amp;EOMONTH(B42,-1)+1,$B:$B,"&lt;="&amp;EOMONTH(B42,0)),1)) * H42,0)</f>
        <v>0</v>
      </c>
      <c r="K42" s="16">
        <f t="shared" ca="1" si="1"/>
        <v>0</v>
      </c>
      <c r="L42" s="16">
        <f t="shared" ca="1" si="2"/>
        <v>0</v>
      </c>
      <c r="M42" s="11"/>
    </row>
    <row r="43" spans="2:13">
      <c r="B43" s="30"/>
      <c r="C43" s="11"/>
      <c r="D43" t="str">
        <f>IFERROR(VLOOKUP(C43,'Products Index'!$A:$B,2,FALSE),"")</f>
        <v/>
      </c>
      <c r="E43" s="25"/>
      <c r="F43" s="25"/>
      <c r="G43" s="25"/>
      <c r="H43">
        <f t="shared" si="0"/>
        <v>0</v>
      </c>
      <c r="I43" s="16">
        <f ca="1">IFERROR(INDIRECT("'"&amp;D43&amp;"'!$B$18")*(E43/VLOOKUP(C43,'Products Index'!$A:$E,5,FALSE)),0)</f>
        <v>0</v>
      </c>
      <c r="J43" s="16">
        <f>IFERROR((INDEX(Overheads!$H:$H, MATCH(TEXT(B43,"yyyy-mm"), TEXT(Overheads!$A:$A,"yyyy-mm"),0)) / MAX(SUMIFS($H:$H,$B:$B,"&gt;="&amp;EOMONTH(B43,-1)+1,$B:$B,"&lt;="&amp;EOMONTH(B43,0)),1)) * H43,0)</f>
        <v>0</v>
      </c>
      <c r="K43" s="16">
        <f t="shared" ca="1" si="1"/>
        <v>0</v>
      </c>
      <c r="L43" s="16">
        <f t="shared" ca="1" si="2"/>
        <v>0</v>
      </c>
      <c r="M43" s="11"/>
    </row>
    <row r="44" spans="2:13">
      <c r="B44" s="30"/>
      <c r="C44" s="11"/>
      <c r="D44" t="str">
        <f>IFERROR(VLOOKUP(C44,'Products Index'!$A:$B,2,FALSE),"")</f>
        <v/>
      </c>
      <c r="E44" s="25"/>
      <c r="F44" s="25"/>
      <c r="G44" s="25"/>
      <c r="H44">
        <f t="shared" si="0"/>
        <v>0</v>
      </c>
      <c r="I44" s="16">
        <f ca="1">IFERROR(INDIRECT("'"&amp;D44&amp;"'!$B$18")*(E44/VLOOKUP(C44,'Products Index'!$A:$E,5,FALSE)),0)</f>
        <v>0</v>
      </c>
      <c r="J44" s="16">
        <f>IFERROR((INDEX(Overheads!$H:$H, MATCH(TEXT(B44,"yyyy-mm"), TEXT(Overheads!$A:$A,"yyyy-mm"),0)) / MAX(SUMIFS($H:$H,$B:$B,"&gt;="&amp;EOMONTH(B44,-1)+1,$B:$B,"&lt;="&amp;EOMONTH(B44,0)),1)) * H44,0)</f>
        <v>0</v>
      </c>
      <c r="K44" s="16">
        <f t="shared" ca="1" si="1"/>
        <v>0</v>
      </c>
      <c r="L44" s="16">
        <f t="shared" ca="1" si="2"/>
        <v>0</v>
      </c>
      <c r="M44" s="11"/>
    </row>
    <row r="45" spans="2:13">
      <c r="B45" s="30"/>
      <c r="C45" s="11"/>
      <c r="D45" t="str">
        <f>IFERROR(VLOOKUP(C45,'Products Index'!$A:$B,2,FALSE),"")</f>
        <v/>
      </c>
      <c r="E45" s="25"/>
      <c r="F45" s="25"/>
      <c r="G45" s="25"/>
      <c r="H45">
        <f t="shared" si="0"/>
        <v>0</v>
      </c>
      <c r="I45" s="16">
        <f ca="1">IFERROR(INDIRECT("'"&amp;D45&amp;"'!$B$18")*(E45/VLOOKUP(C45,'Products Index'!$A:$E,5,FALSE)),0)</f>
        <v>0</v>
      </c>
      <c r="J45" s="16">
        <f>IFERROR((INDEX(Overheads!$H:$H, MATCH(TEXT(B45,"yyyy-mm"), TEXT(Overheads!$A:$A,"yyyy-mm"),0)) / MAX(SUMIFS($H:$H,$B:$B,"&gt;="&amp;EOMONTH(B45,-1)+1,$B:$B,"&lt;="&amp;EOMONTH(B45,0)),1)) * H45,0)</f>
        <v>0</v>
      </c>
      <c r="K45" s="16">
        <f t="shared" ca="1" si="1"/>
        <v>0</v>
      </c>
      <c r="L45" s="16">
        <f t="shared" ca="1" si="2"/>
        <v>0</v>
      </c>
      <c r="M45" s="11"/>
    </row>
    <row r="46" spans="2:13">
      <c r="B46" s="30"/>
      <c r="C46" s="11"/>
      <c r="D46" t="str">
        <f>IFERROR(VLOOKUP(C46,'Products Index'!$A:$B,2,FALSE),"")</f>
        <v/>
      </c>
      <c r="E46" s="25"/>
      <c r="F46" s="25"/>
      <c r="G46" s="25"/>
      <c r="H46">
        <f t="shared" si="0"/>
        <v>0</v>
      </c>
      <c r="I46" s="16">
        <f ca="1">IFERROR(INDIRECT("'"&amp;D46&amp;"'!$B$18")*(E46/VLOOKUP(C46,'Products Index'!$A:$E,5,FALSE)),0)</f>
        <v>0</v>
      </c>
      <c r="J46" s="16">
        <f>IFERROR((INDEX(Overheads!$H:$H, MATCH(TEXT(B46,"yyyy-mm"), TEXT(Overheads!$A:$A,"yyyy-mm"),0)) / MAX(SUMIFS($H:$H,$B:$B,"&gt;="&amp;EOMONTH(B46,-1)+1,$B:$B,"&lt;="&amp;EOMONTH(B46,0)),1)) * H46,0)</f>
        <v>0</v>
      </c>
      <c r="K46" s="16">
        <f t="shared" ca="1" si="1"/>
        <v>0</v>
      </c>
      <c r="L46" s="16">
        <f t="shared" ca="1" si="2"/>
        <v>0</v>
      </c>
      <c r="M46" s="11"/>
    </row>
    <row r="47" spans="2:13">
      <c r="B47" s="30"/>
      <c r="C47" s="11"/>
      <c r="D47" t="str">
        <f>IFERROR(VLOOKUP(C47,'Products Index'!$A:$B,2,FALSE),"")</f>
        <v/>
      </c>
      <c r="E47" s="25"/>
      <c r="F47" s="25"/>
      <c r="G47" s="25"/>
      <c r="H47">
        <f t="shared" si="0"/>
        <v>0</v>
      </c>
      <c r="I47" s="16">
        <f ca="1">IFERROR(INDIRECT("'"&amp;D47&amp;"'!$B$18")*(E47/VLOOKUP(C47,'Products Index'!$A:$E,5,FALSE)),0)</f>
        <v>0</v>
      </c>
      <c r="J47" s="16">
        <f>IFERROR((INDEX(Overheads!$H:$H, MATCH(TEXT(B47,"yyyy-mm"), TEXT(Overheads!$A:$A,"yyyy-mm"),0)) / MAX(SUMIFS($H:$H,$B:$B,"&gt;="&amp;EOMONTH(B47,-1)+1,$B:$B,"&lt;="&amp;EOMONTH(B47,0)),1)) * H47,0)</f>
        <v>0</v>
      </c>
      <c r="K47" s="16">
        <f t="shared" ca="1" si="1"/>
        <v>0</v>
      </c>
      <c r="L47" s="16">
        <f t="shared" ca="1" si="2"/>
        <v>0</v>
      </c>
      <c r="M47" s="11"/>
    </row>
    <row r="48" spans="2:13">
      <c r="B48" s="30"/>
      <c r="C48" s="11"/>
      <c r="D48" t="str">
        <f>IFERROR(VLOOKUP(C48,'Products Index'!$A:$B,2,FALSE),"")</f>
        <v/>
      </c>
      <c r="E48" s="25"/>
      <c r="F48" s="25"/>
      <c r="G48" s="25"/>
      <c r="H48">
        <f t="shared" si="0"/>
        <v>0</v>
      </c>
      <c r="I48" s="16">
        <f ca="1">IFERROR(INDIRECT("'"&amp;D48&amp;"'!$B$18")*(E48/VLOOKUP(C48,'Products Index'!$A:$E,5,FALSE)),0)</f>
        <v>0</v>
      </c>
      <c r="J48" s="16">
        <f>IFERROR((INDEX(Overheads!$H:$H, MATCH(TEXT(B48,"yyyy-mm"), TEXT(Overheads!$A:$A,"yyyy-mm"),0)) / MAX(SUMIFS($H:$H,$B:$B,"&gt;="&amp;EOMONTH(B48,-1)+1,$B:$B,"&lt;="&amp;EOMONTH(B48,0)),1)) * H48,0)</f>
        <v>0</v>
      </c>
      <c r="K48" s="16">
        <f t="shared" ca="1" si="1"/>
        <v>0</v>
      </c>
      <c r="L48" s="16">
        <f t="shared" ca="1" si="2"/>
        <v>0</v>
      </c>
      <c r="M48" s="11"/>
    </row>
    <row r="49" spans="2:13">
      <c r="B49" s="30"/>
      <c r="C49" s="11"/>
      <c r="D49" t="str">
        <f>IFERROR(VLOOKUP(C49,'Products Index'!$A:$B,2,FALSE),"")</f>
        <v/>
      </c>
      <c r="E49" s="25"/>
      <c r="F49" s="25"/>
      <c r="G49" s="25"/>
      <c r="H49">
        <f t="shared" si="0"/>
        <v>0</v>
      </c>
      <c r="I49" s="16">
        <f ca="1">IFERROR(INDIRECT("'"&amp;D49&amp;"'!$B$18")*(E49/VLOOKUP(C49,'Products Index'!$A:$E,5,FALSE)),0)</f>
        <v>0</v>
      </c>
      <c r="J49" s="16">
        <f>IFERROR((INDEX(Overheads!$H:$H, MATCH(TEXT(B49,"yyyy-mm"), TEXT(Overheads!$A:$A,"yyyy-mm"),0)) / MAX(SUMIFS($H:$H,$B:$B,"&gt;="&amp;EOMONTH(B49,-1)+1,$B:$B,"&lt;="&amp;EOMONTH(B49,0)),1)) * H49,0)</f>
        <v>0</v>
      </c>
      <c r="K49" s="16">
        <f t="shared" ca="1" si="1"/>
        <v>0</v>
      </c>
      <c r="L49" s="16">
        <f t="shared" ca="1" si="2"/>
        <v>0</v>
      </c>
      <c r="M49" s="11"/>
    </row>
    <row r="50" spans="2:13">
      <c r="B50" s="30"/>
      <c r="C50" s="11"/>
      <c r="D50" t="str">
        <f>IFERROR(VLOOKUP(C50,'Products Index'!$A:$B,2,FALSE),"")</f>
        <v/>
      </c>
      <c r="E50" s="25"/>
      <c r="F50" s="25"/>
      <c r="G50" s="25"/>
      <c r="H50">
        <f t="shared" si="0"/>
        <v>0</v>
      </c>
      <c r="I50" s="16">
        <f ca="1">IFERROR(INDIRECT("'"&amp;D50&amp;"'!$B$18")*(E50/VLOOKUP(C50,'Products Index'!$A:$E,5,FALSE)),0)</f>
        <v>0</v>
      </c>
      <c r="J50" s="16">
        <f>IFERROR((INDEX(Overheads!$H:$H, MATCH(TEXT(B50,"yyyy-mm"), TEXT(Overheads!$A:$A,"yyyy-mm"),0)) / MAX(SUMIFS($H:$H,$B:$B,"&gt;="&amp;EOMONTH(B50,-1)+1,$B:$B,"&lt;="&amp;EOMONTH(B50,0)),1)) * H50,0)</f>
        <v>0</v>
      </c>
      <c r="K50" s="16">
        <f t="shared" ca="1" si="1"/>
        <v>0</v>
      </c>
      <c r="L50" s="16">
        <f t="shared" ca="1" si="2"/>
        <v>0</v>
      </c>
      <c r="M50" s="11"/>
    </row>
    <row r="51" spans="2:13">
      <c r="B51" s="30"/>
      <c r="C51" s="11"/>
      <c r="D51" t="str">
        <f>IFERROR(VLOOKUP(C51,'Products Index'!$A:$B,2,FALSE),"")</f>
        <v/>
      </c>
      <c r="E51" s="25"/>
      <c r="F51" s="25"/>
      <c r="G51" s="25"/>
      <c r="H51">
        <f t="shared" si="0"/>
        <v>0</v>
      </c>
      <c r="I51" s="16">
        <f ca="1">IFERROR(INDIRECT("'"&amp;D51&amp;"'!$B$18")*(E51/VLOOKUP(C51,'Products Index'!$A:$E,5,FALSE)),0)</f>
        <v>0</v>
      </c>
      <c r="J51" s="16">
        <f>IFERROR((INDEX(Overheads!$H:$H, MATCH(TEXT(B51,"yyyy-mm"), TEXT(Overheads!$A:$A,"yyyy-mm"),0)) / MAX(SUMIFS($H:$H,$B:$B,"&gt;="&amp;EOMONTH(B51,-1)+1,$B:$B,"&lt;="&amp;EOMONTH(B51,0)),1)) * H51,0)</f>
        <v>0</v>
      </c>
      <c r="K51" s="16">
        <f t="shared" ca="1" si="1"/>
        <v>0</v>
      </c>
      <c r="L51" s="16">
        <f t="shared" ca="1" si="2"/>
        <v>0</v>
      </c>
      <c r="M51" s="11"/>
    </row>
    <row r="52" spans="2:13">
      <c r="B52" s="30"/>
      <c r="C52" s="11"/>
      <c r="D52" t="str">
        <f>IFERROR(VLOOKUP(C52,'Products Index'!$A:$B,2,FALSE),"")</f>
        <v/>
      </c>
      <c r="E52" s="25"/>
      <c r="F52" s="25"/>
      <c r="G52" s="25"/>
      <c r="H52">
        <f t="shared" si="0"/>
        <v>0</v>
      </c>
      <c r="I52" s="16">
        <f ca="1">IFERROR(INDIRECT("'"&amp;D52&amp;"'!$B$18")*(E52/VLOOKUP(C52,'Products Index'!$A:$E,5,FALSE)),0)</f>
        <v>0</v>
      </c>
      <c r="J52" s="16">
        <f>IFERROR((INDEX(Overheads!$H:$H, MATCH(TEXT(B52,"yyyy-mm"), TEXT(Overheads!$A:$A,"yyyy-mm"),0)) / MAX(SUMIFS($H:$H,$B:$B,"&gt;="&amp;EOMONTH(B52,-1)+1,$B:$B,"&lt;="&amp;EOMONTH(B52,0)),1)) * H52,0)</f>
        <v>0</v>
      </c>
      <c r="K52" s="16">
        <f t="shared" ca="1" si="1"/>
        <v>0</v>
      </c>
      <c r="L52" s="16">
        <f t="shared" ca="1" si="2"/>
        <v>0</v>
      </c>
      <c r="M52" s="11"/>
    </row>
    <row r="53" spans="2:13">
      <c r="B53" s="30"/>
      <c r="C53" s="11"/>
      <c r="D53" t="str">
        <f>IFERROR(VLOOKUP(C53,'Products Index'!$A:$B,2,FALSE),"")</f>
        <v/>
      </c>
      <c r="E53" s="25"/>
      <c r="F53" s="25"/>
      <c r="G53" s="25"/>
      <c r="H53">
        <f t="shared" si="0"/>
        <v>0</v>
      </c>
      <c r="I53" s="16">
        <f ca="1">IFERROR(INDIRECT("'"&amp;D53&amp;"'!$B$18")*(E53/VLOOKUP(C53,'Products Index'!$A:$E,5,FALSE)),0)</f>
        <v>0</v>
      </c>
      <c r="J53" s="16">
        <f>IFERROR((INDEX(Overheads!$H:$H, MATCH(TEXT(B53,"yyyy-mm"), TEXT(Overheads!$A:$A,"yyyy-mm"),0)) / MAX(SUMIFS($H:$H,$B:$B,"&gt;="&amp;EOMONTH(B53,-1)+1,$B:$B,"&lt;="&amp;EOMONTH(B53,0)),1)) * H53,0)</f>
        <v>0</v>
      </c>
      <c r="K53" s="16">
        <f t="shared" ca="1" si="1"/>
        <v>0</v>
      </c>
      <c r="L53" s="16">
        <f t="shared" ca="1" si="2"/>
        <v>0</v>
      </c>
      <c r="M53" s="11"/>
    </row>
    <row r="54" spans="2:13">
      <c r="B54" s="30"/>
      <c r="C54" s="11"/>
      <c r="D54" t="str">
        <f>IFERROR(VLOOKUP(C54,'Products Index'!$A:$B,2,FALSE),"")</f>
        <v/>
      </c>
      <c r="E54" s="25"/>
      <c r="F54" s="25"/>
      <c r="G54" s="25"/>
      <c r="H54">
        <f t="shared" si="0"/>
        <v>0</v>
      </c>
      <c r="I54" s="16">
        <f ca="1">IFERROR(INDIRECT("'"&amp;D54&amp;"'!$B$18")*(E54/VLOOKUP(C54,'Products Index'!$A:$E,5,FALSE)),0)</f>
        <v>0</v>
      </c>
      <c r="J54" s="16">
        <f>IFERROR((INDEX(Overheads!$H:$H, MATCH(TEXT(B54,"yyyy-mm"), TEXT(Overheads!$A:$A,"yyyy-mm"),0)) / MAX(SUMIFS($H:$H,$B:$B,"&gt;="&amp;EOMONTH(B54,-1)+1,$B:$B,"&lt;="&amp;EOMONTH(B54,0)),1)) * H54,0)</f>
        <v>0</v>
      </c>
      <c r="K54" s="16">
        <f t="shared" ca="1" si="1"/>
        <v>0</v>
      </c>
      <c r="L54" s="16">
        <f t="shared" ca="1" si="2"/>
        <v>0</v>
      </c>
      <c r="M54" s="11"/>
    </row>
    <row r="55" spans="2:13">
      <c r="B55" s="30"/>
      <c r="C55" s="11"/>
      <c r="D55" t="str">
        <f>IFERROR(VLOOKUP(C55,'Products Index'!$A:$B,2,FALSE),"")</f>
        <v/>
      </c>
      <c r="E55" s="25"/>
      <c r="F55" s="25"/>
      <c r="G55" s="25"/>
      <c r="H55">
        <f t="shared" si="0"/>
        <v>0</v>
      </c>
      <c r="I55" s="16">
        <f ca="1">IFERROR(INDIRECT("'"&amp;D55&amp;"'!$B$18")*(E55/VLOOKUP(C55,'Products Index'!$A:$E,5,FALSE)),0)</f>
        <v>0</v>
      </c>
      <c r="J55" s="16">
        <f>IFERROR((INDEX(Overheads!$H:$H, MATCH(TEXT(B55,"yyyy-mm"), TEXT(Overheads!$A:$A,"yyyy-mm"),0)) / MAX(SUMIFS($H:$H,$B:$B,"&gt;="&amp;EOMONTH(B55,-1)+1,$B:$B,"&lt;="&amp;EOMONTH(B55,0)),1)) * H55,0)</f>
        <v>0</v>
      </c>
      <c r="K55" s="16">
        <f t="shared" ca="1" si="1"/>
        <v>0</v>
      </c>
      <c r="L55" s="16">
        <f t="shared" ca="1" si="2"/>
        <v>0</v>
      </c>
      <c r="M55" s="11"/>
    </row>
    <row r="56" spans="2:13">
      <c r="B56" s="30"/>
      <c r="C56" s="11"/>
      <c r="D56" t="str">
        <f>IFERROR(VLOOKUP(C56,'Products Index'!$A:$B,2,FALSE),"")</f>
        <v/>
      </c>
      <c r="E56" s="25"/>
      <c r="F56" s="25"/>
      <c r="G56" s="25"/>
      <c r="H56">
        <f t="shared" si="0"/>
        <v>0</v>
      </c>
      <c r="I56" s="16">
        <f ca="1">IFERROR(INDIRECT("'"&amp;D56&amp;"'!$B$18")*(E56/VLOOKUP(C56,'Products Index'!$A:$E,5,FALSE)),0)</f>
        <v>0</v>
      </c>
      <c r="J56" s="16">
        <f>IFERROR((INDEX(Overheads!$H:$H, MATCH(TEXT(B56,"yyyy-mm"), TEXT(Overheads!$A:$A,"yyyy-mm"),0)) / MAX(SUMIFS($H:$H,$B:$B,"&gt;="&amp;EOMONTH(B56,-1)+1,$B:$B,"&lt;="&amp;EOMONTH(B56,0)),1)) * H56,0)</f>
        <v>0</v>
      </c>
      <c r="K56" s="16">
        <f t="shared" ca="1" si="1"/>
        <v>0</v>
      </c>
      <c r="L56" s="16">
        <f t="shared" ca="1" si="2"/>
        <v>0</v>
      </c>
      <c r="M56" s="11"/>
    </row>
    <row r="57" spans="2:13">
      <c r="B57" s="30"/>
      <c r="C57" s="11"/>
      <c r="D57" t="str">
        <f>IFERROR(VLOOKUP(C57,'Products Index'!$A:$B,2,FALSE),"")</f>
        <v/>
      </c>
      <c r="E57" s="25"/>
      <c r="F57" s="25"/>
      <c r="G57" s="25"/>
      <c r="H57">
        <f t="shared" si="0"/>
        <v>0</v>
      </c>
      <c r="I57" s="16">
        <f ca="1">IFERROR(INDIRECT("'"&amp;D57&amp;"'!$B$18")*(E57/VLOOKUP(C57,'Products Index'!$A:$E,5,FALSE)),0)</f>
        <v>0</v>
      </c>
      <c r="J57" s="16">
        <f>IFERROR((INDEX(Overheads!$H:$H, MATCH(TEXT(B57,"yyyy-mm"), TEXT(Overheads!$A:$A,"yyyy-mm"),0)) / MAX(SUMIFS($H:$H,$B:$B,"&gt;="&amp;EOMONTH(B57,-1)+1,$B:$B,"&lt;="&amp;EOMONTH(B57,0)),1)) * H57,0)</f>
        <v>0</v>
      </c>
      <c r="K57" s="16">
        <f t="shared" ca="1" si="1"/>
        <v>0</v>
      </c>
      <c r="L57" s="16">
        <f t="shared" ca="1" si="2"/>
        <v>0</v>
      </c>
      <c r="M57" s="11"/>
    </row>
    <row r="58" spans="2:13">
      <c r="B58" s="30"/>
      <c r="C58" s="11"/>
      <c r="D58" t="str">
        <f>IFERROR(VLOOKUP(C58,'Products Index'!$A:$B,2,FALSE),"")</f>
        <v/>
      </c>
      <c r="E58" s="25"/>
      <c r="F58" s="25"/>
      <c r="G58" s="25"/>
      <c r="H58">
        <f t="shared" si="0"/>
        <v>0</v>
      </c>
      <c r="I58" s="16">
        <f ca="1">IFERROR(INDIRECT("'"&amp;D58&amp;"'!$B$18")*(E58/VLOOKUP(C58,'Products Index'!$A:$E,5,FALSE)),0)</f>
        <v>0</v>
      </c>
      <c r="J58" s="16">
        <f>IFERROR((INDEX(Overheads!$H:$H, MATCH(TEXT(B58,"yyyy-mm"), TEXT(Overheads!$A:$A,"yyyy-mm"),0)) / MAX(SUMIFS($H:$H,$B:$B,"&gt;="&amp;EOMONTH(B58,-1)+1,$B:$B,"&lt;="&amp;EOMONTH(B58,0)),1)) * H58,0)</f>
        <v>0</v>
      </c>
      <c r="K58" s="16">
        <f t="shared" ca="1" si="1"/>
        <v>0</v>
      </c>
      <c r="L58" s="16">
        <f t="shared" ca="1" si="2"/>
        <v>0</v>
      </c>
      <c r="M58" s="11"/>
    </row>
    <row r="59" spans="2:13">
      <c r="B59" s="30"/>
      <c r="C59" s="11"/>
      <c r="D59" t="str">
        <f>IFERROR(VLOOKUP(C59,'Products Index'!$A:$B,2,FALSE),"")</f>
        <v/>
      </c>
      <c r="E59" s="25"/>
      <c r="F59" s="25"/>
      <c r="G59" s="25"/>
      <c r="H59">
        <f t="shared" si="0"/>
        <v>0</v>
      </c>
      <c r="I59" s="16">
        <f ca="1">IFERROR(INDIRECT("'"&amp;D59&amp;"'!$B$18")*(E59/VLOOKUP(C59,'Products Index'!$A:$E,5,FALSE)),0)</f>
        <v>0</v>
      </c>
      <c r="J59" s="16">
        <f>IFERROR((INDEX(Overheads!$H:$H, MATCH(TEXT(B59,"yyyy-mm"), TEXT(Overheads!$A:$A,"yyyy-mm"),0)) / MAX(SUMIFS($H:$H,$B:$B,"&gt;="&amp;EOMONTH(B59,-1)+1,$B:$B,"&lt;="&amp;EOMONTH(B59,0)),1)) * H59,0)</f>
        <v>0</v>
      </c>
      <c r="K59" s="16">
        <f t="shared" ca="1" si="1"/>
        <v>0</v>
      </c>
      <c r="L59" s="16">
        <f t="shared" ca="1" si="2"/>
        <v>0</v>
      </c>
      <c r="M59" s="11"/>
    </row>
    <row r="60" spans="2:13">
      <c r="B60" s="30"/>
      <c r="C60" s="11"/>
      <c r="D60" t="str">
        <f>IFERROR(VLOOKUP(C60,'Products Index'!$A:$B,2,FALSE),"")</f>
        <v/>
      </c>
      <c r="E60" s="25"/>
      <c r="F60" s="25"/>
      <c r="G60" s="25"/>
      <c r="H60">
        <f t="shared" si="0"/>
        <v>0</v>
      </c>
      <c r="I60" s="16">
        <f ca="1">IFERROR(INDIRECT("'"&amp;D60&amp;"'!$B$18")*(E60/VLOOKUP(C60,'Products Index'!$A:$E,5,FALSE)),0)</f>
        <v>0</v>
      </c>
      <c r="J60" s="16">
        <f>IFERROR((INDEX(Overheads!$H:$H, MATCH(TEXT(B60,"yyyy-mm"), TEXT(Overheads!$A:$A,"yyyy-mm"),0)) / MAX(SUMIFS($H:$H,$B:$B,"&gt;="&amp;EOMONTH(B60,-1)+1,$B:$B,"&lt;="&amp;EOMONTH(B60,0)),1)) * H60,0)</f>
        <v>0</v>
      </c>
      <c r="K60" s="16">
        <f t="shared" ca="1" si="1"/>
        <v>0</v>
      </c>
      <c r="L60" s="16">
        <f t="shared" ca="1" si="2"/>
        <v>0</v>
      </c>
      <c r="M60" s="11"/>
    </row>
    <row r="61" spans="2:13">
      <c r="B61" s="30"/>
      <c r="C61" s="11"/>
      <c r="D61" t="str">
        <f>IFERROR(VLOOKUP(C61,'Products Index'!$A:$B,2,FALSE),"")</f>
        <v/>
      </c>
      <c r="E61" s="25"/>
      <c r="F61" s="25"/>
      <c r="G61" s="25"/>
      <c r="H61">
        <f t="shared" si="0"/>
        <v>0</v>
      </c>
      <c r="I61" s="16">
        <f ca="1">IFERROR(INDIRECT("'"&amp;D61&amp;"'!$B$18")*(E61/VLOOKUP(C61,'Products Index'!$A:$E,5,FALSE)),0)</f>
        <v>0</v>
      </c>
      <c r="J61" s="16">
        <f>IFERROR((INDEX(Overheads!$H:$H, MATCH(TEXT(B61,"yyyy-mm"), TEXT(Overheads!$A:$A,"yyyy-mm"),0)) / MAX(SUMIFS($H:$H,$B:$B,"&gt;="&amp;EOMONTH(B61,-1)+1,$B:$B,"&lt;="&amp;EOMONTH(B61,0)),1)) * H61,0)</f>
        <v>0</v>
      </c>
      <c r="K61" s="16">
        <f t="shared" ca="1" si="1"/>
        <v>0</v>
      </c>
      <c r="L61" s="16">
        <f t="shared" ca="1" si="2"/>
        <v>0</v>
      </c>
      <c r="M61" s="11"/>
    </row>
    <row r="62" spans="2:13">
      <c r="B62" s="30"/>
      <c r="C62" s="11"/>
      <c r="D62" t="str">
        <f>IFERROR(VLOOKUP(C62,'Products Index'!$A:$B,2,FALSE),"")</f>
        <v/>
      </c>
      <c r="E62" s="25"/>
      <c r="F62" s="25"/>
      <c r="G62" s="25"/>
      <c r="H62">
        <f t="shared" si="0"/>
        <v>0</v>
      </c>
      <c r="I62" s="16">
        <f ca="1">IFERROR(INDIRECT("'"&amp;D62&amp;"'!$B$18")*(E62/VLOOKUP(C62,'Products Index'!$A:$E,5,FALSE)),0)</f>
        <v>0</v>
      </c>
      <c r="J62" s="16">
        <f>IFERROR((INDEX(Overheads!$H:$H, MATCH(TEXT(B62,"yyyy-mm"), TEXT(Overheads!$A:$A,"yyyy-mm"),0)) / MAX(SUMIFS($H:$H,$B:$B,"&gt;="&amp;EOMONTH(B62,-1)+1,$B:$B,"&lt;="&amp;EOMONTH(B62,0)),1)) * H62,0)</f>
        <v>0</v>
      </c>
      <c r="K62" s="16">
        <f t="shared" ca="1" si="1"/>
        <v>0</v>
      </c>
      <c r="L62" s="16">
        <f t="shared" ca="1" si="2"/>
        <v>0</v>
      </c>
      <c r="M62" s="11"/>
    </row>
    <row r="63" spans="2:13">
      <c r="B63" s="30"/>
      <c r="C63" s="11"/>
      <c r="D63" t="str">
        <f>IFERROR(VLOOKUP(C63,'Products Index'!$A:$B,2,FALSE),"")</f>
        <v/>
      </c>
      <c r="E63" s="25"/>
      <c r="F63" s="25"/>
      <c r="G63" s="25"/>
      <c r="H63">
        <f t="shared" si="0"/>
        <v>0</v>
      </c>
      <c r="I63" s="16">
        <f ca="1">IFERROR(INDIRECT("'"&amp;D63&amp;"'!$B$18")*(E63/VLOOKUP(C63,'Products Index'!$A:$E,5,FALSE)),0)</f>
        <v>0</v>
      </c>
      <c r="J63" s="16">
        <f>IFERROR((INDEX(Overheads!$H:$H, MATCH(TEXT(B63,"yyyy-mm"), TEXT(Overheads!$A:$A,"yyyy-mm"),0)) / MAX(SUMIFS($H:$H,$B:$B,"&gt;="&amp;EOMONTH(B63,-1)+1,$B:$B,"&lt;="&amp;EOMONTH(B63,0)),1)) * H63,0)</f>
        <v>0</v>
      </c>
      <c r="K63" s="16">
        <f t="shared" ca="1" si="1"/>
        <v>0</v>
      </c>
      <c r="L63" s="16">
        <f t="shared" ca="1" si="2"/>
        <v>0</v>
      </c>
      <c r="M63" s="11"/>
    </row>
    <row r="64" spans="2:13">
      <c r="B64" s="30"/>
      <c r="C64" s="11"/>
      <c r="D64" t="str">
        <f>IFERROR(VLOOKUP(C64,'Products Index'!$A:$B,2,FALSE),"")</f>
        <v/>
      </c>
      <c r="E64" s="25"/>
      <c r="F64" s="25"/>
      <c r="G64" s="25"/>
      <c r="H64">
        <f t="shared" si="0"/>
        <v>0</v>
      </c>
      <c r="I64" s="16">
        <f ca="1">IFERROR(INDIRECT("'"&amp;D64&amp;"'!$B$18")*(E64/VLOOKUP(C64,'Products Index'!$A:$E,5,FALSE)),0)</f>
        <v>0</v>
      </c>
      <c r="J64" s="16">
        <f>IFERROR((INDEX(Overheads!$H:$H, MATCH(TEXT(B64,"yyyy-mm"), TEXT(Overheads!$A:$A,"yyyy-mm"),0)) / MAX(SUMIFS($H:$H,$B:$B,"&gt;="&amp;EOMONTH(B64,-1)+1,$B:$B,"&lt;="&amp;EOMONTH(B64,0)),1)) * H64,0)</f>
        <v>0</v>
      </c>
      <c r="K64" s="16">
        <f t="shared" ca="1" si="1"/>
        <v>0</v>
      </c>
      <c r="L64" s="16">
        <f t="shared" ca="1" si="2"/>
        <v>0</v>
      </c>
      <c r="M64" s="11"/>
    </row>
    <row r="65" spans="2:13">
      <c r="B65" s="30"/>
      <c r="C65" s="11"/>
      <c r="D65" t="str">
        <f>IFERROR(VLOOKUP(C65,'Products Index'!$A:$B,2,FALSE),"")</f>
        <v/>
      </c>
      <c r="E65" s="25"/>
      <c r="F65" s="25"/>
      <c r="G65" s="25"/>
      <c r="H65">
        <f t="shared" si="0"/>
        <v>0</v>
      </c>
      <c r="I65" s="16">
        <f ca="1">IFERROR(INDIRECT("'"&amp;D65&amp;"'!$B$18")*(E65/VLOOKUP(C65,'Products Index'!$A:$E,5,FALSE)),0)</f>
        <v>0</v>
      </c>
      <c r="J65" s="16">
        <f>IFERROR((INDEX(Overheads!$H:$H, MATCH(TEXT(B65,"yyyy-mm"), TEXT(Overheads!$A:$A,"yyyy-mm"),0)) / MAX(SUMIFS($H:$H,$B:$B,"&gt;="&amp;EOMONTH(B65,-1)+1,$B:$B,"&lt;="&amp;EOMONTH(B65,0)),1)) * H65,0)</f>
        <v>0</v>
      </c>
      <c r="K65" s="16">
        <f t="shared" ca="1" si="1"/>
        <v>0</v>
      </c>
      <c r="L65" s="16">
        <f t="shared" ca="1" si="2"/>
        <v>0</v>
      </c>
      <c r="M65" s="11"/>
    </row>
    <row r="66" spans="2:13">
      <c r="B66" s="30"/>
      <c r="C66" s="11"/>
      <c r="D66" t="str">
        <f>IFERROR(VLOOKUP(C66,'Products Index'!$A:$B,2,FALSE),"")</f>
        <v/>
      </c>
      <c r="E66" s="25"/>
      <c r="F66" s="25"/>
      <c r="G66" s="25"/>
      <c r="H66">
        <f t="shared" ref="H66:H129" si="3">MAX(F66-G66,0)</f>
        <v>0</v>
      </c>
      <c r="I66" s="16">
        <f ca="1">IFERROR(INDIRECT("'"&amp;D66&amp;"'!$B$18")*(E66/VLOOKUP(C66,'Products Index'!$A:$E,5,FALSE)),0)</f>
        <v>0</v>
      </c>
      <c r="J66" s="16">
        <f>IFERROR((INDEX(Overheads!$H:$H, MATCH(TEXT(B66,"yyyy-mm"), TEXT(Overheads!$A:$A,"yyyy-mm"),0)) / MAX(SUMIFS($H:$H,$B:$B,"&gt;="&amp;EOMONTH(B66,-1)+1,$B:$B,"&lt;="&amp;EOMONTH(B66,0)),1)) * H66,0)</f>
        <v>0</v>
      </c>
      <c r="K66" s="16">
        <f t="shared" ref="K66:K129" ca="1" si="4">I66+J66</f>
        <v>0</v>
      </c>
      <c r="L66" s="16">
        <f t="shared" ref="L66:L129" ca="1" si="5">IFERROR(K66/MAX(H66,1),0)</f>
        <v>0</v>
      </c>
      <c r="M66" s="11"/>
    </row>
    <row r="67" spans="2:13">
      <c r="B67" s="30"/>
      <c r="C67" s="11"/>
      <c r="D67" t="str">
        <f>IFERROR(VLOOKUP(C67,'Products Index'!$A:$B,2,FALSE),"")</f>
        <v/>
      </c>
      <c r="E67" s="25"/>
      <c r="F67" s="25"/>
      <c r="G67" s="25"/>
      <c r="H67">
        <f t="shared" si="3"/>
        <v>0</v>
      </c>
      <c r="I67" s="16">
        <f ca="1">IFERROR(INDIRECT("'"&amp;D67&amp;"'!$B$18")*(E67/VLOOKUP(C67,'Products Index'!$A:$E,5,FALSE)),0)</f>
        <v>0</v>
      </c>
      <c r="J67" s="16">
        <f>IFERROR((INDEX(Overheads!$H:$H, MATCH(TEXT(B67,"yyyy-mm"), TEXT(Overheads!$A:$A,"yyyy-mm"),0)) / MAX(SUMIFS($H:$H,$B:$B,"&gt;="&amp;EOMONTH(B67,-1)+1,$B:$B,"&lt;="&amp;EOMONTH(B67,0)),1)) * H67,0)</f>
        <v>0</v>
      </c>
      <c r="K67" s="16">
        <f t="shared" ca="1" si="4"/>
        <v>0</v>
      </c>
      <c r="L67" s="16">
        <f t="shared" ca="1" si="5"/>
        <v>0</v>
      </c>
      <c r="M67" s="11"/>
    </row>
    <row r="68" spans="2:13">
      <c r="B68" s="30"/>
      <c r="C68" s="11"/>
      <c r="D68" t="str">
        <f>IFERROR(VLOOKUP(C68,'Products Index'!$A:$B,2,FALSE),"")</f>
        <v/>
      </c>
      <c r="E68" s="25"/>
      <c r="F68" s="25"/>
      <c r="G68" s="25"/>
      <c r="H68">
        <f t="shared" si="3"/>
        <v>0</v>
      </c>
      <c r="I68" s="16">
        <f ca="1">IFERROR(INDIRECT("'"&amp;D68&amp;"'!$B$18")*(E68/VLOOKUP(C68,'Products Index'!$A:$E,5,FALSE)),0)</f>
        <v>0</v>
      </c>
      <c r="J68" s="16">
        <f>IFERROR((INDEX(Overheads!$H:$H, MATCH(TEXT(B68,"yyyy-mm"), TEXT(Overheads!$A:$A,"yyyy-mm"),0)) / MAX(SUMIFS($H:$H,$B:$B,"&gt;="&amp;EOMONTH(B68,-1)+1,$B:$B,"&lt;="&amp;EOMONTH(B68,0)),1)) * H68,0)</f>
        <v>0</v>
      </c>
      <c r="K68" s="16">
        <f t="shared" ca="1" si="4"/>
        <v>0</v>
      </c>
      <c r="L68" s="16">
        <f t="shared" ca="1" si="5"/>
        <v>0</v>
      </c>
      <c r="M68" s="11"/>
    </row>
    <row r="69" spans="2:13">
      <c r="B69" s="30"/>
      <c r="C69" s="11"/>
      <c r="D69" t="str">
        <f>IFERROR(VLOOKUP(C69,'Products Index'!$A:$B,2,FALSE),"")</f>
        <v/>
      </c>
      <c r="E69" s="25"/>
      <c r="F69" s="25"/>
      <c r="G69" s="25"/>
      <c r="H69">
        <f t="shared" si="3"/>
        <v>0</v>
      </c>
      <c r="I69" s="16">
        <f ca="1">IFERROR(INDIRECT("'"&amp;D69&amp;"'!$B$18")*(E69/VLOOKUP(C69,'Products Index'!$A:$E,5,FALSE)),0)</f>
        <v>0</v>
      </c>
      <c r="J69" s="16">
        <f>IFERROR((INDEX(Overheads!$H:$H, MATCH(TEXT(B69,"yyyy-mm"), TEXT(Overheads!$A:$A,"yyyy-mm"),0)) / MAX(SUMIFS($H:$H,$B:$B,"&gt;="&amp;EOMONTH(B69,-1)+1,$B:$B,"&lt;="&amp;EOMONTH(B69,0)),1)) * H69,0)</f>
        <v>0</v>
      </c>
      <c r="K69" s="16">
        <f t="shared" ca="1" si="4"/>
        <v>0</v>
      </c>
      <c r="L69" s="16">
        <f t="shared" ca="1" si="5"/>
        <v>0</v>
      </c>
      <c r="M69" s="11"/>
    </row>
    <row r="70" spans="2:13">
      <c r="B70" s="30"/>
      <c r="C70" s="11"/>
      <c r="D70" t="str">
        <f>IFERROR(VLOOKUP(C70,'Products Index'!$A:$B,2,FALSE),"")</f>
        <v/>
      </c>
      <c r="E70" s="25"/>
      <c r="F70" s="25"/>
      <c r="G70" s="25"/>
      <c r="H70">
        <f t="shared" si="3"/>
        <v>0</v>
      </c>
      <c r="I70" s="16">
        <f ca="1">IFERROR(INDIRECT("'"&amp;D70&amp;"'!$B$18")*(E70/VLOOKUP(C70,'Products Index'!$A:$E,5,FALSE)),0)</f>
        <v>0</v>
      </c>
      <c r="J70" s="16">
        <f>IFERROR((INDEX(Overheads!$H:$H, MATCH(TEXT(B70,"yyyy-mm"), TEXT(Overheads!$A:$A,"yyyy-mm"),0)) / MAX(SUMIFS($H:$H,$B:$B,"&gt;="&amp;EOMONTH(B70,-1)+1,$B:$B,"&lt;="&amp;EOMONTH(B70,0)),1)) * H70,0)</f>
        <v>0</v>
      </c>
      <c r="K70" s="16">
        <f t="shared" ca="1" si="4"/>
        <v>0</v>
      </c>
      <c r="L70" s="16">
        <f t="shared" ca="1" si="5"/>
        <v>0</v>
      </c>
      <c r="M70" s="11"/>
    </row>
    <row r="71" spans="2:13">
      <c r="B71" s="30"/>
      <c r="C71" s="11"/>
      <c r="D71" t="str">
        <f>IFERROR(VLOOKUP(C71,'Products Index'!$A:$B,2,FALSE),"")</f>
        <v/>
      </c>
      <c r="E71" s="25"/>
      <c r="F71" s="25"/>
      <c r="G71" s="25"/>
      <c r="H71">
        <f t="shared" si="3"/>
        <v>0</v>
      </c>
      <c r="I71" s="16">
        <f ca="1">IFERROR(INDIRECT("'"&amp;D71&amp;"'!$B$18")*(E71/VLOOKUP(C71,'Products Index'!$A:$E,5,FALSE)),0)</f>
        <v>0</v>
      </c>
      <c r="J71" s="16">
        <f>IFERROR((INDEX(Overheads!$H:$H, MATCH(TEXT(B71,"yyyy-mm"), TEXT(Overheads!$A:$A,"yyyy-mm"),0)) / MAX(SUMIFS($H:$H,$B:$B,"&gt;="&amp;EOMONTH(B71,-1)+1,$B:$B,"&lt;="&amp;EOMONTH(B71,0)),1)) * H71,0)</f>
        <v>0</v>
      </c>
      <c r="K71" s="16">
        <f t="shared" ca="1" si="4"/>
        <v>0</v>
      </c>
      <c r="L71" s="16">
        <f t="shared" ca="1" si="5"/>
        <v>0</v>
      </c>
      <c r="M71" s="11"/>
    </row>
    <row r="72" spans="2:13">
      <c r="B72" s="30"/>
      <c r="C72" s="11"/>
      <c r="D72" t="str">
        <f>IFERROR(VLOOKUP(C72,'Products Index'!$A:$B,2,FALSE),"")</f>
        <v/>
      </c>
      <c r="E72" s="25"/>
      <c r="F72" s="25"/>
      <c r="G72" s="25"/>
      <c r="H72">
        <f t="shared" si="3"/>
        <v>0</v>
      </c>
      <c r="I72" s="16">
        <f ca="1">IFERROR(INDIRECT("'"&amp;D72&amp;"'!$B$18")*(E72/VLOOKUP(C72,'Products Index'!$A:$E,5,FALSE)),0)</f>
        <v>0</v>
      </c>
      <c r="J72" s="16">
        <f>IFERROR((INDEX(Overheads!$H:$H, MATCH(TEXT(B72,"yyyy-mm"), TEXT(Overheads!$A:$A,"yyyy-mm"),0)) / MAX(SUMIFS($H:$H,$B:$B,"&gt;="&amp;EOMONTH(B72,-1)+1,$B:$B,"&lt;="&amp;EOMONTH(B72,0)),1)) * H72,0)</f>
        <v>0</v>
      </c>
      <c r="K72" s="16">
        <f t="shared" ca="1" si="4"/>
        <v>0</v>
      </c>
      <c r="L72" s="16">
        <f t="shared" ca="1" si="5"/>
        <v>0</v>
      </c>
      <c r="M72" s="11"/>
    </row>
    <row r="73" spans="2:13">
      <c r="B73" s="30"/>
      <c r="C73" s="11"/>
      <c r="D73" t="str">
        <f>IFERROR(VLOOKUP(C73,'Products Index'!$A:$B,2,FALSE),"")</f>
        <v/>
      </c>
      <c r="E73" s="25"/>
      <c r="F73" s="25"/>
      <c r="G73" s="25"/>
      <c r="H73">
        <f t="shared" si="3"/>
        <v>0</v>
      </c>
      <c r="I73" s="16">
        <f ca="1">IFERROR(INDIRECT("'"&amp;D73&amp;"'!$B$18")*(E73/VLOOKUP(C73,'Products Index'!$A:$E,5,FALSE)),0)</f>
        <v>0</v>
      </c>
      <c r="J73" s="16">
        <f>IFERROR((INDEX(Overheads!$H:$H, MATCH(TEXT(B73,"yyyy-mm"), TEXT(Overheads!$A:$A,"yyyy-mm"),0)) / MAX(SUMIFS($H:$H,$B:$B,"&gt;="&amp;EOMONTH(B73,-1)+1,$B:$B,"&lt;="&amp;EOMONTH(B73,0)),1)) * H73,0)</f>
        <v>0</v>
      </c>
      <c r="K73" s="16">
        <f t="shared" ca="1" si="4"/>
        <v>0</v>
      </c>
      <c r="L73" s="16">
        <f t="shared" ca="1" si="5"/>
        <v>0</v>
      </c>
      <c r="M73" s="11"/>
    </row>
    <row r="74" spans="2:13">
      <c r="B74" s="30"/>
      <c r="C74" s="11"/>
      <c r="D74" t="str">
        <f>IFERROR(VLOOKUP(C74,'Products Index'!$A:$B,2,FALSE),"")</f>
        <v/>
      </c>
      <c r="E74" s="25"/>
      <c r="F74" s="25"/>
      <c r="G74" s="25"/>
      <c r="H74">
        <f t="shared" si="3"/>
        <v>0</v>
      </c>
      <c r="I74" s="16">
        <f ca="1">IFERROR(INDIRECT("'"&amp;D74&amp;"'!$B$18")*(E74/VLOOKUP(C74,'Products Index'!$A:$E,5,FALSE)),0)</f>
        <v>0</v>
      </c>
      <c r="J74" s="16">
        <f>IFERROR((INDEX(Overheads!$H:$H, MATCH(TEXT(B74,"yyyy-mm"), TEXT(Overheads!$A:$A,"yyyy-mm"),0)) / MAX(SUMIFS($H:$H,$B:$B,"&gt;="&amp;EOMONTH(B74,-1)+1,$B:$B,"&lt;="&amp;EOMONTH(B74,0)),1)) * H74,0)</f>
        <v>0</v>
      </c>
      <c r="K74" s="16">
        <f t="shared" ca="1" si="4"/>
        <v>0</v>
      </c>
      <c r="L74" s="16">
        <f t="shared" ca="1" si="5"/>
        <v>0</v>
      </c>
      <c r="M74" s="11"/>
    </row>
    <row r="75" spans="2:13">
      <c r="B75" s="30"/>
      <c r="C75" s="11"/>
      <c r="D75" t="str">
        <f>IFERROR(VLOOKUP(C75,'Products Index'!$A:$B,2,FALSE),"")</f>
        <v/>
      </c>
      <c r="E75" s="25"/>
      <c r="F75" s="25"/>
      <c r="G75" s="25"/>
      <c r="H75">
        <f t="shared" si="3"/>
        <v>0</v>
      </c>
      <c r="I75" s="16">
        <f ca="1">IFERROR(INDIRECT("'"&amp;D75&amp;"'!$B$18")*(E75/VLOOKUP(C75,'Products Index'!$A:$E,5,FALSE)),0)</f>
        <v>0</v>
      </c>
      <c r="J75" s="16">
        <f>IFERROR((INDEX(Overheads!$H:$H, MATCH(TEXT(B75,"yyyy-mm"), TEXT(Overheads!$A:$A,"yyyy-mm"),0)) / MAX(SUMIFS($H:$H,$B:$B,"&gt;="&amp;EOMONTH(B75,-1)+1,$B:$B,"&lt;="&amp;EOMONTH(B75,0)),1)) * H75,0)</f>
        <v>0</v>
      </c>
      <c r="K75" s="16">
        <f t="shared" ca="1" si="4"/>
        <v>0</v>
      </c>
      <c r="L75" s="16">
        <f t="shared" ca="1" si="5"/>
        <v>0</v>
      </c>
      <c r="M75" s="11"/>
    </row>
    <row r="76" spans="2:13">
      <c r="B76" s="30"/>
      <c r="C76" s="11"/>
      <c r="D76" t="str">
        <f>IFERROR(VLOOKUP(C76,'Products Index'!$A:$B,2,FALSE),"")</f>
        <v/>
      </c>
      <c r="E76" s="25"/>
      <c r="F76" s="25"/>
      <c r="G76" s="25"/>
      <c r="H76">
        <f t="shared" si="3"/>
        <v>0</v>
      </c>
      <c r="I76" s="16">
        <f ca="1">IFERROR(INDIRECT("'"&amp;D76&amp;"'!$B$18")*(E76/VLOOKUP(C76,'Products Index'!$A:$E,5,FALSE)),0)</f>
        <v>0</v>
      </c>
      <c r="J76" s="16">
        <f>IFERROR((INDEX(Overheads!$H:$H, MATCH(TEXT(B76,"yyyy-mm"), TEXT(Overheads!$A:$A,"yyyy-mm"),0)) / MAX(SUMIFS($H:$H,$B:$B,"&gt;="&amp;EOMONTH(B76,-1)+1,$B:$B,"&lt;="&amp;EOMONTH(B76,0)),1)) * H76,0)</f>
        <v>0</v>
      </c>
      <c r="K76" s="16">
        <f t="shared" ca="1" si="4"/>
        <v>0</v>
      </c>
      <c r="L76" s="16">
        <f t="shared" ca="1" si="5"/>
        <v>0</v>
      </c>
      <c r="M76" s="11"/>
    </row>
    <row r="77" spans="2:13">
      <c r="B77" s="30"/>
      <c r="C77" s="11"/>
      <c r="D77" t="str">
        <f>IFERROR(VLOOKUP(C77,'Products Index'!$A:$B,2,FALSE),"")</f>
        <v/>
      </c>
      <c r="E77" s="25"/>
      <c r="F77" s="25"/>
      <c r="G77" s="25"/>
      <c r="H77">
        <f t="shared" si="3"/>
        <v>0</v>
      </c>
      <c r="I77" s="16">
        <f ca="1">IFERROR(INDIRECT("'"&amp;D77&amp;"'!$B$18")*(E77/VLOOKUP(C77,'Products Index'!$A:$E,5,FALSE)),0)</f>
        <v>0</v>
      </c>
      <c r="J77" s="16">
        <f>IFERROR((INDEX(Overheads!$H:$H, MATCH(TEXT(B77,"yyyy-mm"), TEXT(Overheads!$A:$A,"yyyy-mm"),0)) / MAX(SUMIFS($H:$H,$B:$B,"&gt;="&amp;EOMONTH(B77,-1)+1,$B:$B,"&lt;="&amp;EOMONTH(B77,0)),1)) * H77,0)</f>
        <v>0</v>
      </c>
      <c r="K77" s="16">
        <f t="shared" ca="1" si="4"/>
        <v>0</v>
      </c>
      <c r="L77" s="16">
        <f t="shared" ca="1" si="5"/>
        <v>0</v>
      </c>
      <c r="M77" s="11"/>
    </row>
    <row r="78" spans="2:13">
      <c r="B78" s="30"/>
      <c r="C78" s="11"/>
      <c r="D78" t="str">
        <f>IFERROR(VLOOKUP(C78,'Products Index'!$A:$B,2,FALSE),"")</f>
        <v/>
      </c>
      <c r="E78" s="25"/>
      <c r="F78" s="25"/>
      <c r="G78" s="25"/>
      <c r="H78">
        <f t="shared" si="3"/>
        <v>0</v>
      </c>
      <c r="I78" s="16">
        <f ca="1">IFERROR(INDIRECT("'"&amp;D78&amp;"'!$B$18")*(E78/VLOOKUP(C78,'Products Index'!$A:$E,5,FALSE)),0)</f>
        <v>0</v>
      </c>
      <c r="J78" s="16">
        <f>IFERROR((INDEX(Overheads!$H:$H, MATCH(TEXT(B78,"yyyy-mm"), TEXT(Overheads!$A:$A,"yyyy-mm"),0)) / MAX(SUMIFS($H:$H,$B:$B,"&gt;="&amp;EOMONTH(B78,-1)+1,$B:$B,"&lt;="&amp;EOMONTH(B78,0)),1)) * H78,0)</f>
        <v>0</v>
      </c>
      <c r="K78" s="16">
        <f t="shared" ca="1" si="4"/>
        <v>0</v>
      </c>
      <c r="L78" s="16">
        <f t="shared" ca="1" si="5"/>
        <v>0</v>
      </c>
      <c r="M78" s="11"/>
    </row>
    <row r="79" spans="2:13">
      <c r="B79" s="30"/>
      <c r="C79" s="11"/>
      <c r="D79" t="str">
        <f>IFERROR(VLOOKUP(C79,'Products Index'!$A:$B,2,FALSE),"")</f>
        <v/>
      </c>
      <c r="E79" s="25"/>
      <c r="F79" s="25"/>
      <c r="G79" s="25"/>
      <c r="H79">
        <f t="shared" si="3"/>
        <v>0</v>
      </c>
      <c r="I79" s="16">
        <f ca="1">IFERROR(INDIRECT("'"&amp;D79&amp;"'!$B$18")*(E79/VLOOKUP(C79,'Products Index'!$A:$E,5,FALSE)),0)</f>
        <v>0</v>
      </c>
      <c r="J79" s="16">
        <f>IFERROR((INDEX(Overheads!$H:$H, MATCH(TEXT(B79,"yyyy-mm"), TEXT(Overheads!$A:$A,"yyyy-mm"),0)) / MAX(SUMIFS($H:$H,$B:$B,"&gt;="&amp;EOMONTH(B79,-1)+1,$B:$B,"&lt;="&amp;EOMONTH(B79,0)),1)) * H79,0)</f>
        <v>0</v>
      </c>
      <c r="K79" s="16">
        <f t="shared" ca="1" si="4"/>
        <v>0</v>
      </c>
      <c r="L79" s="16">
        <f t="shared" ca="1" si="5"/>
        <v>0</v>
      </c>
      <c r="M79" s="11"/>
    </row>
    <row r="80" spans="2:13">
      <c r="B80" s="30"/>
      <c r="C80" s="11"/>
      <c r="D80" t="str">
        <f>IFERROR(VLOOKUP(C80,'Products Index'!$A:$B,2,FALSE),"")</f>
        <v/>
      </c>
      <c r="E80" s="25"/>
      <c r="F80" s="25"/>
      <c r="G80" s="25"/>
      <c r="H80">
        <f t="shared" si="3"/>
        <v>0</v>
      </c>
      <c r="I80" s="16">
        <f ca="1">IFERROR(INDIRECT("'"&amp;D80&amp;"'!$B$18")*(E80/VLOOKUP(C80,'Products Index'!$A:$E,5,FALSE)),0)</f>
        <v>0</v>
      </c>
      <c r="J80" s="16">
        <f>IFERROR((INDEX(Overheads!$H:$H, MATCH(TEXT(B80,"yyyy-mm"), TEXT(Overheads!$A:$A,"yyyy-mm"),0)) / MAX(SUMIFS($H:$H,$B:$B,"&gt;="&amp;EOMONTH(B80,-1)+1,$B:$B,"&lt;="&amp;EOMONTH(B80,0)),1)) * H80,0)</f>
        <v>0</v>
      </c>
      <c r="K80" s="16">
        <f t="shared" ca="1" si="4"/>
        <v>0</v>
      </c>
      <c r="L80" s="16">
        <f t="shared" ca="1" si="5"/>
        <v>0</v>
      </c>
      <c r="M80" s="11"/>
    </row>
    <row r="81" spans="2:13">
      <c r="B81" s="30"/>
      <c r="C81" s="11"/>
      <c r="D81" t="str">
        <f>IFERROR(VLOOKUP(C81,'Products Index'!$A:$B,2,FALSE),"")</f>
        <v/>
      </c>
      <c r="E81" s="25"/>
      <c r="F81" s="25"/>
      <c r="G81" s="25"/>
      <c r="H81">
        <f t="shared" si="3"/>
        <v>0</v>
      </c>
      <c r="I81" s="16">
        <f ca="1">IFERROR(INDIRECT("'"&amp;D81&amp;"'!$B$18")*(E81/VLOOKUP(C81,'Products Index'!$A:$E,5,FALSE)),0)</f>
        <v>0</v>
      </c>
      <c r="J81" s="16">
        <f>IFERROR((INDEX(Overheads!$H:$H, MATCH(TEXT(B81,"yyyy-mm"), TEXT(Overheads!$A:$A,"yyyy-mm"),0)) / MAX(SUMIFS($H:$H,$B:$B,"&gt;="&amp;EOMONTH(B81,-1)+1,$B:$B,"&lt;="&amp;EOMONTH(B81,0)),1)) * H81,0)</f>
        <v>0</v>
      </c>
      <c r="K81" s="16">
        <f t="shared" ca="1" si="4"/>
        <v>0</v>
      </c>
      <c r="L81" s="16">
        <f t="shared" ca="1" si="5"/>
        <v>0</v>
      </c>
      <c r="M81" s="11"/>
    </row>
    <row r="82" spans="2:13">
      <c r="B82" s="30"/>
      <c r="C82" s="11"/>
      <c r="D82" t="str">
        <f>IFERROR(VLOOKUP(C82,'Products Index'!$A:$B,2,FALSE),"")</f>
        <v/>
      </c>
      <c r="E82" s="25"/>
      <c r="F82" s="25"/>
      <c r="G82" s="25"/>
      <c r="H82">
        <f t="shared" si="3"/>
        <v>0</v>
      </c>
      <c r="I82" s="16">
        <f ca="1">IFERROR(INDIRECT("'"&amp;D82&amp;"'!$B$18")*(E82/VLOOKUP(C82,'Products Index'!$A:$E,5,FALSE)),0)</f>
        <v>0</v>
      </c>
      <c r="J82" s="16">
        <f>IFERROR((INDEX(Overheads!$H:$H, MATCH(TEXT(B82,"yyyy-mm"), TEXT(Overheads!$A:$A,"yyyy-mm"),0)) / MAX(SUMIFS($H:$H,$B:$B,"&gt;="&amp;EOMONTH(B82,-1)+1,$B:$B,"&lt;="&amp;EOMONTH(B82,0)),1)) * H82,0)</f>
        <v>0</v>
      </c>
      <c r="K82" s="16">
        <f t="shared" ca="1" si="4"/>
        <v>0</v>
      </c>
      <c r="L82" s="16">
        <f t="shared" ca="1" si="5"/>
        <v>0</v>
      </c>
      <c r="M82" s="11"/>
    </row>
    <row r="83" spans="2:13">
      <c r="B83" s="30"/>
      <c r="C83" s="11"/>
      <c r="D83" t="str">
        <f>IFERROR(VLOOKUP(C83,'Products Index'!$A:$B,2,FALSE),"")</f>
        <v/>
      </c>
      <c r="E83" s="25"/>
      <c r="F83" s="25"/>
      <c r="G83" s="25"/>
      <c r="H83">
        <f t="shared" si="3"/>
        <v>0</v>
      </c>
      <c r="I83" s="16">
        <f ca="1">IFERROR(INDIRECT("'"&amp;D83&amp;"'!$B$18")*(E83/VLOOKUP(C83,'Products Index'!$A:$E,5,FALSE)),0)</f>
        <v>0</v>
      </c>
      <c r="J83" s="16">
        <f>IFERROR((INDEX(Overheads!$H:$H, MATCH(TEXT(B83,"yyyy-mm"), TEXT(Overheads!$A:$A,"yyyy-mm"),0)) / MAX(SUMIFS($H:$H,$B:$B,"&gt;="&amp;EOMONTH(B83,-1)+1,$B:$B,"&lt;="&amp;EOMONTH(B83,0)),1)) * H83,0)</f>
        <v>0</v>
      </c>
      <c r="K83" s="16">
        <f t="shared" ca="1" si="4"/>
        <v>0</v>
      </c>
      <c r="L83" s="16">
        <f t="shared" ca="1" si="5"/>
        <v>0</v>
      </c>
      <c r="M83" s="11"/>
    </row>
    <row r="84" spans="2:13">
      <c r="B84" s="30"/>
      <c r="C84" s="11"/>
      <c r="D84" t="str">
        <f>IFERROR(VLOOKUP(C84,'Products Index'!$A:$B,2,FALSE),"")</f>
        <v/>
      </c>
      <c r="E84" s="25"/>
      <c r="F84" s="25"/>
      <c r="G84" s="25"/>
      <c r="H84">
        <f t="shared" si="3"/>
        <v>0</v>
      </c>
      <c r="I84" s="16">
        <f ca="1">IFERROR(INDIRECT("'"&amp;D84&amp;"'!$B$18")*(E84/VLOOKUP(C84,'Products Index'!$A:$E,5,FALSE)),0)</f>
        <v>0</v>
      </c>
      <c r="J84" s="16">
        <f>IFERROR((INDEX(Overheads!$H:$H, MATCH(TEXT(B84,"yyyy-mm"), TEXT(Overheads!$A:$A,"yyyy-mm"),0)) / MAX(SUMIFS($H:$H,$B:$B,"&gt;="&amp;EOMONTH(B84,-1)+1,$B:$B,"&lt;="&amp;EOMONTH(B84,0)),1)) * H84,0)</f>
        <v>0</v>
      </c>
      <c r="K84" s="16">
        <f t="shared" ca="1" si="4"/>
        <v>0</v>
      </c>
      <c r="L84" s="16">
        <f t="shared" ca="1" si="5"/>
        <v>0</v>
      </c>
      <c r="M84" s="11"/>
    </row>
    <row r="85" spans="2:13">
      <c r="B85" s="30"/>
      <c r="C85" s="11"/>
      <c r="D85" t="str">
        <f>IFERROR(VLOOKUP(C85,'Products Index'!$A:$B,2,FALSE),"")</f>
        <v/>
      </c>
      <c r="E85" s="25"/>
      <c r="F85" s="25"/>
      <c r="G85" s="25"/>
      <c r="H85">
        <f t="shared" si="3"/>
        <v>0</v>
      </c>
      <c r="I85" s="16">
        <f ca="1">IFERROR(INDIRECT("'"&amp;D85&amp;"'!$B$18")*(E85/VLOOKUP(C85,'Products Index'!$A:$E,5,FALSE)),0)</f>
        <v>0</v>
      </c>
      <c r="J85" s="16">
        <f>IFERROR((INDEX(Overheads!$H:$H, MATCH(TEXT(B85,"yyyy-mm"), TEXT(Overheads!$A:$A,"yyyy-mm"),0)) / MAX(SUMIFS($H:$H,$B:$B,"&gt;="&amp;EOMONTH(B85,-1)+1,$B:$B,"&lt;="&amp;EOMONTH(B85,0)),1)) * H85,0)</f>
        <v>0</v>
      </c>
      <c r="K85" s="16">
        <f t="shared" ca="1" si="4"/>
        <v>0</v>
      </c>
      <c r="L85" s="16">
        <f t="shared" ca="1" si="5"/>
        <v>0</v>
      </c>
      <c r="M85" s="11"/>
    </row>
    <row r="86" spans="2:13">
      <c r="B86" s="30"/>
      <c r="C86" s="11"/>
      <c r="D86" t="str">
        <f>IFERROR(VLOOKUP(C86,'Products Index'!$A:$B,2,FALSE),"")</f>
        <v/>
      </c>
      <c r="E86" s="25"/>
      <c r="F86" s="25"/>
      <c r="G86" s="25"/>
      <c r="H86">
        <f t="shared" si="3"/>
        <v>0</v>
      </c>
      <c r="I86" s="16">
        <f ca="1">IFERROR(INDIRECT("'"&amp;D86&amp;"'!$B$18")*(E86/VLOOKUP(C86,'Products Index'!$A:$E,5,FALSE)),0)</f>
        <v>0</v>
      </c>
      <c r="J86" s="16">
        <f>IFERROR((INDEX(Overheads!$H:$H, MATCH(TEXT(B86,"yyyy-mm"), TEXT(Overheads!$A:$A,"yyyy-mm"),0)) / MAX(SUMIFS($H:$H,$B:$B,"&gt;="&amp;EOMONTH(B86,-1)+1,$B:$B,"&lt;="&amp;EOMONTH(B86,0)),1)) * H86,0)</f>
        <v>0</v>
      </c>
      <c r="K86" s="16">
        <f t="shared" ca="1" si="4"/>
        <v>0</v>
      </c>
      <c r="L86" s="16">
        <f t="shared" ca="1" si="5"/>
        <v>0</v>
      </c>
      <c r="M86" s="11"/>
    </row>
    <row r="87" spans="2:13">
      <c r="B87" s="30"/>
      <c r="C87" s="11"/>
      <c r="D87" t="str">
        <f>IFERROR(VLOOKUP(C87,'Products Index'!$A:$B,2,FALSE),"")</f>
        <v/>
      </c>
      <c r="E87" s="25"/>
      <c r="F87" s="25"/>
      <c r="G87" s="25"/>
      <c r="H87">
        <f t="shared" si="3"/>
        <v>0</v>
      </c>
      <c r="I87" s="16">
        <f ca="1">IFERROR(INDIRECT("'"&amp;D87&amp;"'!$B$18")*(E87/VLOOKUP(C87,'Products Index'!$A:$E,5,FALSE)),0)</f>
        <v>0</v>
      </c>
      <c r="J87" s="16">
        <f>IFERROR((INDEX(Overheads!$H:$H, MATCH(TEXT(B87,"yyyy-mm"), TEXT(Overheads!$A:$A,"yyyy-mm"),0)) / MAX(SUMIFS($H:$H,$B:$B,"&gt;="&amp;EOMONTH(B87,-1)+1,$B:$B,"&lt;="&amp;EOMONTH(B87,0)),1)) * H87,0)</f>
        <v>0</v>
      </c>
      <c r="K87" s="16">
        <f t="shared" ca="1" si="4"/>
        <v>0</v>
      </c>
      <c r="L87" s="16">
        <f t="shared" ca="1" si="5"/>
        <v>0</v>
      </c>
      <c r="M87" s="11"/>
    </row>
    <row r="88" spans="2:13">
      <c r="B88" s="30"/>
      <c r="C88" s="11"/>
      <c r="D88" t="str">
        <f>IFERROR(VLOOKUP(C88,'Products Index'!$A:$B,2,FALSE),"")</f>
        <v/>
      </c>
      <c r="E88" s="25"/>
      <c r="F88" s="25"/>
      <c r="G88" s="25"/>
      <c r="H88">
        <f t="shared" si="3"/>
        <v>0</v>
      </c>
      <c r="I88" s="16">
        <f ca="1">IFERROR(INDIRECT("'"&amp;D88&amp;"'!$B$18")*(E88/VLOOKUP(C88,'Products Index'!$A:$E,5,FALSE)),0)</f>
        <v>0</v>
      </c>
      <c r="J88" s="16">
        <f>IFERROR((INDEX(Overheads!$H:$H, MATCH(TEXT(B88,"yyyy-mm"), TEXT(Overheads!$A:$A,"yyyy-mm"),0)) / MAX(SUMIFS($H:$H,$B:$B,"&gt;="&amp;EOMONTH(B88,-1)+1,$B:$B,"&lt;="&amp;EOMONTH(B88,0)),1)) * H88,0)</f>
        <v>0</v>
      </c>
      <c r="K88" s="16">
        <f t="shared" ca="1" si="4"/>
        <v>0</v>
      </c>
      <c r="L88" s="16">
        <f t="shared" ca="1" si="5"/>
        <v>0</v>
      </c>
      <c r="M88" s="11"/>
    </row>
    <row r="89" spans="2:13">
      <c r="B89" s="30"/>
      <c r="C89" s="11"/>
      <c r="D89" t="str">
        <f>IFERROR(VLOOKUP(C89,'Products Index'!$A:$B,2,FALSE),"")</f>
        <v/>
      </c>
      <c r="E89" s="25"/>
      <c r="F89" s="25"/>
      <c r="G89" s="25"/>
      <c r="H89">
        <f t="shared" si="3"/>
        <v>0</v>
      </c>
      <c r="I89" s="16">
        <f ca="1">IFERROR(INDIRECT("'"&amp;D89&amp;"'!$B$18")*(E89/VLOOKUP(C89,'Products Index'!$A:$E,5,FALSE)),0)</f>
        <v>0</v>
      </c>
      <c r="J89" s="16">
        <f>IFERROR((INDEX(Overheads!$H:$H, MATCH(TEXT(B89,"yyyy-mm"), TEXT(Overheads!$A:$A,"yyyy-mm"),0)) / MAX(SUMIFS($H:$H,$B:$B,"&gt;="&amp;EOMONTH(B89,-1)+1,$B:$B,"&lt;="&amp;EOMONTH(B89,0)),1)) * H89,0)</f>
        <v>0</v>
      </c>
      <c r="K89" s="16">
        <f t="shared" ca="1" si="4"/>
        <v>0</v>
      </c>
      <c r="L89" s="16">
        <f t="shared" ca="1" si="5"/>
        <v>0</v>
      </c>
      <c r="M89" s="11"/>
    </row>
    <row r="90" spans="2:13">
      <c r="B90" s="30"/>
      <c r="C90" s="11"/>
      <c r="D90" t="str">
        <f>IFERROR(VLOOKUP(C90,'Products Index'!$A:$B,2,FALSE),"")</f>
        <v/>
      </c>
      <c r="E90" s="25"/>
      <c r="F90" s="25"/>
      <c r="G90" s="25"/>
      <c r="H90">
        <f t="shared" si="3"/>
        <v>0</v>
      </c>
      <c r="I90" s="16">
        <f ca="1">IFERROR(INDIRECT("'"&amp;D90&amp;"'!$B$18")*(E90/VLOOKUP(C90,'Products Index'!$A:$E,5,FALSE)),0)</f>
        <v>0</v>
      </c>
      <c r="J90" s="16">
        <f>IFERROR((INDEX(Overheads!$H:$H, MATCH(TEXT(B90,"yyyy-mm"), TEXT(Overheads!$A:$A,"yyyy-mm"),0)) / MAX(SUMIFS($H:$H,$B:$B,"&gt;="&amp;EOMONTH(B90,-1)+1,$B:$B,"&lt;="&amp;EOMONTH(B90,0)),1)) * H90,0)</f>
        <v>0</v>
      </c>
      <c r="K90" s="16">
        <f t="shared" ca="1" si="4"/>
        <v>0</v>
      </c>
      <c r="L90" s="16">
        <f t="shared" ca="1" si="5"/>
        <v>0</v>
      </c>
      <c r="M90" s="11"/>
    </row>
    <row r="91" spans="2:13">
      <c r="B91" s="30"/>
      <c r="C91" s="11"/>
      <c r="D91" t="str">
        <f>IFERROR(VLOOKUP(C91,'Products Index'!$A:$B,2,FALSE),"")</f>
        <v/>
      </c>
      <c r="E91" s="25"/>
      <c r="F91" s="25"/>
      <c r="G91" s="25"/>
      <c r="H91">
        <f t="shared" si="3"/>
        <v>0</v>
      </c>
      <c r="I91" s="16">
        <f ca="1">IFERROR(INDIRECT("'"&amp;D91&amp;"'!$B$18")*(E91/VLOOKUP(C91,'Products Index'!$A:$E,5,FALSE)),0)</f>
        <v>0</v>
      </c>
      <c r="J91" s="16">
        <f>IFERROR((INDEX(Overheads!$H:$H, MATCH(TEXT(B91,"yyyy-mm"), TEXT(Overheads!$A:$A,"yyyy-mm"),0)) / MAX(SUMIFS($H:$H,$B:$B,"&gt;="&amp;EOMONTH(B91,-1)+1,$B:$B,"&lt;="&amp;EOMONTH(B91,0)),1)) * H91,0)</f>
        <v>0</v>
      </c>
      <c r="K91" s="16">
        <f t="shared" ca="1" si="4"/>
        <v>0</v>
      </c>
      <c r="L91" s="16">
        <f t="shared" ca="1" si="5"/>
        <v>0</v>
      </c>
      <c r="M91" s="11"/>
    </row>
    <row r="92" spans="2:13">
      <c r="B92" s="30"/>
      <c r="C92" s="11"/>
      <c r="D92" t="str">
        <f>IFERROR(VLOOKUP(C92,'Products Index'!$A:$B,2,FALSE),"")</f>
        <v/>
      </c>
      <c r="E92" s="25"/>
      <c r="F92" s="25"/>
      <c r="G92" s="25"/>
      <c r="H92">
        <f t="shared" si="3"/>
        <v>0</v>
      </c>
      <c r="I92" s="16">
        <f ca="1">IFERROR(INDIRECT("'"&amp;D92&amp;"'!$B$18")*(E92/VLOOKUP(C92,'Products Index'!$A:$E,5,FALSE)),0)</f>
        <v>0</v>
      </c>
      <c r="J92" s="16">
        <f>IFERROR((INDEX(Overheads!$H:$H, MATCH(TEXT(B92,"yyyy-mm"), TEXT(Overheads!$A:$A,"yyyy-mm"),0)) / MAX(SUMIFS($H:$H,$B:$B,"&gt;="&amp;EOMONTH(B92,-1)+1,$B:$B,"&lt;="&amp;EOMONTH(B92,0)),1)) * H92,0)</f>
        <v>0</v>
      </c>
      <c r="K92" s="16">
        <f t="shared" ca="1" si="4"/>
        <v>0</v>
      </c>
      <c r="L92" s="16">
        <f t="shared" ca="1" si="5"/>
        <v>0</v>
      </c>
      <c r="M92" s="11"/>
    </row>
    <row r="93" spans="2:13">
      <c r="B93" s="30"/>
      <c r="C93" s="11"/>
      <c r="D93" t="str">
        <f>IFERROR(VLOOKUP(C93,'Products Index'!$A:$B,2,FALSE),"")</f>
        <v/>
      </c>
      <c r="E93" s="25"/>
      <c r="F93" s="25"/>
      <c r="G93" s="25"/>
      <c r="H93">
        <f t="shared" si="3"/>
        <v>0</v>
      </c>
      <c r="I93" s="16">
        <f ca="1">IFERROR(INDIRECT("'"&amp;D93&amp;"'!$B$18")*(E93/VLOOKUP(C93,'Products Index'!$A:$E,5,FALSE)),0)</f>
        <v>0</v>
      </c>
      <c r="J93" s="16">
        <f>IFERROR((INDEX(Overheads!$H:$H, MATCH(TEXT(B93,"yyyy-mm"), TEXT(Overheads!$A:$A,"yyyy-mm"),0)) / MAX(SUMIFS($H:$H,$B:$B,"&gt;="&amp;EOMONTH(B93,-1)+1,$B:$B,"&lt;="&amp;EOMONTH(B93,0)),1)) * H93,0)</f>
        <v>0</v>
      </c>
      <c r="K93" s="16">
        <f t="shared" ca="1" si="4"/>
        <v>0</v>
      </c>
      <c r="L93" s="16">
        <f t="shared" ca="1" si="5"/>
        <v>0</v>
      </c>
      <c r="M93" s="11"/>
    </row>
    <row r="94" spans="2:13">
      <c r="B94" s="30"/>
      <c r="C94" s="11"/>
      <c r="D94" t="str">
        <f>IFERROR(VLOOKUP(C94,'Products Index'!$A:$B,2,FALSE),"")</f>
        <v/>
      </c>
      <c r="E94" s="25"/>
      <c r="F94" s="25"/>
      <c r="G94" s="25"/>
      <c r="H94">
        <f t="shared" si="3"/>
        <v>0</v>
      </c>
      <c r="I94" s="16">
        <f ca="1">IFERROR(INDIRECT("'"&amp;D94&amp;"'!$B$18")*(E94/VLOOKUP(C94,'Products Index'!$A:$E,5,FALSE)),0)</f>
        <v>0</v>
      </c>
      <c r="J94" s="16">
        <f>IFERROR((INDEX(Overheads!$H:$H, MATCH(TEXT(B94,"yyyy-mm"), TEXT(Overheads!$A:$A,"yyyy-mm"),0)) / MAX(SUMIFS($H:$H,$B:$B,"&gt;="&amp;EOMONTH(B94,-1)+1,$B:$B,"&lt;="&amp;EOMONTH(B94,0)),1)) * H94,0)</f>
        <v>0</v>
      </c>
      <c r="K94" s="16">
        <f t="shared" ca="1" si="4"/>
        <v>0</v>
      </c>
      <c r="L94" s="16">
        <f t="shared" ca="1" si="5"/>
        <v>0</v>
      </c>
      <c r="M94" s="11"/>
    </row>
    <row r="95" spans="2:13">
      <c r="B95" s="30"/>
      <c r="C95" s="11"/>
      <c r="D95" t="str">
        <f>IFERROR(VLOOKUP(C95,'Products Index'!$A:$B,2,FALSE),"")</f>
        <v/>
      </c>
      <c r="E95" s="25"/>
      <c r="F95" s="25"/>
      <c r="G95" s="25"/>
      <c r="H95">
        <f t="shared" si="3"/>
        <v>0</v>
      </c>
      <c r="I95" s="16">
        <f ca="1">IFERROR(INDIRECT("'"&amp;D95&amp;"'!$B$18")*(E95/VLOOKUP(C95,'Products Index'!$A:$E,5,FALSE)),0)</f>
        <v>0</v>
      </c>
      <c r="J95" s="16">
        <f>IFERROR((INDEX(Overheads!$H:$H, MATCH(TEXT(B95,"yyyy-mm"), TEXT(Overheads!$A:$A,"yyyy-mm"),0)) / MAX(SUMIFS($H:$H,$B:$B,"&gt;="&amp;EOMONTH(B95,-1)+1,$B:$B,"&lt;="&amp;EOMONTH(B95,0)),1)) * H95,0)</f>
        <v>0</v>
      </c>
      <c r="K95" s="16">
        <f t="shared" ca="1" si="4"/>
        <v>0</v>
      </c>
      <c r="L95" s="16">
        <f t="shared" ca="1" si="5"/>
        <v>0</v>
      </c>
      <c r="M95" s="11"/>
    </row>
    <row r="96" spans="2:13">
      <c r="B96" s="30"/>
      <c r="C96" s="11"/>
      <c r="D96" t="str">
        <f>IFERROR(VLOOKUP(C96,'Products Index'!$A:$B,2,FALSE),"")</f>
        <v/>
      </c>
      <c r="E96" s="25"/>
      <c r="F96" s="25"/>
      <c r="G96" s="25"/>
      <c r="H96">
        <f t="shared" si="3"/>
        <v>0</v>
      </c>
      <c r="I96" s="16">
        <f ca="1">IFERROR(INDIRECT("'"&amp;D96&amp;"'!$B$18")*(E96/VLOOKUP(C96,'Products Index'!$A:$E,5,FALSE)),0)</f>
        <v>0</v>
      </c>
      <c r="J96" s="16">
        <f>IFERROR((INDEX(Overheads!$H:$H, MATCH(TEXT(B96,"yyyy-mm"), TEXT(Overheads!$A:$A,"yyyy-mm"),0)) / MAX(SUMIFS($H:$H,$B:$B,"&gt;="&amp;EOMONTH(B96,-1)+1,$B:$B,"&lt;="&amp;EOMONTH(B96,0)),1)) * H96,0)</f>
        <v>0</v>
      </c>
      <c r="K96" s="16">
        <f t="shared" ca="1" si="4"/>
        <v>0</v>
      </c>
      <c r="L96" s="16">
        <f t="shared" ca="1" si="5"/>
        <v>0</v>
      </c>
      <c r="M96" s="11"/>
    </row>
    <row r="97" spans="2:13">
      <c r="B97" s="30"/>
      <c r="C97" s="11"/>
      <c r="D97" t="str">
        <f>IFERROR(VLOOKUP(C97,'Products Index'!$A:$B,2,FALSE),"")</f>
        <v/>
      </c>
      <c r="E97" s="25"/>
      <c r="F97" s="25"/>
      <c r="G97" s="25"/>
      <c r="H97">
        <f t="shared" si="3"/>
        <v>0</v>
      </c>
      <c r="I97" s="16">
        <f ca="1">IFERROR(INDIRECT("'"&amp;D97&amp;"'!$B$18")*(E97/VLOOKUP(C97,'Products Index'!$A:$E,5,FALSE)),0)</f>
        <v>0</v>
      </c>
      <c r="J97" s="16">
        <f>IFERROR((INDEX(Overheads!$H:$H, MATCH(TEXT(B97,"yyyy-mm"), TEXT(Overheads!$A:$A,"yyyy-mm"),0)) / MAX(SUMIFS($H:$H,$B:$B,"&gt;="&amp;EOMONTH(B97,-1)+1,$B:$B,"&lt;="&amp;EOMONTH(B97,0)),1)) * H97,0)</f>
        <v>0</v>
      </c>
      <c r="K97" s="16">
        <f t="shared" ca="1" si="4"/>
        <v>0</v>
      </c>
      <c r="L97" s="16">
        <f t="shared" ca="1" si="5"/>
        <v>0</v>
      </c>
      <c r="M97" s="11"/>
    </row>
    <row r="98" spans="2:13">
      <c r="B98" s="30"/>
      <c r="C98" s="11"/>
      <c r="D98" t="str">
        <f>IFERROR(VLOOKUP(C98,'Products Index'!$A:$B,2,FALSE),"")</f>
        <v/>
      </c>
      <c r="E98" s="25"/>
      <c r="F98" s="25"/>
      <c r="G98" s="25"/>
      <c r="H98">
        <f t="shared" si="3"/>
        <v>0</v>
      </c>
      <c r="I98" s="16">
        <f ca="1">IFERROR(INDIRECT("'"&amp;D98&amp;"'!$B$18")*(E98/VLOOKUP(C98,'Products Index'!$A:$E,5,FALSE)),0)</f>
        <v>0</v>
      </c>
      <c r="J98" s="16">
        <f>IFERROR((INDEX(Overheads!$H:$H, MATCH(TEXT(B98,"yyyy-mm"), TEXT(Overheads!$A:$A,"yyyy-mm"),0)) / MAX(SUMIFS($H:$H,$B:$B,"&gt;="&amp;EOMONTH(B98,-1)+1,$B:$B,"&lt;="&amp;EOMONTH(B98,0)),1)) * H98,0)</f>
        <v>0</v>
      </c>
      <c r="K98" s="16">
        <f t="shared" ca="1" si="4"/>
        <v>0</v>
      </c>
      <c r="L98" s="16">
        <f t="shared" ca="1" si="5"/>
        <v>0</v>
      </c>
      <c r="M98" s="11"/>
    </row>
    <row r="99" spans="2:13">
      <c r="B99" s="30"/>
      <c r="C99" s="11"/>
      <c r="D99" t="str">
        <f>IFERROR(VLOOKUP(C99,'Products Index'!$A:$B,2,FALSE),"")</f>
        <v/>
      </c>
      <c r="E99" s="25"/>
      <c r="F99" s="25"/>
      <c r="G99" s="25"/>
      <c r="H99">
        <f t="shared" si="3"/>
        <v>0</v>
      </c>
      <c r="I99" s="16">
        <f ca="1">IFERROR(INDIRECT("'"&amp;D99&amp;"'!$B$18")*(E99/VLOOKUP(C99,'Products Index'!$A:$E,5,FALSE)),0)</f>
        <v>0</v>
      </c>
      <c r="J99" s="16">
        <f>IFERROR((INDEX(Overheads!$H:$H, MATCH(TEXT(B99,"yyyy-mm"), TEXT(Overheads!$A:$A,"yyyy-mm"),0)) / MAX(SUMIFS($H:$H,$B:$B,"&gt;="&amp;EOMONTH(B99,-1)+1,$B:$B,"&lt;="&amp;EOMONTH(B99,0)),1)) * H99,0)</f>
        <v>0</v>
      </c>
      <c r="K99" s="16">
        <f t="shared" ca="1" si="4"/>
        <v>0</v>
      </c>
      <c r="L99" s="16">
        <f t="shared" ca="1" si="5"/>
        <v>0</v>
      </c>
      <c r="M99" s="11"/>
    </row>
    <row r="100" spans="2:13">
      <c r="B100" s="30"/>
      <c r="C100" s="11"/>
      <c r="D100" t="str">
        <f>IFERROR(VLOOKUP(C100,'Products Index'!$A:$B,2,FALSE),"")</f>
        <v/>
      </c>
      <c r="E100" s="25"/>
      <c r="F100" s="25"/>
      <c r="G100" s="25"/>
      <c r="H100">
        <f t="shared" si="3"/>
        <v>0</v>
      </c>
      <c r="I100" s="16">
        <f ca="1">IFERROR(INDIRECT("'"&amp;D100&amp;"'!$B$18")*(E100/VLOOKUP(C100,'Products Index'!$A:$E,5,FALSE)),0)</f>
        <v>0</v>
      </c>
      <c r="J100" s="16">
        <f>IFERROR((INDEX(Overheads!$H:$H, MATCH(TEXT(B100,"yyyy-mm"), TEXT(Overheads!$A:$A,"yyyy-mm"),0)) / MAX(SUMIFS($H:$H,$B:$B,"&gt;="&amp;EOMONTH(B100,-1)+1,$B:$B,"&lt;="&amp;EOMONTH(B100,0)),1)) * H100,0)</f>
        <v>0</v>
      </c>
      <c r="K100" s="16">
        <f t="shared" ca="1" si="4"/>
        <v>0</v>
      </c>
      <c r="L100" s="16">
        <f t="shared" ca="1" si="5"/>
        <v>0</v>
      </c>
      <c r="M100" s="11"/>
    </row>
    <row r="101" spans="2:13">
      <c r="B101" s="30"/>
      <c r="C101" s="11"/>
      <c r="D101" t="str">
        <f>IFERROR(VLOOKUP(C101,'Products Index'!$A:$B,2,FALSE),"")</f>
        <v/>
      </c>
      <c r="E101" s="25"/>
      <c r="F101" s="25"/>
      <c r="G101" s="25"/>
      <c r="H101">
        <f t="shared" si="3"/>
        <v>0</v>
      </c>
      <c r="I101" s="16">
        <f ca="1">IFERROR(INDIRECT("'"&amp;D101&amp;"'!$B$18")*(E101/VLOOKUP(C101,'Products Index'!$A:$E,5,FALSE)),0)</f>
        <v>0</v>
      </c>
      <c r="J101" s="16">
        <f>IFERROR((INDEX(Overheads!$H:$H, MATCH(TEXT(B101,"yyyy-mm"), TEXT(Overheads!$A:$A,"yyyy-mm"),0)) / MAX(SUMIFS($H:$H,$B:$B,"&gt;="&amp;EOMONTH(B101,-1)+1,$B:$B,"&lt;="&amp;EOMONTH(B101,0)),1)) * H101,0)</f>
        <v>0</v>
      </c>
      <c r="K101" s="16">
        <f t="shared" ca="1" si="4"/>
        <v>0</v>
      </c>
      <c r="L101" s="16">
        <f t="shared" ca="1" si="5"/>
        <v>0</v>
      </c>
      <c r="M101" s="11"/>
    </row>
    <row r="102" spans="2:13">
      <c r="B102" s="30"/>
      <c r="C102" s="11"/>
      <c r="D102" t="str">
        <f>IFERROR(VLOOKUP(C102,'Products Index'!$A:$B,2,FALSE),"")</f>
        <v/>
      </c>
      <c r="E102" s="25"/>
      <c r="F102" s="25"/>
      <c r="G102" s="25"/>
      <c r="H102">
        <f t="shared" si="3"/>
        <v>0</v>
      </c>
      <c r="I102" s="16">
        <f ca="1">IFERROR(INDIRECT("'"&amp;D102&amp;"'!$B$18")*(E102/VLOOKUP(C102,'Products Index'!$A:$E,5,FALSE)),0)</f>
        <v>0</v>
      </c>
      <c r="J102" s="16">
        <f>IFERROR((INDEX(Overheads!$H:$H, MATCH(TEXT(B102,"yyyy-mm"), TEXT(Overheads!$A:$A,"yyyy-mm"),0)) / MAX(SUMIFS($H:$H,$B:$B,"&gt;="&amp;EOMONTH(B102,-1)+1,$B:$B,"&lt;="&amp;EOMONTH(B102,0)),1)) * H102,0)</f>
        <v>0</v>
      </c>
      <c r="K102" s="16">
        <f t="shared" ca="1" si="4"/>
        <v>0</v>
      </c>
      <c r="L102" s="16">
        <f t="shared" ca="1" si="5"/>
        <v>0</v>
      </c>
      <c r="M102" s="11"/>
    </row>
    <row r="103" spans="2:13">
      <c r="B103" s="30"/>
      <c r="C103" s="11"/>
      <c r="D103" t="str">
        <f>IFERROR(VLOOKUP(C103,'Products Index'!$A:$B,2,FALSE),"")</f>
        <v/>
      </c>
      <c r="E103" s="25"/>
      <c r="F103" s="25"/>
      <c r="G103" s="25"/>
      <c r="H103">
        <f t="shared" si="3"/>
        <v>0</v>
      </c>
      <c r="I103" s="16">
        <f ca="1">IFERROR(INDIRECT("'"&amp;D103&amp;"'!$B$18")*(E103/VLOOKUP(C103,'Products Index'!$A:$E,5,FALSE)),0)</f>
        <v>0</v>
      </c>
      <c r="J103" s="16">
        <f>IFERROR((INDEX(Overheads!$H:$H, MATCH(TEXT(B103,"yyyy-mm"), TEXT(Overheads!$A:$A,"yyyy-mm"),0)) / MAX(SUMIFS($H:$H,$B:$B,"&gt;="&amp;EOMONTH(B103,-1)+1,$B:$B,"&lt;="&amp;EOMONTH(B103,0)),1)) * H103,0)</f>
        <v>0</v>
      </c>
      <c r="K103" s="16">
        <f t="shared" ca="1" si="4"/>
        <v>0</v>
      </c>
      <c r="L103" s="16">
        <f t="shared" ca="1" si="5"/>
        <v>0</v>
      </c>
      <c r="M103" s="11"/>
    </row>
    <row r="104" spans="2:13">
      <c r="B104" s="30"/>
      <c r="C104" s="11"/>
      <c r="D104" t="str">
        <f>IFERROR(VLOOKUP(C104,'Products Index'!$A:$B,2,FALSE),"")</f>
        <v/>
      </c>
      <c r="E104" s="25"/>
      <c r="F104" s="25"/>
      <c r="G104" s="25"/>
      <c r="H104">
        <f t="shared" si="3"/>
        <v>0</v>
      </c>
      <c r="I104" s="16">
        <f ca="1">IFERROR(INDIRECT("'"&amp;D104&amp;"'!$B$18")*(E104/VLOOKUP(C104,'Products Index'!$A:$E,5,FALSE)),0)</f>
        <v>0</v>
      </c>
      <c r="J104" s="16">
        <f>IFERROR((INDEX(Overheads!$H:$H, MATCH(TEXT(B104,"yyyy-mm"), TEXT(Overheads!$A:$A,"yyyy-mm"),0)) / MAX(SUMIFS($H:$H,$B:$B,"&gt;="&amp;EOMONTH(B104,-1)+1,$B:$B,"&lt;="&amp;EOMONTH(B104,0)),1)) * H104,0)</f>
        <v>0</v>
      </c>
      <c r="K104" s="16">
        <f t="shared" ca="1" si="4"/>
        <v>0</v>
      </c>
      <c r="L104" s="16">
        <f t="shared" ca="1" si="5"/>
        <v>0</v>
      </c>
      <c r="M104" s="11"/>
    </row>
    <row r="105" spans="2:13">
      <c r="B105" s="30"/>
      <c r="C105" s="11"/>
      <c r="D105" t="str">
        <f>IFERROR(VLOOKUP(C105,'Products Index'!$A:$B,2,FALSE),"")</f>
        <v/>
      </c>
      <c r="E105" s="25"/>
      <c r="F105" s="25"/>
      <c r="G105" s="25"/>
      <c r="H105">
        <f t="shared" si="3"/>
        <v>0</v>
      </c>
      <c r="I105" s="16">
        <f ca="1">IFERROR(INDIRECT("'"&amp;D105&amp;"'!$B$18")*(E105/VLOOKUP(C105,'Products Index'!$A:$E,5,FALSE)),0)</f>
        <v>0</v>
      </c>
      <c r="J105" s="16">
        <f>IFERROR((INDEX(Overheads!$H:$H, MATCH(TEXT(B105,"yyyy-mm"), TEXT(Overheads!$A:$A,"yyyy-mm"),0)) / MAX(SUMIFS($H:$H,$B:$B,"&gt;="&amp;EOMONTH(B105,-1)+1,$B:$B,"&lt;="&amp;EOMONTH(B105,0)),1)) * H105,0)</f>
        <v>0</v>
      </c>
      <c r="K105" s="16">
        <f t="shared" ca="1" si="4"/>
        <v>0</v>
      </c>
      <c r="L105" s="16">
        <f t="shared" ca="1" si="5"/>
        <v>0</v>
      </c>
      <c r="M105" s="11"/>
    </row>
    <row r="106" spans="2:13">
      <c r="B106" s="30"/>
      <c r="C106" s="11"/>
      <c r="D106" t="str">
        <f>IFERROR(VLOOKUP(C106,'Products Index'!$A:$B,2,FALSE),"")</f>
        <v/>
      </c>
      <c r="E106" s="25"/>
      <c r="F106" s="25"/>
      <c r="G106" s="25"/>
      <c r="H106">
        <f t="shared" si="3"/>
        <v>0</v>
      </c>
      <c r="I106" s="16">
        <f ca="1">IFERROR(INDIRECT("'"&amp;D106&amp;"'!$B$18")*(E106/VLOOKUP(C106,'Products Index'!$A:$E,5,FALSE)),0)</f>
        <v>0</v>
      </c>
      <c r="J106" s="16">
        <f>IFERROR((INDEX(Overheads!$H:$H, MATCH(TEXT(B106,"yyyy-mm"), TEXT(Overheads!$A:$A,"yyyy-mm"),0)) / MAX(SUMIFS($H:$H,$B:$B,"&gt;="&amp;EOMONTH(B106,-1)+1,$B:$B,"&lt;="&amp;EOMONTH(B106,0)),1)) * H106,0)</f>
        <v>0</v>
      </c>
      <c r="K106" s="16">
        <f t="shared" ca="1" si="4"/>
        <v>0</v>
      </c>
      <c r="L106" s="16">
        <f t="shared" ca="1" si="5"/>
        <v>0</v>
      </c>
      <c r="M106" s="11"/>
    </row>
    <row r="107" spans="2:13">
      <c r="B107" s="30"/>
      <c r="C107" s="11"/>
      <c r="D107" t="str">
        <f>IFERROR(VLOOKUP(C107,'Products Index'!$A:$B,2,FALSE),"")</f>
        <v/>
      </c>
      <c r="E107" s="25"/>
      <c r="F107" s="25"/>
      <c r="G107" s="25"/>
      <c r="H107">
        <f t="shared" si="3"/>
        <v>0</v>
      </c>
      <c r="I107" s="16">
        <f ca="1">IFERROR(INDIRECT("'"&amp;D107&amp;"'!$B$18")*(E107/VLOOKUP(C107,'Products Index'!$A:$E,5,FALSE)),0)</f>
        <v>0</v>
      </c>
      <c r="J107" s="16">
        <f>IFERROR((INDEX(Overheads!$H:$H, MATCH(TEXT(B107,"yyyy-mm"), TEXT(Overheads!$A:$A,"yyyy-mm"),0)) / MAX(SUMIFS($H:$H,$B:$B,"&gt;="&amp;EOMONTH(B107,-1)+1,$B:$B,"&lt;="&amp;EOMONTH(B107,0)),1)) * H107,0)</f>
        <v>0</v>
      </c>
      <c r="K107" s="16">
        <f t="shared" ca="1" si="4"/>
        <v>0</v>
      </c>
      <c r="L107" s="16">
        <f t="shared" ca="1" si="5"/>
        <v>0</v>
      </c>
      <c r="M107" s="11"/>
    </row>
    <row r="108" spans="2:13">
      <c r="B108" s="30"/>
      <c r="C108" s="11"/>
      <c r="D108" t="str">
        <f>IFERROR(VLOOKUP(C108,'Products Index'!$A:$B,2,FALSE),"")</f>
        <v/>
      </c>
      <c r="E108" s="25"/>
      <c r="F108" s="25"/>
      <c r="G108" s="25"/>
      <c r="H108">
        <f t="shared" si="3"/>
        <v>0</v>
      </c>
      <c r="I108" s="16">
        <f ca="1">IFERROR(INDIRECT("'"&amp;D108&amp;"'!$B$18")*(E108/VLOOKUP(C108,'Products Index'!$A:$E,5,FALSE)),0)</f>
        <v>0</v>
      </c>
      <c r="J108" s="16">
        <f>IFERROR((INDEX(Overheads!$H:$H, MATCH(TEXT(B108,"yyyy-mm"), TEXT(Overheads!$A:$A,"yyyy-mm"),0)) / MAX(SUMIFS($H:$H,$B:$B,"&gt;="&amp;EOMONTH(B108,-1)+1,$B:$B,"&lt;="&amp;EOMONTH(B108,0)),1)) * H108,0)</f>
        <v>0</v>
      </c>
      <c r="K108" s="16">
        <f t="shared" ca="1" si="4"/>
        <v>0</v>
      </c>
      <c r="L108" s="16">
        <f t="shared" ca="1" si="5"/>
        <v>0</v>
      </c>
      <c r="M108" s="11"/>
    </row>
    <row r="109" spans="2:13">
      <c r="B109" s="30"/>
      <c r="C109" s="11"/>
      <c r="D109" t="str">
        <f>IFERROR(VLOOKUP(C109,'Products Index'!$A:$B,2,FALSE),"")</f>
        <v/>
      </c>
      <c r="E109" s="25"/>
      <c r="F109" s="25"/>
      <c r="G109" s="25"/>
      <c r="H109">
        <f t="shared" si="3"/>
        <v>0</v>
      </c>
      <c r="I109" s="16">
        <f ca="1">IFERROR(INDIRECT("'"&amp;D109&amp;"'!$B$18")*(E109/VLOOKUP(C109,'Products Index'!$A:$E,5,FALSE)),0)</f>
        <v>0</v>
      </c>
      <c r="J109" s="16">
        <f>IFERROR((INDEX(Overheads!$H:$H, MATCH(TEXT(B109,"yyyy-mm"), TEXT(Overheads!$A:$A,"yyyy-mm"),0)) / MAX(SUMIFS($H:$H,$B:$B,"&gt;="&amp;EOMONTH(B109,-1)+1,$B:$B,"&lt;="&amp;EOMONTH(B109,0)),1)) * H109,0)</f>
        <v>0</v>
      </c>
      <c r="K109" s="16">
        <f t="shared" ca="1" si="4"/>
        <v>0</v>
      </c>
      <c r="L109" s="16">
        <f t="shared" ca="1" si="5"/>
        <v>0</v>
      </c>
      <c r="M109" s="11"/>
    </row>
    <row r="110" spans="2:13">
      <c r="B110" s="30"/>
      <c r="C110" s="11"/>
      <c r="D110" t="str">
        <f>IFERROR(VLOOKUP(C110,'Products Index'!$A:$B,2,FALSE),"")</f>
        <v/>
      </c>
      <c r="E110" s="25"/>
      <c r="F110" s="25"/>
      <c r="G110" s="25"/>
      <c r="H110">
        <f t="shared" si="3"/>
        <v>0</v>
      </c>
      <c r="I110" s="16">
        <f ca="1">IFERROR(INDIRECT("'"&amp;D110&amp;"'!$B$18")*(E110/VLOOKUP(C110,'Products Index'!$A:$E,5,FALSE)),0)</f>
        <v>0</v>
      </c>
      <c r="J110" s="16">
        <f>IFERROR((INDEX(Overheads!$H:$H, MATCH(TEXT(B110,"yyyy-mm"), TEXT(Overheads!$A:$A,"yyyy-mm"),0)) / MAX(SUMIFS($H:$H,$B:$B,"&gt;="&amp;EOMONTH(B110,-1)+1,$B:$B,"&lt;="&amp;EOMONTH(B110,0)),1)) * H110,0)</f>
        <v>0</v>
      </c>
      <c r="K110" s="16">
        <f t="shared" ca="1" si="4"/>
        <v>0</v>
      </c>
      <c r="L110" s="16">
        <f t="shared" ca="1" si="5"/>
        <v>0</v>
      </c>
      <c r="M110" s="11"/>
    </row>
    <row r="111" spans="2:13">
      <c r="B111" s="30"/>
      <c r="C111" s="11"/>
      <c r="D111" t="str">
        <f>IFERROR(VLOOKUP(C111,'Products Index'!$A:$B,2,FALSE),"")</f>
        <v/>
      </c>
      <c r="E111" s="25"/>
      <c r="F111" s="25"/>
      <c r="G111" s="25"/>
      <c r="H111">
        <f t="shared" si="3"/>
        <v>0</v>
      </c>
      <c r="I111" s="16">
        <f ca="1">IFERROR(INDIRECT("'"&amp;D111&amp;"'!$B$18")*(E111/VLOOKUP(C111,'Products Index'!$A:$E,5,FALSE)),0)</f>
        <v>0</v>
      </c>
      <c r="J111" s="16">
        <f>IFERROR((INDEX(Overheads!$H:$H, MATCH(TEXT(B111,"yyyy-mm"), TEXT(Overheads!$A:$A,"yyyy-mm"),0)) / MAX(SUMIFS($H:$H,$B:$B,"&gt;="&amp;EOMONTH(B111,-1)+1,$B:$B,"&lt;="&amp;EOMONTH(B111,0)),1)) * H111,0)</f>
        <v>0</v>
      </c>
      <c r="K111" s="16">
        <f t="shared" ca="1" si="4"/>
        <v>0</v>
      </c>
      <c r="L111" s="16">
        <f t="shared" ca="1" si="5"/>
        <v>0</v>
      </c>
      <c r="M111" s="11"/>
    </row>
    <row r="112" spans="2:13">
      <c r="B112" s="30"/>
      <c r="C112" s="11"/>
      <c r="D112" t="str">
        <f>IFERROR(VLOOKUP(C112,'Products Index'!$A:$B,2,FALSE),"")</f>
        <v/>
      </c>
      <c r="E112" s="25"/>
      <c r="F112" s="25"/>
      <c r="G112" s="25"/>
      <c r="H112">
        <f t="shared" si="3"/>
        <v>0</v>
      </c>
      <c r="I112" s="16">
        <f ca="1">IFERROR(INDIRECT("'"&amp;D112&amp;"'!$B$18")*(E112/VLOOKUP(C112,'Products Index'!$A:$E,5,FALSE)),0)</f>
        <v>0</v>
      </c>
      <c r="J112" s="16">
        <f>IFERROR((INDEX(Overheads!$H:$H, MATCH(TEXT(B112,"yyyy-mm"), TEXT(Overheads!$A:$A,"yyyy-mm"),0)) / MAX(SUMIFS($H:$H,$B:$B,"&gt;="&amp;EOMONTH(B112,-1)+1,$B:$B,"&lt;="&amp;EOMONTH(B112,0)),1)) * H112,0)</f>
        <v>0</v>
      </c>
      <c r="K112" s="16">
        <f t="shared" ca="1" si="4"/>
        <v>0</v>
      </c>
      <c r="L112" s="16">
        <f t="shared" ca="1" si="5"/>
        <v>0</v>
      </c>
      <c r="M112" s="11"/>
    </row>
    <row r="113" spans="2:13">
      <c r="B113" s="30"/>
      <c r="C113" s="11"/>
      <c r="D113" t="str">
        <f>IFERROR(VLOOKUP(C113,'Products Index'!$A:$B,2,FALSE),"")</f>
        <v/>
      </c>
      <c r="E113" s="25"/>
      <c r="F113" s="25"/>
      <c r="G113" s="25"/>
      <c r="H113">
        <f t="shared" si="3"/>
        <v>0</v>
      </c>
      <c r="I113" s="16">
        <f ca="1">IFERROR(INDIRECT("'"&amp;D113&amp;"'!$B$18")*(E113/VLOOKUP(C113,'Products Index'!$A:$E,5,FALSE)),0)</f>
        <v>0</v>
      </c>
      <c r="J113" s="16">
        <f>IFERROR((INDEX(Overheads!$H:$H, MATCH(TEXT(B113,"yyyy-mm"), TEXT(Overheads!$A:$A,"yyyy-mm"),0)) / MAX(SUMIFS($H:$H,$B:$B,"&gt;="&amp;EOMONTH(B113,-1)+1,$B:$B,"&lt;="&amp;EOMONTH(B113,0)),1)) * H113,0)</f>
        <v>0</v>
      </c>
      <c r="K113" s="16">
        <f t="shared" ca="1" si="4"/>
        <v>0</v>
      </c>
      <c r="L113" s="16">
        <f t="shared" ca="1" si="5"/>
        <v>0</v>
      </c>
      <c r="M113" s="11"/>
    </row>
    <row r="114" spans="2:13">
      <c r="B114" s="30"/>
      <c r="C114" s="11"/>
      <c r="D114" t="str">
        <f>IFERROR(VLOOKUP(C114,'Products Index'!$A:$B,2,FALSE),"")</f>
        <v/>
      </c>
      <c r="E114" s="25"/>
      <c r="F114" s="25"/>
      <c r="G114" s="25"/>
      <c r="H114">
        <f t="shared" si="3"/>
        <v>0</v>
      </c>
      <c r="I114" s="16">
        <f ca="1">IFERROR(INDIRECT("'"&amp;D114&amp;"'!$B$18")*(E114/VLOOKUP(C114,'Products Index'!$A:$E,5,FALSE)),0)</f>
        <v>0</v>
      </c>
      <c r="J114" s="16">
        <f>IFERROR((INDEX(Overheads!$H:$H, MATCH(TEXT(B114,"yyyy-mm"), TEXT(Overheads!$A:$A,"yyyy-mm"),0)) / MAX(SUMIFS($H:$H,$B:$B,"&gt;="&amp;EOMONTH(B114,-1)+1,$B:$B,"&lt;="&amp;EOMONTH(B114,0)),1)) * H114,0)</f>
        <v>0</v>
      </c>
      <c r="K114" s="16">
        <f t="shared" ca="1" si="4"/>
        <v>0</v>
      </c>
      <c r="L114" s="16">
        <f t="shared" ca="1" si="5"/>
        <v>0</v>
      </c>
      <c r="M114" s="11"/>
    </row>
    <row r="115" spans="2:13">
      <c r="B115" s="30"/>
      <c r="C115" s="11"/>
      <c r="D115" t="str">
        <f>IFERROR(VLOOKUP(C115,'Products Index'!$A:$B,2,FALSE),"")</f>
        <v/>
      </c>
      <c r="E115" s="25"/>
      <c r="F115" s="25"/>
      <c r="G115" s="25"/>
      <c r="H115">
        <f t="shared" si="3"/>
        <v>0</v>
      </c>
      <c r="I115" s="16">
        <f ca="1">IFERROR(INDIRECT("'"&amp;D115&amp;"'!$B$18")*(E115/VLOOKUP(C115,'Products Index'!$A:$E,5,FALSE)),0)</f>
        <v>0</v>
      </c>
      <c r="J115" s="16">
        <f>IFERROR((INDEX(Overheads!$H:$H, MATCH(TEXT(B115,"yyyy-mm"), TEXT(Overheads!$A:$A,"yyyy-mm"),0)) / MAX(SUMIFS($H:$H,$B:$B,"&gt;="&amp;EOMONTH(B115,-1)+1,$B:$B,"&lt;="&amp;EOMONTH(B115,0)),1)) * H115,0)</f>
        <v>0</v>
      </c>
      <c r="K115" s="16">
        <f t="shared" ca="1" si="4"/>
        <v>0</v>
      </c>
      <c r="L115" s="16">
        <f t="shared" ca="1" si="5"/>
        <v>0</v>
      </c>
      <c r="M115" s="11"/>
    </row>
    <row r="116" spans="2:13">
      <c r="B116" s="30"/>
      <c r="C116" s="11"/>
      <c r="D116" t="str">
        <f>IFERROR(VLOOKUP(C116,'Products Index'!$A:$B,2,FALSE),"")</f>
        <v/>
      </c>
      <c r="E116" s="25"/>
      <c r="F116" s="25"/>
      <c r="G116" s="25"/>
      <c r="H116">
        <f t="shared" si="3"/>
        <v>0</v>
      </c>
      <c r="I116" s="16">
        <f ca="1">IFERROR(INDIRECT("'"&amp;D116&amp;"'!$B$18")*(E116/VLOOKUP(C116,'Products Index'!$A:$E,5,FALSE)),0)</f>
        <v>0</v>
      </c>
      <c r="J116" s="16">
        <f>IFERROR((INDEX(Overheads!$H:$H, MATCH(TEXT(B116,"yyyy-mm"), TEXT(Overheads!$A:$A,"yyyy-mm"),0)) / MAX(SUMIFS($H:$H,$B:$B,"&gt;="&amp;EOMONTH(B116,-1)+1,$B:$B,"&lt;="&amp;EOMONTH(B116,0)),1)) * H116,0)</f>
        <v>0</v>
      </c>
      <c r="K116" s="16">
        <f t="shared" ca="1" si="4"/>
        <v>0</v>
      </c>
      <c r="L116" s="16">
        <f t="shared" ca="1" si="5"/>
        <v>0</v>
      </c>
      <c r="M116" s="11"/>
    </row>
    <row r="117" spans="2:13">
      <c r="B117" s="30"/>
      <c r="C117" s="11"/>
      <c r="D117" t="str">
        <f>IFERROR(VLOOKUP(C117,'Products Index'!$A:$B,2,FALSE),"")</f>
        <v/>
      </c>
      <c r="E117" s="25"/>
      <c r="F117" s="25"/>
      <c r="G117" s="25"/>
      <c r="H117">
        <f t="shared" si="3"/>
        <v>0</v>
      </c>
      <c r="I117" s="16">
        <f ca="1">IFERROR(INDIRECT("'"&amp;D117&amp;"'!$B$18")*(E117/VLOOKUP(C117,'Products Index'!$A:$E,5,FALSE)),0)</f>
        <v>0</v>
      </c>
      <c r="J117" s="16">
        <f>IFERROR((INDEX(Overheads!$H:$H, MATCH(TEXT(B117,"yyyy-mm"), TEXT(Overheads!$A:$A,"yyyy-mm"),0)) / MAX(SUMIFS($H:$H,$B:$B,"&gt;="&amp;EOMONTH(B117,-1)+1,$B:$B,"&lt;="&amp;EOMONTH(B117,0)),1)) * H117,0)</f>
        <v>0</v>
      </c>
      <c r="K117" s="16">
        <f t="shared" ca="1" si="4"/>
        <v>0</v>
      </c>
      <c r="L117" s="16">
        <f t="shared" ca="1" si="5"/>
        <v>0</v>
      </c>
      <c r="M117" s="11"/>
    </row>
    <row r="118" spans="2:13">
      <c r="B118" s="30"/>
      <c r="C118" s="11"/>
      <c r="D118" t="str">
        <f>IFERROR(VLOOKUP(C118,'Products Index'!$A:$B,2,FALSE),"")</f>
        <v/>
      </c>
      <c r="E118" s="25"/>
      <c r="F118" s="25"/>
      <c r="G118" s="25"/>
      <c r="H118">
        <f t="shared" si="3"/>
        <v>0</v>
      </c>
      <c r="I118" s="16">
        <f ca="1">IFERROR(INDIRECT("'"&amp;D118&amp;"'!$B$18")*(E118/VLOOKUP(C118,'Products Index'!$A:$E,5,FALSE)),0)</f>
        <v>0</v>
      </c>
      <c r="J118" s="16">
        <f>IFERROR((INDEX(Overheads!$H:$H, MATCH(TEXT(B118,"yyyy-mm"), TEXT(Overheads!$A:$A,"yyyy-mm"),0)) / MAX(SUMIFS($H:$H,$B:$B,"&gt;="&amp;EOMONTH(B118,-1)+1,$B:$B,"&lt;="&amp;EOMONTH(B118,0)),1)) * H118,0)</f>
        <v>0</v>
      </c>
      <c r="K118" s="16">
        <f t="shared" ca="1" si="4"/>
        <v>0</v>
      </c>
      <c r="L118" s="16">
        <f t="shared" ca="1" si="5"/>
        <v>0</v>
      </c>
      <c r="M118" s="11"/>
    </row>
    <row r="119" spans="2:13">
      <c r="B119" s="30"/>
      <c r="C119" s="11"/>
      <c r="D119" t="str">
        <f>IFERROR(VLOOKUP(C119,'Products Index'!$A:$B,2,FALSE),"")</f>
        <v/>
      </c>
      <c r="E119" s="25"/>
      <c r="F119" s="25"/>
      <c r="G119" s="25"/>
      <c r="H119">
        <f t="shared" si="3"/>
        <v>0</v>
      </c>
      <c r="I119" s="16">
        <f ca="1">IFERROR(INDIRECT("'"&amp;D119&amp;"'!$B$18")*(E119/VLOOKUP(C119,'Products Index'!$A:$E,5,FALSE)),0)</f>
        <v>0</v>
      </c>
      <c r="J119" s="16">
        <f>IFERROR((INDEX(Overheads!$H:$H, MATCH(TEXT(B119,"yyyy-mm"), TEXT(Overheads!$A:$A,"yyyy-mm"),0)) / MAX(SUMIFS($H:$H,$B:$B,"&gt;="&amp;EOMONTH(B119,-1)+1,$B:$B,"&lt;="&amp;EOMONTH(B119,0)),1)) * H119,0)</f>
        <v>0</v>
      </c>
      <c r="K119" s="16">
        <f t="shared" ca="1" si="4"/>
        <v>0</v>
      </c>
      <c r="L119" s="16">
        <f t="shared" ca="1" si="5"/>
        <v>0</v>
      </c>
      <c r="M119" s="11"/>
    </row>
    <row r="120" spans="2:13">
      <c r="B120" s="30"/>
      <c r="C120" s="11"/>
      <c r="D120" t="str">
        <f>IFERROR(VLOOKUP(C120,'Products Index'!$A:$B,2,FALSE),"")</f>
        <v/>
      </c>
      <c r="E120" s="25"/>
      <c r="F120" s="25"/>
      <c r="G120" s="25"/>
      <c r="H120">
        <f t="shared" si="3"/>
        <v>0</v>
      </c>
      <c r="I120" s="16">
        <f ca="1">IFERROR(INDIRECT("'"&amp;D120&amp;"'!$B$18")*(E120/VLOOKUP(C120,'Products Index'!$A:$E,5,FALSE)),0)</f>
        <v>0</v>
      </c>
      <c r="J120" s="16">
        <f>IFERROR((INDEX(Overheads!$H:$H, MATCH(TEXT(B120,"yyyy-mm"), TEXT(Overheads!$A:$A,"yyyy-mm"),0)) / MAX(SUMIFS($H:$H,$B:$B,"&gt;="&amp;EOMONTH(B120,-1)+1,$B:$B,"&lt;="&amp;EOMONTH(B120,0)),1)) * H120,0)</f>
        <v>0</v>
      </c>
      <c r="K120" s="16">
        <f t="shared" ca="1" si="4"/>
        <v>0</v>
      </c>
      <c r="L120" s="16">
        <f t="shared" ca="1" si="5"/>
        <v>0</v>
      </c>
      <c r="M120" s="11"/>
    </row>
    <row r="121" spans="2:13">
      <c r="B121" s="30"/>
      <c r="C121" s="11"/>
      <c r="D121" t="str">
        <f>IFERROR(VLOOKUP(C121,'Products Index'!$A:$B,2,FALSE),"")</f>
        <v/>
      </c>
      <c r="E121" s="25"/>
      <c r="F121" s="25"/>
      <c r="G121" s="25"/>
      <c r="H121">
        <f t="shared" si="3"/>
        <v>0</v>
      </c>
      <c r="I121" s="16">
        <f ca="1">IFERROR(INDIRECT("'"&amp;D121&amp;"'!$B$18")*(E121/VLOOKUP(C121,'Products Index'!$A:$E,5,FALSE)),0)</f>
        <v>0</v>
      </c>
      <c r="J121" s="16">
        <f>IFERROR((INDEX(Overheads!$H:$H, MATCH(TEXT(B121,"yyyy-mm"), TEXT(Overheads!$A:$A,"yyyy-mm"),0)) / MAX(SUMIFS($H:$H,$B:$B,"&gt;="&amp;EOMONTH(B121,-1)+1,$B:$B,"&lt;="&amp;EOMONTH(B121,0)),1)) * H121,0)</f>
        <v>0</v>
      </c>
      <c r="K121" s="16">
        <f t="shared" ca="1" si="4"/>
        <v>0</v>
      </c>
      <c r="L121" s="16">
        <f t="shared" ca="1" si="5"/>
        <v>0</v>
      </c>
      <c r="M121" s="11"/>
    </row>
    <row r="122" spans="2:13">
      <c r="B122" s="30"/>
      <c r="C122" s="11"/>
      <c r="D122" t="str">
        <f>IFERROR(VLOOKUP(C122,'Products Index'!$A:$B,2,FALSE),"")</f>
        <v/>
      </c>
      <c r="E122" s="25"/>
      <c r="F122" s="25"/>
      <c r="G122" s="25"/>
      <c r="H122">
        <f t="shared" si="3"/>
        <v>0</v>
      </c>
      <c r="I122" s="16">
        <f ca="1">IFERROR(INDIRECT("'"&amp;D122&amp;"'!$B$18")*(E122/VLOOKUP(C122,'Products Index'!$A:$E,5,FALSE)),0)</f>
        <v>0</v>
      </c>
      <c r="J122" s="16">
        <f>IFERROR((INDEX(Overheads!$H:$H, MATCH(TEXT(B122,"yyyy-mm"), TEXT(Overheads!$A:$A,"yyyy-mm"),0)) / MAX(SUMIFS($H:$H,$B:$B,"&gt;="&amp;EOMONTH(B122,-1)+1,$B:$B,"&lt;="&amp;EOMONTH(B122,0)),1)) * H122,0)</f>
        <v>0</v>
      </c>
      <c r="K122" s="16">
        <f t="shared" ca="1" si="4"/>
        <v>0</v>
      </c>
      <c r="L122" s="16">
        <f t="shared" ca="1" si="5"/>
        <v>0</v>
      </c>
      <c r="M122" s="11"/>
    </row>
    <row r="123" spans="2:13">
      <c r="B123" s="30"/>
      <c r="C123" s="11"/>
      <c r="D123" t="str">
        <f>IFERROR(VLOOKUP(C123,'Products Index'!$A:$B,2,FALSE),"")</f>
        <v/>
      </c>
      <c r="E123" s="25"/>
      <c r="F123" s="25"/>
      <c r="G123" s="25"/>
      <c r="H123">
        <f t="shared" si="3"/>
        <v>0</v>
      </c>
      <c r="I123" s="16">
        <f ca="1">IFERROR(INDIRECT("'"&amp;D123&amp;"'!$B$18")*(E123/VLOOKUP(C123,'Products Index'!$A:$E,5,FALSE)),0)</f>
        <v>0</v>
      </c>
      <c r="J123" s="16">
        <f>IFERROR((INDEX(Overheads!$H:$H, MATCH(TEXT(B123,"yyyy-mm"), TEXT(Overheads!$A:$A,"yyyy-mm"),0)) / MAX(SUMIFS($H:$H,$B:$B,"&gt;="&amp;EOMONTH(B123,-1)+1,$B:$B,"&lt;="&amp;EOMONTH(B123,0)),1)) * H123,0)</f>
        <v>0</v>
      </c>
      <c r="K123" s="16">
        <f t="shared" ca="1" si="4"/>
        <v>0</v>
      </c>
      <c r="L123" s="16">
        <f t="shared" ca="1" si="5"/>
        <v>0</v>
      </c>
      <c r="M123" s="11"/>
    </row>
    <row r="124" spans="2:13">
      <c r="B124" s="30"/>
      <c r="C124" s="11"/>
      <c r="D124" t="str">
        <f>IFERROR(VLOOKUP(C124,'Products Index'!$A:$B,2,FALSE),"")</f>
        <v/>
      </c>
      <c r="E124" s="25"/>
      <c r="F124" s="25"/>
      <c r="G124" s="25"/>
      <c r="H124">
        <f t="shared" si="3"/>
        <v>0</v>
      </c>
      <c r="I124" s="16">
        <f ca="1">IFERROR(INDIRECT("'"&amp;D124&amp;"'!$B$18")*(E124/VLOOKUP(C124,'Products Index'!$A:$E,5,FALSE)),0)</f>
        <v>0</v>
      </c>
      <c r="J124" s="16">
        <f>IFERROR((INDEX(Overheads!$H:$H, MATCH(TEXT(B124,"yyyy-mm"), TEXT(Overheads!$A:$A,"yyyy-mm"),0)) / MAX(SUMIFS($H:$H,$B:$B,"&gt;="&amp;EOMONTH(B124,-1)+1,$B:$B,"&lt;="&amp;EOMONTH(B124,0)),1)) * H124,0)</f>
        <v>0</v>
      </c>
      <c r="K124" s="16">
        <f t="shared" ca="1" si="4"/>
        <v>0</v>
      </c>
      <c r="L124" s="16">
        <f t="shared" ca="1" si="5"/>
        <v>0</v>
      </c>
      <c r="M124" s="11"/>
    </row>
    <row r="125" spans="2:13">
      <c r="B125" s="30"/>
      <c r="C125" s="11"/>
      <c r="D125" t="str">
        <f>IFERROR(VLOOKUP(C125,'Products Index'!$A:$B,2,FALSE),"")</f>
        <v/>
      </c>
      <c r="E125" s="25"/>
      <c r="F125" s="25"/>
      <c r="G125" s="25"/>
      <c r="H125">
        <f t="shared" si="3"/>
        <v>0</v>
      </c>
      <c r="I125" s="16">
        <f ca="1">IFERROR(INDIRECT("'"&amp;D125&amp;"'!$B$18")*(E125/VLOOKUP(C125,'Products Index'!$A:$E,5,FALSE)),0)</f>
        <v>0</v>
      </c>
      <c r="J125" s="16">
        <f>IFERROR((INDEX(Overheads!$H:$H, MATCH(TEXT(B125,"yyyy-mm"), TEXT(Overheads!$A:$A,"yyyy-mm"),0)) / MAX(SUMIFS($H:$H,$B:$B,"&gt;="&amp;EOMONTH(B125,-1)+1,$B:$B,"&lt;="&amp;EOMONTH(B125,0)),1)) * H125,0)</f>
        <v>0</v>
      </c>
      <c r="K125" s="16">
        <f t="shared" ca="1" si="4"/>
        <v>0</v>
      </c>
      <c r="L125" s="16">
        <f t="shared" ca="1" si="5"/>
        <v>0</v>
      </c>
      <c r="M125" s="11"/>
    </row>
    <row r="126" spans="2:13">
      <c r="B126" s="30"/>
      <c r="C126" s="11"/>
      <c r="D126" t="str">
        <f>IFERROR(VLOOKUP(C126,'Products Index'!$A:$B,2,FALSE),"")</f>
        <v/>
      </c>
      <c r="E126" s="25"/>
      <c r="F126" s="25"/>
      <c r="G126" s="25"/>
      <c r="H126">
        <f t="shared" si="3"/>
        <v>0</v>
      </c>
      <c r="I126" s="16">
        <f ca="1">IFERROR(INDIRECT("'"&amp;D126&amp;"'!$B$18")*(E126/VLOOKUP(C126,'Products Index'!$A:$E,5,FALSE)),0)</f>
        <v>0</v>
      </c>
      <c r="J126" s="16">
        <f>IFERROR((INDEX(Overheads!$H:$H, MATCH(TEXT(B126,"yyyy-mm"), TEXT(Overheads!$A:$A,"yyyy-mm"),0)) / MAX(SUMIFS($H:$H,$B:$B,"&gt;="&amp;EOMONTH(B126,-1)+1,$B:$B,"&lt;="&amp;EOMONTH(B126,0)),1)) * H126,0)</f>
        <v>0</v>
      </c>
      <c r="K126" s="16">
        <f t="shared" ca="1" si="4"/>
        <v>0</v>
      </c>
      <c r="L126" s="16">
        <f t="shared" ca="1" si="5"/>
        <v>0</v>
      </c>
      <c r="M126" s="11"/>
    </row>
    <row r="127" spans="2:13">
      <c r="B127" s="30"/>
      <c r="C127" s="11"/>
      <c r="D127" t="str">
        <f>IFERROR(VLOOKUP(C127,'Products Index'!$A:$B,2,FALSE),"")</f>
        <v/>
      </c>
      <c r="E127" s="25"/>
      <c r="F127" s="25"/>
      <c r="G127" s="25"/>
      <c r="H127">
        <f t="shared" si="3"/>
        <v>0</v>
      </c>
      <c r="I127" s="16">
        <f ca="1">IFERROR(INDIRECT("'"&amp;D127&amp;"'!$B$18")*(E127/VLOOKUP(C127,'Products Index'!$A:$E,5,FALSE)),0)</f>
        <v>0</v>
      </c>
      <c r="J127" s="16">
        <f>IFERROR((INDEX(Overheads!$H:$H, MATCH(TEXT(B127,"yyyy-mm"), TEXT(Overheads!$A:$A,"yyyy-mm"),0)) / MAX(SUMIFS($H:$H,$B:$B,"&gt;="&amp;EOMONTH(B127,-1)+1,$B:$B,"&lt;="&amp;EOMONTH(B127,0)),1)) * H127,0)</f>
        <v>0</v>
      </c>
      <c r="K127" s="16">
        <f t="shared" ca="1" si="4"/>
        <v>0</v>
      </c>
      <c r="L127" s="16">
        <f t="shared" ca="1" si="5"/>
        <v>0</v>
      </c>
      <c r="M127" s="11"/>
    </row>
    <row r="128" spans="2:13">
      <c r="B128" s="30"/>
      <c r="C128" s="11"/>
      <c r="D128" t="str">
        <f>IFERROR(VLOOKUP(C128,'Products Index'!$A:$B,2,FALSE),"")</f>
        <v/>
      </c>
      <c r="E128" s="25"/>
      <c r="F128" s="25"/>
      <c r="G128" s="25"/>
      <c r="H128">
        <f t="shared" si="3"/>
        <v>0</v>
      </c>
      <c r="I128" s="16">
        <f ca="1">IFERROR(INDIRECT("'"&amp;D128&amp;"'!$B$18")*(E128/VLOOKUP(C128,'Products Index'!$A:$E,5,FALSE)),0)</f>
        <v>0</v>
      </c>
      <c r="J128" s="16">
        <f>IFERROR((INDEX(Overheads!$H:$H, MATCH(TEXT(B128,"yyyy-mm"), TEXT(Overheads!$A:$A,"yyyy-mm"),0)) / MAX(SUMIFS($H:$H,$B:$B,"&gt;="&amp;EOMONTH(B128,-1)+1,$B:$B,"&lt;="&amp;EOMONTH(B128,0)),1)) * H128,0)</f>
        <v>0</v>
      </c>
      <c r="K128" s="16">
        <f t="shared" ca="1" si="4"/>
        <v>0</v>
      </c>
      <c r="L128" s="16">
        <f t="shared" ca="1" si="5"/>
        <v>0</v>
      </c>
      <c r="M128" s="11"/>
    </row>
    <row r="129" spans="2:13">
      <c r="B129" s="30"/>
      <c r="C129" s="11"/>
      <c r="D129" t="str">
        <f>IFERROR(VLOOKUP(C129,'Products Index'!$A:$B,2,FALSE),"")</f>
        <v/>
      </c>
      <c r="E129" s="25"/>
      <c r="F129" s="25"/>
      <c r="G129" s="25"/>
      <c r="H129">
        <f t="shared" si="3"/>
        <v>0</v>
      </c>
      <c r="I129" s="16">
        <f ca="1">IFERROR(INDIRECT("'"&amp;D129&amp;"'!$B$18")*(E129/VLOOKUP(C129,'Products Index'!$A:$E,5,FALSE)),0)</f>
        <v>0</v>
      </c>
      <c r="J129" s="16">
        <f>IFERROR((INDEX(Overheads!$H:$H, MATCH(TEXT(B129,"yyyy-mm"), TEXT(Overheads!$A:$A,"yyyy-mm"),0)) / MAX(SUMIFS($H:$H,$B:$B,"&gt;="&amp;EOMONTH(B129,-1)+1,$B:$B,"&lt;="&amp;EOMONTH(B129,0)),1)) * H129,0)</f>
        <v>0</v>
      </c>
      <c r="K129" s="16">
        <f t="shared" ca="1" si="4"/>
        <v>0</v>
      </c>
      <c r="L129" s="16">
        <f t="shared" ca="1" si="5"/>
        <v>0</v>
      </c>
      <c r="M129" s="11"/>
    </row>
    <row r="130" spans="2:13">
      <c r="B130" s="30"/>
      <c r="C130" s="11"/>
      <c r="D130" t="str">
        <f>IFERROR(VLOOKUP(C130,'Products Index'!$A:$B,2,FALSE),"")</f>
        <v/>
      </c>
      <c r="E130" s="25"/>
      <c r="F130" s="25"/>
      <c r="G130" s="25"/>
      <c r="H130">
        <f t="shared" ref="H130:H193" si="6">MAX(F130-G130,0)</f>
        <v>0</v>
      </c>
      <c r="I130" s="16">
        <f ca="1">IFERROR(INDIRECT("'"&amp;D130&amp;"'!$B$18")*(E130/VLOOKUP(C130,'Products Index'!$A:$E,5,FALSE)),0)</f>
        <v>0</v>
      </c>
      <c r="J130" s="16">
        <f>IFERROR((INDEX(Overheads!$H:$H, MATCH(TEXT(B130,"yyyy-mm"), TEXT(Overheads!$A:$A,"yyyy-mm"),0)) / MAX(SUMIFS($H:$H,$B:$B,"&gt;="&amp;EOMONTH(B130,-1)+1,$B:$B,"&lt;="&amp;EOMONTH(B130,0)),1)) * H130,0)</f>
        <v>0</v>
      </c>
      <c r="K130" s="16">
        <f t="shared" ref="K130:K193" ca="1" si="7">I130+J130</f>
        <v>0</v>
      </c>
      <c r="L130" s="16">
        <f t="shared" ref="L130:L193" ca="1" si="8">IFERROR(K130/MAX(H130,1),0)</f>
        <v>0</v>
      </c>
      <c r="M130" s="11"/>
    </row>
    <row r="131" spans="2:13">
      <c r="B131" s="30"/>
      <c r="C131" s="11"/>
      <c r="D131" t="str">
        <f>IFERROR(VLOOKUP(C131,'Products Index'!$A:$B,2,FALSE),"")</f>
        <v/>
      </c>
      <c r="E131" s="25"/>
      <c r="F131" s="25"/>
      <c r="G131" s="25"/>
      <c r="H131">
        <f t="shared" si="6"/>
        <v>0</v>
      </c>
      <c r="I131" s="16">
        <f ca="1">IFERROR(INDIRECT("'"&amp;D131&amp;"'!$B$18")*(E131/VLOOKUP(C131,'Products Index'!$A:$E,5,FALSE)),0)</f>
        <v>0</v>
      </c>
      <c r="J131" s="16">
        <f>IFERROR((INDEX(Overheads!$H:$H, MATCH(TEXT(B131,"yyyy-mm"), TEXT(Overheads!$A:$A,"yyyy-mm"),0)) / MAX(SUMIFS($H:$H,$B:$B,"&gt;="&amp;EOMONTH(B131,-1)+1,$B:$B,"&lt;="&amp;EOMONTH(B131,0)),1)) * H131,0)</f>
        <v>0</v>
      </c>
      <c r="K131" s="16">
        <f t="shared" ca="1" si="7"/>
        <v>0</v>
      </c>
      <c r="L131" s="16">
        <f t="shared" ca="1" si="8"/>
        <v>0</v>
      </c>
      <c r="M131" s="11"/>
    </row>
    <row r="132" spans="2:13">
      <c r="B132" s="30"/>
      <c r="C132" s="11"/>
      <c r="D132" t="str">
        <f>IFERROR(VLOOKUP(C132,'Products Index'!$A:$B,2,FALSE),"")</f>
        <v/>
      </c>
      <c r="E132" s="25"/>
      <c r="F132" s="25"/>
      <c r="G132" s="25"/>
      <c r="H132">
        <f t="shared" si="6"/>
        <v>0</v>
      </c>
      <c r="I132" s="16">
        <f ca="1">IFERROR(INDIRECT("'"&amp;D132&amp;"'!$B$18")*(E132/VLOOKUP(C132,'Products Index'!$A:$E,5,FALSE)),0)</f>
        <v>0</v>
      </c>
      <c r="J132" s="16">
        <f>IFERROR((INDEX(Overheads!$H:$H, MATCH(TEXT(B132,"yyyy-mm"), TEXT(Overheads!$A:$A,"yyyy-mm"),0)) / MAX(SUMIFS($H:$H,$B:$B,"&gt;="&amp;EOMONTH(B132,-1)+1,$B:$B,"&lt;="&amp;EOMONTH(B132,0)),1)) * H132,0)</f>
        <v>0</v>
      </c>
      <c r="K132" s="16">
        <f t="shared" ca="1" si="7"/>
        <v>0</v>
      </c>
      <c r="L132" s="16">
        <f t="shared" ca="1" si="8"/>
        <v>0</v>
      </c>
      <c r="M132" s="11"/>
    </row>
    <row r="133" spans="2:13">
      <c r="B133" s="30"/>
      <c r="C133" s="11"/>
      <c r="D133" t="str">
        <f>IFERROR(VLOOKUP(C133,'Products Index'!$A:$B,2,FALSE),"")</f>
        <v/>
      </c>
      <c r="E133" s="25"/>
      <c r="F133" s="25"/>
      <c r="G133" s="25"/>
      <c r="H133">
        <f t="shared" si="6"/>
        <v>0</v>
      </c>
      <c r="I133" s="16">
        <f ca="1">IFERROR(INDIRECT("'"&amp;D133&amp;"'!$B$18")*(E133/VLOOKUP(C133,'Products Index'!$A:$E,5,FALSE)),0)</f>
        <v>0</v>
      </c>
      <c r="J133" s="16">
        <f>IFERROR((INDEX(Overheads!$H:$H, MATCH(TEXT(B133,"yyyy-mm"), TEXT(Overheads!$A:$A,"yyyy-mm"),0)) / MAX(SUMIFS($H:$H,$B:$B,"&gt;="&amp;EOMONTH(B133,-1)+1,$B:$B,"&lt;="&amp;EOMONTH(B133,0)),1)) * H133,0)</f>
        <v>0</v>
      </c>
      <c r="K133" s="16">
        <f t="shared" ca="1" si="7"/>
        <v>0</v>
      </c>
      <c r="L133" s="16">
        <f t="shared" ca="1" si="8"/>
        <v>0</v>
      </c>
      <c r="M133" s="11"/>
    </row>
    <row r="134" spans="2:13">
      <c r="B134" s="30"/>
      <c r="C134" s="11"/>
      <c r="D134" t="str">
        <f>IFERROR(VLOOKUP(C134,'Products Index'!$A:$B,2,FALSE),"")</f>
        <v/>
      </c>
      <c r="E134" s="25"/>
      <c r="F134" s="25"/>
      <c r="G134" s="25"/>
      <c r="H134">
        <f t="shared" si="6"/>
        <v>0</v>
      </c>
      <c r="I134" s="16">
        <f ca="1">IFERROR(INDIRECT("'"&amp;D134&amp;"'!$B$18")*(E134/VLOOKUP(C134,'Products Index'!$A:$E,5,FALSE)),0)</f>
        <v>0</v>
      </c>
      <c r="J134" s="16">
        <f>IFERROR((INDEX(Overheads!$H:$H, MATCH(TEXT(B134,"yyyy-mm"), TEXT(Overheads!$A:$A,"yyyy-mm"),0)) / MAX(SUMIFS($H:$H,$B:$B,"&gt;="&amp;EOMONTH(B134,-1)+1,$B:$B,"&lt;="&amp;EOMONTH(B134,0)),1)) * H134,0)</f>
        <v>0</v>
      </c>
      <c r="K134" s="16">
        <f t="shared" ca="1" si="7"/>
        <v>0</v>
      </c>
      <c r="L134" s="16">
        <f t="shared" ca="1" si="8"/>
        <v>0</v>
      </c>
      <c r="M134" s="11"/>
    </row>
    <row r="135" spans="2:13">
      <c r="B135" s="30"/>
      <c r="C135" s="11"/>
      <c r="D135" t="str">
        <f>IFERROR(VLOOKUP(C135,'Products Index'!$A:$B,2,FALSE),"")</f>
        <v/>
      </c>
      <c r="E135" s="25"/>
      <c r="F135" s="25"/>
      <c r="G135" s="25"/>
      <c r="H135">
        <f t="shared" si="6"/>
        <v>0</v>
      </c>
      <c r="I135" s="16">
        <f ca="1">IFERROR(INDIRECT("'"&amp;D135&amp;"'!$B$18")*(E135/VLOOKUP(C135,'Products Index'!$A:$E,5,FALSE)),0)</f>
        <v>0</v>
      </c>
      <c r="J135" s="16">
        <f>IFERROR((INDEX(Overheads!$H:$H, MATCH(TEXT(B135,"yyyy-mm"), TEXT(Overheads!$A:$A,"yyyy-mm"),0)) / MAX(SUMIFS($H:$H,$B:$B,"&gt;="&amp;EOMONTH(B135,-1)+1,$B:$B,"&lt;="&amp;EOMONTH(B135,0)),1)) * H135,0)</f>
        <v>0</v>
      </c>
      <c r="K135" s="16">
        <f t="shared" ca="1" si="7"/>
        <v>0</v>
      </c>
      <c r="L135" s="16">
        <f t="shared" ca="1" si="8"/>
        <v>0</v>
      </c>
      <c r="M135" s="11"/>
    </row>
    <row r="136" spans="2:13">
      <c r="B136" s="30"/>
      <c r="C136" s="11"/>
      <c r="D136" t="str">
        <f>IFERROR(VLOOKUP(C136,'Products Index'!$A:$B,2,FALSE),"")</f>
        <v/>
      </c>
      <c r="E136" s="25"/>
      <c r="F136" s="25"/>
      <c r="G136" s="25"/>
      <c r="H136">
        <f t="shared" si="6"/>
        <v>0</v>
      </c>
      <c r="I136" s="16">
        <f ca="1">IFERROR(INDIRECT("'"&amp;D136&amp;"'!$B$18")*(E136/VLOOKUP(C136,'Products Index'!$A:$E,5,FALSE)),0)</f>
        <v>0</v>
      </c>
      <c r="J136" s="16">
        <f>IFERROR((INDEX(Overheads!$H:$H, MATCH(TEXT(B136,"yyyy-mm"), TEXT(Overheads!$A:$A,"yyyy-mm"),0)) / MAX(SUMIFS($H:$H,$B:$B,"&gt;="&amp;EOMONTH(B136,-1)+1,$B:$B,"&lt;="&amp;EOMONTH(B136,0)),1)) * H136,0)</f>
        <v>0</v>
      </c>
      <c r="K136" s="16">
        <f t="shared" ca="1" si="7"/>
        <v>0</v>
      </c>
      <c r="L136" s="16">
        <f t="shared" ca="1" si="8"/>
        <v>0</v>
      </c>
      <c r="M136" s="11"/>
    </row>
    <row r="137" spans="2:13">
      <c r="B137" s="30"/>
      <c r="C137" s="11"/>
      <c r="D137" t="str">
        <f>IFERROR(VLOOKUP(C137,'Products Index'!$A:$B,2,FALSE),"")</f>
        <v/>
      </c>
      <c r="E137" s="25"/>
      <c r="F137" s="25"/>
      <c r="G137" s="25"/>
      <c r="H137">
        <f t="shared" si="6"/>
        <v>0</v>
      </c>
      <c r="I137" s="16">
        <f ca="1">IFERROR(INDIRECT("'"&amp;D137&amp;"'!$B$18")*(E137/VLOOKUP(C137,'Products Index'!$A:$E,5,FALSE)),0)</f>
        <v>0</v>
      </c>
      <c r="J137" s="16">
        <f>IFERROR((INDEX(Overheads!$H:$H, MATCH(TEXT(B137,"yyyy-mm"), TEXT(Overheads!$A:$A,"yyyy-mm"),0)) / MAX(SUMIFS($H:$H,$B:$B,"&gt;="&amp;EOMONTH(B137,-1)+1,$B:$B,"&lt;="&amp;EOMONTH(B137,0)),1)) * H137,0)</f>
        <v>0</v>
      </c>
      <c r="K137" s="16">
        <f t="shared" ca="1" si="7"/>
        <v>0</v>
      </c>
      <c r="L137" s="16">
        <f t="shared" ca="1" si="8"/>
        <v>0</v>
      </c>
      <c r="M137" s="11"/>
    </row>
    <row r="138" spans="2:13">
      <c r="B138" s="30"/>
      <c r="C138" s="11"/>
      <c r="D138" t="str">
        <f>IFERROR(VLOOKUP(C138,'Products Index'!$A:$B,2,FALSE),"")</f>
        <v/>
      </c>
      <c r="E138" s="25"/>
      <c r="F138" s="25"/>
      <c r="G138" s="25"/>
      <c r="H138">
        <f t="shared" si="6"/>
        <v>0</v>
      </c>
      <c r="I138" s="16">
        <f ca="1">IFERROR(INDIRECT("'"&amp;D138&amp;"'!$B$18")*(E138/VLOOKUP(C138,'Products Index'!$A:$E,5,FALSE)),0)</f>
        <v>0</v>
      </c>
      <c r="J138" s="16">
        <f>IFERROR((INDEX(Overheads!$H:$H, MATCH(TEXT(B138,"yyyy-mm"), TEXT(Overheads!$A:$A,"yyyy-mm"),0)) / MAX(SUMIFS($H:$H,$B:$B,"&gt;="&amp;EOMONTH(B138,-1)+1,$B:$B,"&lt;="&amp;EOMONTH(B138,0)),1)) * H138,0)</f>
        <v>0</v>
      </c>
      <c r="K138" s="16">
        <f t="shared" ca="1" si="7"/>
        <v>0</v>
      </c>
      <c r="L138" s="16">
        <f t="shared" ca="1" si="8"/>
        <v>0</v>
      </c>
      <c r="M138" s="11"/>
    </row>
    <row r="139" spans="2:13">
      <c r="B139" s="30"/>
      <c r="C139" s="11"/>
      <c r="D139" t="str">
        <f>IFERROR(VLOOKUP(C139,'Products Index'!$A:$B,2,FALSE),"")</f>
        <v/>
      </c>
      <c r="E139" s="25"/>
      <c r="F139" s="25"/>
      <c r="G139" s="25"/>
      <c r="H139">
        <f t="shared" si="6"/>
        <v>0</v>
      </c>
      <c r="I139" s="16">
        <f ca="1">IFERROR(INDIRECT("'"&amp;D139&amp;"'!$B$18")*(E139/VLOOKUP(C139,'Products Index'!$A:$E,5,FALSE)),0)</f>
        <v>0</v>
      </c>
      <c r="J139" s="16">
        <f>IFERROR((INDEX(Overheads!$H:$H, MATCH(TEXT(B139,"yyyy-mm"), TEXT(Overheads!$A:$A,"yyyy-mm"),0)) / MAX(SUMIFS($H:$H,$B:$B,"&gt;="&amp;EOMONTH(B139,-1)+1,$B:$B,"&lt;="&amp;EOMONTH(B139,0)),1)) * H139,0)</f>
        <v>0</v>
      </c>
      <c r="K139" s="16">
        <f t="shared" ca="1" si="7"/>
        <v>0</v>
      </c>
      <c r="L139" s="16">
        <f t="shared" ca="1" si="8"/>
        <v>0</v>
      </c>
      <c r="M139" s="11"/>
    </row>
    <row r="140" spans="2:13">
      <c r="B140" s="30"/>
      <c r="C140" s="11"/>
      <c r="D140" t="str">
        <f>IFERROR(VLOOKUP(C140,'Products Index'!$A:$B,2,FALSE),"")</f>
        <v/>
      </c>
      <c r="E140" s="25"/>
      <c r="F140" s="25"/>
      <c r="G140" s="25"/>
      <c r="H140">
        <f t="shared" si="6"/>
        <v>0</v>
      </c>
      <c r="I140" s="16">
        <f ca="1">IFERROR(INDIRECT("'"&amp;D140&amp;"'!$B$18")*(E140/VLOOKUP(C140,'Products Index'!$A:$E,5,FALSE)),0)</f>
        <v>0</v>
      </c>
      <c r="J140" s="16">
        <f>IFERROR((INDEX(Overheads!$H:$H, MATCH(TEXT(B140,"yyyy-mm"), TEXT(Overheads!$A:$A,"yyyy-mm"),0)) / MAX(SUMIFS($H:$H,$B:$B,"&gt;="&amp;EOMONTH(B140,-1)+1,$B:$B,"&lt;="&amp;EOMONTH(B140,0)),1)) * H140,0)</f>
        <v>0</v>
      </c>
      <c r="K140" s="16">
        <f t="shared" ca="1" si="7"/>
        <v>0</v>
      </c>
      <c r="L140" s="16">
        <f t="shared" ca="1" si="8"/>
        <v>0</v>
      </c>
      <c r="M140" s="11"/>
    </row>
    <row r="141" spans="2:13">
      <c r="B141" s="30"/>
      <c r="C141" s="11"/>
      <c r="D141" t="str">
        <f>IFERROR(VLOOKUP(C141,'Products Index'!$A:$B,2,FALSE),"")</f>
        <v/>
      </c>
      <c r="E141" s="25"/>
      <c r="F141" s="25"/>
      <c r="G141" s="25"/>
      <c r="H141">
        <f t="shared" si="6"/>
        <v>0</v>
      </c>
      <c r="I141" s="16">
        <f ca="1">IFERROR(INDIRECT("'"&amp;D141&amp;"'!$B$18")*(E141/VLOOKUP(C141,'Products Index'!$A:$E,5,FALSE)),0)</f>
        <v>0</v>
      </c>
      <c r="J141" s="16">
        <f>IFERROR((INDEX(Overheads!$H:$H, MATCH(TEXT(B141,"yyyy-mm"), TEXT(Overheads!$A:$A,"yyyy-mm"),0)) / MAX(SUMIFS($H:$H,$B:$B,"&gt;="&amp;EOMONTH(B141,-1)+1,$B:$B,"&lt;="&amp;EOMONTH(B141,0)),1)) * H141,0)</f>
        <v>0</v>
      </c>
      <c r="K141" s="16">
        <f t="shared" ca="1" si="7"/>
        <v>0</v>
      </c>
      <c r="L141" s="16">
        <f t="shared" ca="1" si="8"/>
        <v>0</v>
      </c>
      <c r="M141" s="11"/>
    </row>
    <row r="142" spans="2:13">
      <c r="B142" s="30"/>
      <c r="C142" s="11"/>
      <c r="D142" t="str">
        <f>IFERROR(VLOOKUP(C142,'Products Index'!$A:$B,2,FALSE),"")</f>
        <v/>
      </c>
      <c r="E142" s="25"/>
      <c r="F142" s="25"/>
      <c r="G142" s="25"/>
      <c r="H142">
        <f t="shared" si="6"/>
        <v>0</v>
      </c>
      <c r="I142" s="16">
        <f ca="1">IFERROR(INDIRECT("'"&amp;D142&amp;"'!$B$18")*(E142/VLOOKUP(C142,'Products Index'!$A:$E,5,FALSE)),0)</f>
        <v>0</v>
      </c>
      <c r="J142" s="16">
        <f>IFERROR((INDEX(Overheads!$H:$H, MATCH(TEXT(B142,"yyyy-mm"), TEXT(Overheads!$A:$A,"yyyy-mm"),0)) / MAX(SUMIFS($H:$H,$B:$B,"&gt;="&amp;EOMONTH(B142,-1)+1,$B:$B,"&lt;="&amp;EOMONTH(B142,0)),1)) * H142,0)</f>
        <v>0</v>
      </c>
      <c r="K142" s="16">
        <f t="shared" ca="1" si="7"/>
        <v>0</v>
      </c>
      <c r="L142" s="16">
        <f t="shared" ca="1" si="8"/>
        <v>0</v>
      </c>
      <c r="M142" s="11"/>
    </row>
    <row r="143" spans="2:13">
      <c r="B143" s="30"/>
      <c r="C143" s="11"/>
      <c r="D143" t="str">
        <f>IFERROR(VLOOKUP(C143,'Products Index'!$A:$B,2,FALSE),"")</f>
        <v/>
      </c>
      <c r="E143" s="25"/>
      <c r="F143" s="25"/>
      <c r="G143" s="25"/>
      <c r="H143">
        <f t="shared" si="6"/>
        <v>0</v>
      </c>
      <c r="I143" s="16">
        <f ca="1">IFERROR(INDIRECT("'"&amp;D143&amp;"'!$B$18")*(E143/VLOOKUP(C143,'Products Index'!$A:$E,5,FALSE)),0)</f>
        <v>0</v>
      </c>
      <c r="J143" s="16">
        <f>IFERROR((INDEX(Overheads!$H:$H, MATCH(TEXT(B143,"yyyy-mm"), TEXT(Overheads!$A:$A,"yyyy-mm"),0)) / MAX(SUMIFS($H:$H,$B:$B,"&gt;="&amp;EOMONTH(B143,-1)+1,$B:$B,"&lt;="&amp;EOMONTH(B143,0)),1)) * H143,0)</f>
        <v>0</v>
      </c>
      <c r="K143" s="16">
        <f t="shared" ca="1" si="7"/>
        <v>0</v>
      </c>
      <c r="L143" s="16">
        <f t="shared" ca="1" si="8"/>
        <v>0</v>
      </c>
      <c r="M143" s="11"/>
    </row>
    <row r="144" spans="2:13">
      <c r="B144" s="30"/>
      <c r="C144" s="11"/>
      <c r="D144" t="str">
        <f>IFERROR(VLOOKUP(C144,'Products Index'!$A:$B,2,FALSE),"")</f>
        <v/>
      </c>
      <c r="E144" s="25"/>
      <c r="F144" s="25"/>
      <c r="G144" s="25"/>
      <c r="H144">
        <f t="shared" si="6"/>
        <v>0</v>
      </c>
      <c r="I144" s="16">
        <f ca="1">IFERROR(INDIRECT("'"&amp;D144&amp;"'!$B$18")*(E144/VLOOKUP(C144,'Products Index'!$A:$E,5,FALSE)),0)</f>
        <v>0</v>
      </c>
      <c r="J144" s="16">
        <f>IFERROR((INDEX(Overheads!$H:$H, MATCH(TEXT(B144,"yyyy-mm"), TEXT(Overheads!$A:$A,"yyyy-mm"),0)) / MAX(SUMIFS($H:$H,$B:$B,"&gt;="&amp;EOMONTH(B144,-1)+1,$B:$B,"&lt;="&amp;EOMONTH(B144,0)),1)) * H144,0)</f>
        <v>0</v>
      </c>
      <c r="K144" s="16">
        <f t="shared" ca="1" si="7"/>
        <v>0</v>
      </c>
      <c r="L144" s="16">
        <f t="shared" ca="1" si="8"/>
        <v>0</v>
      </c>
      <c r="M144" s="11"/>
    </row>
    <row r="145" spans="2:13">
      <c r="B145" s="30"/>
      <c r="C145" s="11"/>
      <c r="D145" t="str">
        <f>IFERROR(VLOOKUP(C145,'Products Index'!$A:$B,2,FALSE),"")</f>
        <v/>
      </c>
      <c r="E145" s="25"/>
      <c r="F145" s="25"/>
      <c r="G145" s="25"/>
      <c r="H145">
        <f t="shared" si="6"/>
        <v>0</v>
      </c>
      <c r="I145" s="16">
        <f ca="1">IFERROR(INDIRECT("'"&amp;D145&amp;"'!$B$18")*(E145/VLOOKUP(C145,'Products Index'!$A:$E,5,FALSE)),0)</f>
        <v>0</v>
      </c>
      <c r="J145" s="16">
        <f>IFERROR((INDEX(Overheads!$H:$H, MATCH(TEXT(B145,"yyyy-mm"), TEXT(Overheads!$A:$A,"yyyy-mm"),0)) / MAX(SUMIFS($H:$H,$B:$B,"&gt;="&amp;EOMONTH(B145,-1)+1,$B:$B,"&lt;="&amp;EOMONTH(B145,0)),1)) * H145,0)</f>
        <v>0</v>
      </c>
      <c r="K145" s="16">
        <f t="shared" ca="1" si="7"/>
        <v>0</v>
      </c>
      <c r="L145" s="16">
        <f t="shared" ca="1" si="8"/>
        <v>0</v>
      </c>
      <c r="M145" s="11"/>
    </row>
    <row r="146" spans="2:13">
      <c r="B146" s="30"/>
      <c r="C146" s="11"/>
      <c r="D146" t="str">
        <f>IFERROR(VLOOKUP(C146,'Products Index'!$A:$B,2,FALSE),"")</f>
        <v/>
      </c>
      <c r="E146" s="25"/>
      <c r="F146" s="25"/>
      <c r="G146" s="25"/>
      <c r="H146">
        <f t="shared" si="6"/>
        <v>0</v>
      </c>
      <c r="I146" s="16">
        <f ca="1">IFERROR(INDIRECT("'"&amp;D146&amp;"'!$B$18")*(E146/VLOOKUP(C146,'Products Index'!$A:$E,5,FALSE)),0)</f>
        <v>0</v>
      </c>
      <c r="J146" s="16">
        <f>IFERROR((INDEX(Overheads!$H:$H, MATCH(TEXT(B146,"yyyy-mm"), TEXT(Overheads!$A:$A,"yyyy-mm"),0)) / MAX(SUMIFS($H:$H,$B:$B,"&gt;="&amp;EOMONTH(B146,-1)+1,$B:$B,"&lt;="&amp;EOMONTH(B146,0)),1)) * H146,0)</f>
        <v>0</v>
      </c>
      <c r="K146" s="16">
        <f t="shared" ca="1" si="7"/>
        <v>0</v>
      </c>
      <c r="L146" s="16">
        <f t="shared" ca="1" si="8"/>
        <v>0</v>
      </c>
      <c r="M146" s="11"/>
    </row>
    <row r="147" spans="2:13">
      <c r="B147" s="30"/>
      <c r="C147" s="11"/>
      <c r="D147" t="str">
        <f>IFERROR(VLOOKUP(C147,'Products Index'!$A:$B,2,FALSE),"")</f>
        <v/>
      </c>
      <c r="E147" s="25"/>
      <c r="F147" s="25"/>
      <c r="G147" s="25"/>
      <c r="H147">
        <f t="shared" si="6"/>
        <v>0</v>
      </c>
      <c r="I147" s="16">
        <f ca="1">IFERROR(INDIRECT("'"&amp;D147&amp;"'!$B$18")*(E147/VLOOKUP(C147,'Products Index'!$A:$E,5,FALSE)),0)</f>
        <v>0</v>
      </c>
      <c r="J147" s="16">
        <f>IFERROR((INDEX(Overheads!$H:$H, MATCH(TEXT(B147,"yyyy-mm"), TEXT(Overheads!$A:$A,"yyyy-mm"),0)) / MAX(SUMIFS($H:$H,$B:$B,"&gt;="&amp;EOMONTH(B147,-1)+1,$B:$B,"&lt;="&amp;EOMONTH(B147,0)),1)) * H147,0)</f>
        <v>0</v>
      </c>
      <c r="K147" s="16">
        <f t="shared" ca="1" si="7"/>
        <v>0</v>
      </c>
      <c r="L147" s="16">
        <f t="shared" ca="1" si="8"/>
        <v>0</v>
      </c>
      <c r="M147" s="11"/>
    </row>
    <row r="148" spans="2:13">
      <c r="B148" s="30"/>
      <c r="C148" s="11"/>
      <c r="D148" t="str">
        <f>IFERROR(VLOOKUP(C148,'Products Index'!$A:$B,2,FALSE),"")</f>
        <v/>
      </c>
      <c r="E148" s="25"/>
      <c r="F148" s="25"/>
      <c r="G148" s="25"/>
      <c r="H148">
        <f t="shared" si="6"/>
        <v>0</v>
      </c>
      <c r="I148" s="16">
        <f ca="1">IFERROR(INDIRECT("'"&amp;D148&amp;"'!$B$18")*(E148/VLOOKUP(C148,'Products Index'!$A:$E,5,FALSE)),0)</f>
        <v>0</v>
      </c>
      <c r="J148" s="16">
        <f>IFERROR((INDEX(Overheads!$H:$H, MATCH(TEXT(B148,"yyyy-mm"), TEXT(Overheads!$A:$A,"yyyy-mm"),0)) / MAX(SUMIFS($H:$H,$B:$B,"&gt;="&amp;EOMONTH(B148,-1)+1,$B:$B,"&lt;="&amp;EOMONTH(B148,0)),1)) * H148,0)</f>
        <v>0</v>
      </c>
      <c r="K148" s="16">
        <f t="shared" ca="1" si="7"/>
        <v>0</v>
      </c>
      <c r="L148" s="16">
        <f t="shared" ca="1" si="8"/>
        <v>0</v>
      </c>
      <c r="M148" s="11"/>
    </row>
    <row r="149" spans="2:13">
      <c r="B149" s="30"/>
      <c r="C149" s="11"/>
      <c r="D149" t="str">
        <f>IFERROR(VLOOKUP(C149,'Products Index'!$A:$B,2,FALSE),"")</f>
        <v/>
      </c>
      <c r="E149" s="25"/>
      <c r="F149" s="25"/>
      <c r="G149" s="25"/>
      <c r="H149">
        <f t="shared" si="6"/>
        <v>0</v>
      </c>
      <c r="I149" s="16">
        <f ca="1">IFERROR(INDIRECT("'"&amp;D149&amp;"'!$B$18")*(E149/VLOOKUP(C149,'Products Index'!$A:$E,5,FALSE)),0)</f>
        <v>0</v>
      </c>
      <c r="J149" s="16">
        <f>IFERROR((INDEX(Overheads!$H:$H, MATCH(TEXT(B149,"yyyy-mm"), TEXT(Overheads!$A:$A,"yyyy-mm"),0)) / MAX(SUMIFS($H:$H,$B:$B,"&gt;="&amp;EOMONTH(B149,-1)+1,$B:$B,"&lt;="&amp;EOMONTH(B149,0)),1)) * H149,0)</f>
        <v>0</v>
      </c>
      <c r="K149" s="16">
        <f t="shared" ca="1" si="7"/>
        <v>0</v>
      </c>
      <c r="L149" s="16">
        <f t="shared" ca="1" si="8"/>
        <v>0</v>
      </c>
      <c r="M149" s="11"/>
    </row>
    <row r="150" spans="2:13">
      <c r="B150" s="30"/>
      <c r="C150" s="11"/>
      <c r="D150" t="str">
        <f>IFERROR(VLOOKUP(C150,'Products Index'!$A:$B,2,FALSE),"")</f>
        <v/>
      </c>
      <c r="E150" s="25"/>
      <c r="F150" s="25"/>
      <c r="G150" s="25"/>
      <c r="H150">
        <f t="shared" si="6"/>
        <v>0</v>
      </c>
      <c r="I150" s="16">
        <f ca="1">IFERROR(INDIRECT("'"&amp;D150&amp;"'!$B$18")*(E150/VLOOKUP(C150,'Products Index'!$A:$E,5,FALSE)),0)</f>
        <v>0</v>
      </c>
      <c r="J150" s="16">
        <f>IFERROR((INDEX(Overheads!$H:$H, MATCH(TEXT(B150,"yyyy-mm"), TEXT(Overheads!$A:$A,"yyyy-mm"),0)) / MAX(SUMIFS($H:$H,$B:$B,"&gt;="&amp;EOMONTH(B150,-1)+1,$B:$B,"&lt;="&amp;EOMONTH(B150,0)),1)) * H150,0)</f>
        <v>0</v>
      </c>
      <c r="K150" s="16">
        <f t="shared" ca="1" si="7"/>
        <v>0</v>
      </c>
      <c r="L150" s="16">
        <f t="shared" ca="1" si="8"/>
        <v>0</v>
      </c>
      <c r="M150" s="11"/>
    </row>
    <row r="151" spans="2:13">
      <c r="B151" s="30"/>
      <c r="C151" s="11"/>
      <c r="D151" t="str">
        <f>IFERROR(VLOOKUP(C151,'Products Index'!$A:$B,2,FALSE),"")</f>
        <v/>
      </c>
      <c r="E151" s="25"/>
      <c r="F151" s="25"/>
      <c r="G151" s="25"/>
      <c r="H151">
        <f t="shared" si="6"/>
        <v>0</v>
      </c>
      <c r="I151" s="16">
        <f ca="1">IFERROR(INDIRECT("'"&amp;D151&amp;"'!$B$18")*(E151/VLOOKUP(C151,'Products Index'!$A:$E,5,FALSE)),0)</f>
        <v>0</v>
      </c>
      <c r="J151" s="16">
        <f>IFERROR((INDEX(Overheads!$H:$H, MATCH(TEXT(B151,"yyyy-mm"), TEXT(Overheads!$A:$A,"yyyy-mm"),0)) / MAX(SUMIFS($H:$H,$B:$B,"&gt;="&amp;EOMONTH(B151,-1)+1,$B:$B,"&lt;="&amp;EOMONTH(B151,0)),1)) * H151,0)</f>
        <v>0</v>
      </c>
      <c r="K151" s="16">
        <f t="shared" ca="1" si="7"/>
        <v>0</v>
      </c>
      <c r="L151" s="16">
        <f t="shared" ca="1" si="8"/>
        <v>0</v>
      </c>
      <c r="M151" s="11"/>
    </row>
    <row r="152" spans="2:13">
      <c r="B152" s="30"/>
      <c r="C152" s="11"/>
      <c r="D152" t="str">
        <f>IFERROR(VLOOKUP(C152,'Products Index'!$A:$B,2,FALSE),"")</f>
        <v/>
      </c>
      <c r="E152" s="25"/>
      <c r="F152" s="25"/>
      <c r="G152" s="25"/>
      <c r="H152">
        <f t="shared" si="6"/>
        <v>0</v>
      </c>
      <c r="I152" s="16">
        <f ca="1">IFERROR(INDIRECT("'"&amp;D152&amp;"'!$B$18")*(E152/VLOOKUP(C152,'Products Index'!$A:$E,5,FALSE)),0)</f>
        <v>0</v>
      </c>
      <c r="J152" s="16">
        <f>IFERROR((INDEX(Overheads!$H:$H, MATCH(TEXT(B152,"yyyy-mm"), TEXT(Overheads!$A:$A,"yyyy-mm"),0)) / MAX(SUMIFS($H:$H,$B:$B,"&gt;="&amp;EOMONTH(B152,-1)+1,$B:$B,"&lt;="&amp;EOMONTH(B152,0)),1)) * H152,0)</f>
        <v>0</v>
      </c>
      <c r="K152" s="16">
        <f t="shared" ca="1" si="7"/>
        <v>0</v>
      </c>
      <c r="L152" s="16">
        <f t="shared" ca="1" si="8"/>
        <v>0</v>
      </c>
      <c r="M152" s="11"/>
    </row>
    <row r="153" spans="2:13">
      <c r="B153" s="30"/>
      <c r="C153" s="11"/>
      <c r="D153" t="str">
        <f>IFERROR(VLOOKUP(C153,'Products Index'!$A:$B,2,FALSE),"")</f>
        <v/>
      </c>
      <c r="E153" s="25"/>
      <c r="F153" s="25"/>
      <c r="G153" s="25"/>
      <c r="H153">
        <f t="shared" si="6"/>
        <v>0</v>
      </c>
      <c r="I153" s="16">
        <f ca="1">IFERROR(INDIRECT("'"&amp;D153&amp;"'!$B$18")*(E153/VLOOKUP(C153,'Products Index'!$A:$E,5,FALSE)),0)</f>
        <v>0</v>
      </c>
      <c r="J153" s="16">
        <f>IFERROR((INDEX(Overheads!$H:$H, MATCH(TEXT(B153,"yyyy-mm"), TEXT(Overheads!$A:$A,"yyyy-mm"),0)) / MAX(SUMIFS($H:$H,$B:$B,"&gt;="&amp;EOMONTH(B153,-1)+1,$B:$B,"&lt;="&amp;EOMONTH(B153,0)),1)) * H153,0)</f>
        <v>0</v>
      </c>
      <c r="K153" s="16">
        <f t="shared" ca="1" si="7"/>
        <v>0</v>
      </c>
      <c r="L153" s="16">
        <f t="shared" ca="1" si="8"/>
        <v>0</v>
      </c>
      <c r="M153" s="11"/>
    </row>
    <row r="154" spans="2:13">
      <c r="B154" s="30"/>
      <c r="C154" s="11"/>
      <c r="D154" t="str">
        <f>IFERROR(VLOOKUP(C154,'Products Index'!$A:$B,2,FALSE),"")</f>
        <v/>
      </c>
      <c r="E154" s="25"/>
      <c r="F154" s="25"/>
      <c r="G154" s="25"/>
      <c r="H154">
        <f t="shared" si="6"/>
        <v>0</v>
      </c>
      <c r="I154" s="16">
        <f ca="1">IFERROR(INDIRECT("'"&amp;D154&amp;"'!$B$18")*(E154/VLOOKUP(C154,'Products Index'!$A:$E,5,FALSE)),0)</f>
        <v>0</v>
      </c>
      <c r="J154" s="16">
        <f>IFERROR((INDEX(Overheads!$H:$H, MATCH(TEXT(B154,"yyyy-mm"), TEXT(Overheads!$A:$A,"yyyy-mm"),0)) / MAX(SUMIFS($H:$H,$B:$B,"&gt;="&amp;EOMONTH(B154,-1)+1,$B:$B,"&lt;="&amp;EOMONTH(B154,0)),1)) * H154,0)</f>
        <v>0</v>
      </c>
      <c r="K154" s="16">
        <f t="shared" ca="1" si="7"/>
        <v>0</v>
      </c>
      <c r="L154" s="16">
        <f t="shared" ca="1" si="8"/>
        <v>0</v>
      </c>
      <c r="M154" s="11"/>
    </row>
    <row r="155" spans="2:13">
      <c r="B155" s="30"/>
      <c r="C155" s="11"/>
      <c r="D155" t="str">
        <f>IFERROR(VLOOKUP(C155,'Products Index'!$A:$B,2,FALSE),"")</f>
        <v/>
      </c>
      <c r="E155" s="25"/>
      <c r="F155" s="25"/>
      <c r="G155" s="25"/>
      <c r="H155">
        <f t="shared" si="6"/>
        <v>0</v>
      </c>
      <c r="I155" s="16">
        <f ca="1">IFERROR(INDIRECT("'"&amp;D155&amp;"'!$B$18")*(E155/VLOOKUP(C155,'Products Index'!$A:$E,5,FALSE)),0)</f>
        <v>0</v>
      </c>
      <c r="J155" s="16">
        <f>IFERROR((INDEX(Overheads!$H:$H, MATCH(TEXT(B155,"yyyy-mm"), TEXT(Overheads!$A:$A,"yyyy-mm"),0)) / MAX(SUMIFS($H:$H,$B:$B,"&gt;="&amp;EOMONTH(B155,-1)+1,$B:$B,"&lt;="&amp;EOMONTH(B155,0)),1)) * H155,0)</f>
        <v>0</v>
      </c>
      <c r="K155" s="16">
        <f t="shared" ca="1" si="7"/>
        <v>0</v>
      </c>
      <c r="L155" s="16">
        <f t="shared" ca="1" si="8"/>
        <v>0</v>
      </c>
      <c r="M155" s="11"/>
    </row>
    <row r="156" spans="2:13">
      <c r="B156" s="30"/>
      <c r="C156" s="11"/>
      <c r="D156" t="str">
        <f>IFERROR(VLOOKUP(C156,'Products Index'!$A:$B,2,FALSE),"")</f>
        <v/>
      </c>
      <c r="E156" s="25"/>
      <c r="F156" s="25"/>
      <c r="G156" s="25"/>
      <c r="H156">
        <f t="shared" si="6"/>
        <v>0</v>
      </c>
      <c r="I156" s="16">
        <f ca="1">IFERROR(INDIRECT("'"&amp;D156&amp;"'!$B$18")*(E156/VLOOKUP(C156,'Products Index'!$A:$E,5,FALSE)),0)</f>
        <v>0</v>
      </c>
      <c r="J156" s="16">
        <f>IFERROR((INDEX(Overheads!$H:$H, MATCH(TEXT(B156,"yyyy-mm"), TEXT(Overheads!$A:$A,"yyyy-mm"),0)) / MAX(SUMIFS($H:$H,$B:$B,"&gt;="&amp;EOMONTH(B156,-1)+1,$B:$B,"&lt;="&amp;EOMONTH(B156,0)),1)) * H156,0)</f>
        <v>0</v>
      </c>
      <c r="K156" s="16">
        <f t="shared" ca="1" si="7"/>
        <v>0</v>
      </c>
      <c r="L156" s="16">
        <f t="shared" ca="1" si="8"/>
        <v>0</v>
      </c>
      <c r="M156" s="11"/>
    </row>
    <row r="157" spans="2:13">
      <c r="B157" s="30"/>
      <c r="C157" s="11"/>
      <c r="D157" t="str">
        <f>IFERROR(VLOOKUP(C157,'Products Index'!$A:$B,2,FALSE),"")</f>
        <v/>
      </c>
      <c r="E157" s="25"/>
      <c r="F157" s="25"/>
      <c r="G157" s="25"/>
      <c r="H157">
        <f t="shared" si="6"/>
        <v>0</v>
      </c>
      <c r="I157" s="16">
        <f ca="1">IFERROR(INDIRECT("'"&amp;D157&amp;"'!$B$18")*(E157/VLOOKUP(C157,'Products Index'!$A:$E,5,FALSE)),0)</f>
        <v>0</v>
      </c>
      <c r="J157" s="16">
        <f>IFERROR((INDEX(Overheads!$H:$H, MATCH(TEXT(B157,"yyyy-mm"), TEXT(Overheads!$A:$A,"yyyy-mm"),0)) / MAX(SUMIFS($H:$H,$B:$B,"&gt;="&amp;EOMONTH(B157,-1)+1,$B:$B,"&lt;="&amp;EOMONTH(B157,0)),1)) * H157,0)</f>
        <v>0</v>
      </c>
      <c r="K157" s="16">
        <f t="shared" ca="1" si="7"/>
        <v>0</v>
      </c>
      <c r="L157" s="16">
        <f t="shared" ca="1" si="8"/>
        <v>0</v>
      </c>
      <c r="M157" s="11"/>
    </row>
    <row r="158" spans="2:13">
      <c r="B158" s="30"/>
      <c r="C158" s="11"/>
      <c r="D158" t="str">
        <f>IFERROR(VLOOKUP(C158,'Products Index'!$A:$B,2,FALSE),"")</f>
        <v/>
      </c>
      <c r="E158" s="25"/>
      <c r="F158" s="25"/>
      <c r="G158" s="25"/>
      <c r="H158">
        <f t="shared" si="6"/>
        <v>0</v>
      </c>
      <c r="I158" s="16">
        <f ca="1">IFERROR(INDIRECT("'"&amp;D158&amp;"'!$B$18")*(E158/VLOOKUP(C158,'Products Index'!$A:$E,5,FALSE)),0)</f>
        <v>0</v>
      </c>
      <c r="J158" s="16">
        <f>IFERROR((INDEX(Overheads!$H:$H, MATCH(TEXT(B158,"yyyy-mm"), TEXT(Overheads!$A:$A,"yyyy-mm"),0)) / MAX(SUMIFS($H:$H,$B:$B,"&gt;="&amp;EOMONTH(B158,-1)+1,$B:$B,"&lt;="&amp;EOMONTH(B158,0)),1)) * H158,0)</f>
        <v>0</v>
      </c>
      <c r="K158" s="16">
        <f t="shared" ca="1" si="7"/>
        <v>0</v>
      </c>
      <c r="L158" s="16">
        <f t="shared" ca="1" si="8"/>
        <v>0</v>
      </c>
      <c r="M158" s="11"/>
    </row>
    <row r="159" spans="2:13">
      <c r="B159" s="30"/>
      <c r="C159" s="11"/>
      <c r="D159" t="str">
        <f>IFERROR(VLOOKUP(C159,'Products Index'!$A:$B,2,FALSE),"")</f>
        <v/>
      </c>
      <c r="E159" s="25"/>
      <c r="F159" s="25"/>
      <c r="G159" s="25"/>
      <c r="H159">
        <f t="shared" si="6"/>
        <v>0</v>
      </c>
      <c r="I159" s="16">
        <f ca="1">IFERROR(INDIRECT("'"&amp;D159&amp;"'!$B$18")*(E159/VLOOKUP(C159,'Products Index'!$A:$E,5,FALSE)),0)</f>
        <v>0</v>
      </c>
      <c r="J159" s="16">
        <f>IFERROR((INDEX(Overheads!$H:$H, MATCH(TEXT(B159,"yyyy-mm"), TEXT(Overheads!$A:$A,"yyyy-mm"),0)) / MAX(SUMIFS($H:$H,$B:$B,"&gt;="&amp;EOMONTH(B159,-1)+1,$B:$B,"&lt;="&amp;EOMONTH(B159,0)),1)) * H159,0)</f>
        <v>0</v>
      </c>
      <c r="K159" s="16">
        <f t="shared" ca="1" si="7"/>
        <v>0</v>
      </c>
      <c r="L159" s="16">
        <f t="shared" ca="1" si="8"/>
        <v>0</v>
      </c>
      <c r="M159" s="11"/>
    </row>
    <row r="160" spans="2:13">
      <c r="B160" s="30"/>
      <c r="C160" s="11"/>
      <c r="D160" t="str">
        <f>IFERROR(VLOOKUP(C160,'Products Index'!$A:$B,2,FALSE),"")</f>
        <v/>
      </c>
      <c r="E160" s="25"/>
      <c r="F160" s="25"/>
      <c r="G160" s="25"/>
      <c r="H160">
        <f t="shared" si="6"/>
        <v>0</v>
      </c>
      <c r="I160" s="16">
        <f ca="1">IFERROR(INDIRECT("'"&amp;D160&amp;"'!$B$18")*(E160/VLOOKUP(C160,'Products Index'!$A:$E,5,FALSE)),0)</f>
        <v>0</v>
      </c>
      <c r="J160" s="16">
        <f>IFERROR((INDEX(Overheads!$H:$H, MATCH(TEXT(B160,"yyyy-mm"), TEXT(Overheads!$A:$A,"yyyy-mm"),0)) / MAX(SUMIFS($H:$H,$B:$B,"&gt;="&amp;EOMONTH(B160,-1)+1,$B:$B,"&lt;="&amp;EOMONTH(B160,0)),1)) * H160,0)</f>
        <v>0</v>
      </c>
      <c r="K160" s="16">
        <f t="shared" ca="1" si="7"/>
        <v>0</v>
      </c>
      <c r="L160" s="16">
        <f t="shared" ca="1" si="8"/>
        <v>0</v>
      </c>
      <c r="M160" s="11"/>
    </row>
    <row r="161" spans="2:13">
      <c r="B161" s="30"/>
      <c r="C161" s="11"/>
      <c r="D161" t="str">
        <f>IFERROR(VLOOKUP(C161,'Products Index'!$A:$B,2,FALSE),"")</f>
        <v/>
      </c>
      <c r="E161" s="25"/>
      <c r="F161" s="25"/>
      <c r="G161" s="25"/>
      <c r="H161">
        <f t="shared" si="6"/>
        <v>0</v>
      </c>
      <c r="I161" s="16">
        <f ca="1">IFERROR(INDIRECT("'"&amp;D161&amp;"'!$B$18")*(E161/VLOOKUP(C161,'Products Index'!$A:$E,5,FALSE)),0)</f>
        <v>0</v>
      </c>
      <c r="J161" s="16">
        <f>IFERROR((INDEX(Overheads!$H:$H, MATCH(TEXT(B161,"yyyy-mm"), TEXT(Overheads!$A:$A,"yyyy-mm"),0)) / MAX(SUMIFS($H:$H,$B:$B,"&gt;="&amp;EOMONTH(B161,-1)+1,$B:$B,"&lt;="&amp;EOMONTH(B161,0)),1)) * H161,0)</f>
        <v>0</v>
      </c>
      <c r="K161" s="16">
        <f t="shared" ca="1" si="7"/>
        <v>0</v>
      </c>
      <c r="L161" s="16">
        <f t="shared" ca="1" si="8"/>
        <v>0</v>
      </c>
      <c r="M161" s="11"/>
    </row>
    <row r="162" spans="2:13">
      <c r="B162" s="30"/>
      <c r="C162" s="11"/>
      <c r="D162" t="str">
        <f>IFERROR(VLOOKUP(C162,'Products Index'!$A:$B,2,FALSE),"")</f>
        <v/>
      </c>
      <c r="E162" s="25"/>
      <c r="F162" s="25"/>
      <c r="G162" s="25"/>
      <c r="H162">
        <f t="shared" si="6"/>
        <v>0</v>
      </c>
      <c r="I162" s="16">
        <f ca="1">IFERROR(INDIRECT("'"&amp;D162&amp;"'!$B$18")*(E162/VLOOKUP(C162,'Products Index'!$A:$E,5,FALSE)),0)</f>
        <v>0</v>
      </c>
      <c r="J162" s="16">
        <f>IFERROR((INDEX(Overheads!$H:$H, MATCH(TEXT(B162,"yyyy-mm"), TEXT(Overheads!$A:$A,"yyyy-mm"),0)) / MAX(SUMIFS($H:$H,$B:$B,"&gt;="&amp;EOMONTH(B162,-1)+1,$B:$B,"&lt;="&amp;EOMONTH(B162,0)),1)) * H162,0)</f>
        <v>0</v>
      </c>
      <c r="K162" s="16">
        <f t="shared" ca="1" si="7"/>
        <v>0</v>
      </c>
      <c r="L162" s="16">
        <f t="shared" ca="1" si="8"/>
        <v>0</v>
      </c>
      <c r="M162" s="11"/>
    </row>
    <row r="163" spans="2:13">
      <c r="B163" s="30"/>
      <c r="C163" s="11"/>
      <c r="D163" t="str">
        <f>IFERROR(VLOOKUP(C163,'Products Index'!$A:$B,2,FALSE),"")</f>
        <v/>
      </c>
      <c r="E163" s="25"/>
      <c r="F163" s="25"/>
      <c r="G163" s="25"/>
      <c r="H163">
        <f t="shared" si="6"/>
        <v>0</v>
      </c>
      <c r="I163" s="16">
        <f ca="1">IFERROR(INDIRECT("'"&amp;D163&amp;"'!$B$18")*(E163/VLOOKUP(C163,'Products Index'!$A:$E,5,FALSE)),0)</f>
        <v>0</v>
      </c>
      <c r="J163" s="16">
        <f>IFERROR((INDEX(Overheads!$H:$H, MATCH(TEXT(B163,"yyyy-mm"), TEXT(Overheads!$A:$A,"yyyy-mm"),0)) / MAX(SUMIFS($H:$H,$B:$B,"&gt;="&amp;EOMONTH(B163,-1)+1,$B:$B,"&lt;="&amp;EOMONTH(B163,0)),1)) * H163,0)</f>
        <v>0</v>
      </c>
      <c r="K163" s="16">
        <f t="shared" ca="1" si="7"/>
        <v>0</v>
      </c>
      <c r="L163" s="16">
        <f t="shared" ca="1" si="8"/>
        <v>0</v>
      </c>
      <c r="M163" s="11"/>
    </row>
    <row r="164" spans="2:13">
      <c r="B164" s="30"/>
      <c r="C164" s="11"/>
      <c r="D164" t="str">
        <f>IFERROR(VLOOKUP(C164,'Products Index'!$A:$B,2,FALSE),"")</f>
        <v/>
      </c>
      <c r="E164" s="25"/>
      <c r="F164" s="25"/>
      <c r="G164" s="25"/>
      <c r="H164">
        <f t="shared" si="6"/>
        <v>0</v>
      </c>
      <c r="I164" s="16">
        <f ca="1">IFERROR(INDIRECT("'"&amp;D164&amp;"'!$B$18")*(E164/VLOOKUP(C164,'Products Index'!$A:$E,5,FALSE)),0)</f>
        <v>0</v>
      </c>
      <c r="J164" s="16">
        <f>IFERROR((INDEX(Overheads!$H:$H, MATCH(TEXT(B164,"yyyy-mm"), TEXT(Overheads!$A:$A,"yyyy-mm"),0)) / MAX(SUMIFS($H:$H,$B:$B,"&gt;="&amp;EOMONTH(B164,-1)+1,$B:$B,"&lt;="&amp;EOMONTH(B164,0)),1)) * H164,0)</f>
        <v>0</v>
      </c>
      <c r="K164" s="16">
        <f t="shared" ca="1" si="7"/>
        <v>0</v>
      </c>
      <c r="L164" s="16">
        <f t="shared" ca="1" si="8"/>
        <v>0</v>
      </c>
      <c r="M164" s="11"/>
    </row>
    <row r="165" spans="2:13">
      <c r="B165" s="30"/>
      <c r="C165" s="11"/>
      <c r="D165" t="str">
        <f>IFERROR(VLOOKUP(C165,'Products Index'!$A:$B,2,FALSE),"")</f>
        <v/>
      </c>
      <c r="E165" s="25"/>
      <c r="F165" s="25"/>
      <c r="G165" s="25"/>
      <c r="H165">
        <f t="shared" si="6"/>
        <v>0</v>
      </c>
      <c r="I165" s="16">
        <f ca="1">IFERROR(INDIRECT("'"&amp;D165&amp;"'!$B$18")*(E165/VLOOKUP(C165,'Products Index'!$A:$E,5,FALSE)),0)</f>
        <v>0</v>
      </c>
      <c r="J165" s="16">
        <f>IFERROR((INDEX(Overheads!$H:$H, MATCH(TEXT(B165,"yyyy-mm"), TEXT(Overheads!$A:$A,"yyyy-mm"),0)) / MAX(SUMIFS($H:$H,$B:$B,"&gt;="&amp;EOMONTH(B165,-1)+1,$B:$B,"&lt;="&amp;EOMONTH(B165,0)),1)) * H165,0)</f>
        <v>0</v>
      </c>
      <c r="K165" s="16">
        <f t="shared" ca="1" si="7"/>
        <v>0</v>
      </c>
      <c r="L165" s="16">
        <f t="shared" ca="1" si="8"/>
        <v>0</v>
      </c>
      <c r="M165" s="11"/>
    </row>
    <row r="166" spans="2:13">
      <c r="B166" s="30"/>
      <c r="C166" s="11"/>
      <c r="D166" t="str">
        <f>IFERROR(VLOOKUP(C166,'Products Index'!$A:$B,2,FALSE),"")</f>
        <v/>
      </c>
      <c r="E166" s="25"/>
      <c r="F166" s="25"/>
      <c r="G166" s="25"/>
      <c r="H166">
        <f t="shared" si="6"/>
        <v>0</v>
      </c>
      <c r="I166" s="16">
        <f ca="1">IFERROR(INDIRECT("'"&amp;D166&amp;"'!$B$18")*(E166/VLOOKUP(C166,'Products Index'!$A:$E,5,FALSE)),0)</f>
        <v>0</v>
      </c>
      <c r="J166" s="16">
        <f>IFERROR((INDEX(Overheads!$H:$H, MATCH(TEXT(B166,"yyyy-mm"), TEXT(Overheads!$A:$A,"yyyy-mm"),0)) / MAX(SUMIFS($H:$H,$B:$B,"&gt;="&amp;EOMONTH(B166,-1)+1,$B:$B,"&lt;="&amp;EOMONTH(B166,0)),1)) * H166,0)</f>
        <v>0</v>
      </c>
      <c r="K166" s="16">
        <f t="shared" ca="1" si="7"/>
        <v>0</v>
      </c>
      <c r="L166" s="16">
        <f t="shared" ca="1" si="8"/>
        <v>0</v>
      </c>
      <c r="M166" s="11"/>
    </row>
    <row r="167" spans="2:13">
      <c r="B167" s="30"/>
      <c r="C167" s="11"/>
      <c r="D167" t="str">
        <f>IFERROR(VLOOKUP(C167,'Products Index'!$A:$B,2,FALSE),"")</f>
        <v/>
      </c>
      <c r="E167" s="25"/>
      <c r="F167" s="25"/>
      <c r="G167" s="25"/>
      <c r="H167">
        <f t="shared" si="6"/>
        <v>0</v>
      </c>
      <c r="I167" s="16">
        <f ca="1">IFERROR(INDIRECT("'"&amp;D167&amp;"'!$B$18")*(E167/VLOOKUP(C167,'Products Index'!$A:$E,5,FALSE)),0)</f>
        <v>0</v>
      </c>
      <c r="J167" s="16">
        <f>IFERROR((INDEX(Overheads!$H:$H, MATCH(TEXT(B167,"yyyy-mm"), TEXT(Overheads!$A:$A,"yyyy-mm"),0)) / MAX(SUMIFS($H:$H,$B:$B,"&gt;="&amp;EOMONTH(B167,-1)+1,$B:$B,"&lt;="&amp;EOMONTH(B167,0)),1)) * H167,0)</f>
        <v>0</v>
      </c>
      <c r="K167" s="16">
        <f t="shared" ca="1" si="7"/>
        <v>0</v>
      </c>
      <c r="L167" s="16">
        <f t="shared" ca="1" si="8"/>
        <v>0</v>
      </c>
      <c r="M167" s="11"/>
    </row>
    <row r="168" spans="2:13">
      <c r="B168" s="30"/>
      <c r="C168" s="11"/>
      <c r="D168" t="str">
        <f>IFERROR(VLOOKUP(C168,'Products Index'!$A:$B,2,FALSE),"")</f>
        <v/>
      </c>
      <c r="E168" s="25"/>
      <c r="F168" s="25"/>
      <c r="G168" s="25"/>
      <c r="H168">
        <f t="shared" si="6"/>
        <v>0</v>
      </c>
      <c r="I168" s="16">
        <f ca="1">IFERROR(INDIRECT("'"&amp;D168&amp;"'!$B$18")*(E168/VLOOKUP(C168,'Products Index'!$A:$E,5,FALSE)),0)</f>
        <v>0</v>
      </c>
      <c r="J168" s="16">
        <f>IFERROR((INDEX(Overheads!$H:$H, MATCH(TEXT(B168,"yyyy-mm"), TEXT(Overheads!$A:$A,"yyyy-mm"),0)) / MAX(SUMIFS($H:$H,$B:$B,"&gt;="&amp;EOMONTH(B168,-1)+1,$B:$B,"&lt;="&amp;EOMONTH(B168,0)),1)) * H168,0)</f>
        <v>0</v>
      </c>
      <c r="K168" s="16">
        <f t="shared" ca="1" si="7"/>
        <v>0</v>
      </c>
      <c r="L168" s="16">
        <f t="shared" ca="1" si="8"/>
        <v>0</v>
      </c>
      <c r="M168" s="11"/>
    </row>
    <row r="169" spans="2:13">
      <c r="B169" s="30"/>
      <c r="C169" s="11"/>
      <c r="D169" t="str">
        <f>IFERROR(VLOOKUP(C169,'Products Index'!$A:$B,2,FALSE),"")</f>
        <v/>
      </c>
      <c r="E169" s="25"/>
      <c r="F169" s="25"/>
      <c r="G169" s="25"/>
      <c r="H169">
        <f t="shared" si="6"/>
        <v>0</v>
      </c>
      <c r="I169" s="16">
        <f ca="1">IFERROR(INDIRECT("'"&amp;D169&amp;"'!$B$18")*(E169/VLOOKUP(C169,'Products Index'!$A:$E,5,FALSE)),0)</f>
        <v>0</v>
      </c>
      <c r="J169" s="16">
        <f>IFERROR((INDEX(Overheads!$H:$H, MATCH(TEXT(B169,"yyyy-mm"), TEXT(Overheads!$A:$A,"yyyy-mm"),0)) / MAX(SUMIFS($H:$H,$B:$B,"&gt;="&amp;EOMONTH(B169,-1)+1,$B:$B,"&lt;="&amp;EOMONTH(B169,0)),1)) * H169,0)</f>
        <v>0</v>
      </c>
      <c r="K169" s="16">
        <f t="shared" ca="1" si="7"/>
        <v>0</v>
      </c>
      <c r="L169" s="16">
        <f t="shared" ca="1" si="8"/>
        <v>0</v>
      </c>
      <c r="M169" s="11"/>
    </row>
    <row r="170" spans="2:13">
      <c r="B170" s="30"/>
      <c r="C170" s="11"/>
      <c r="D170" t="str">
        <f>IFERROR(VLOOKUP(C170,'Products Index'!$A:$B,2,FALSE),"")</f>
        <v/>
      </c>
      <c r="E170" s="25"/>
      <c r="F170" s="25"/>
      <c r="G170" s="25"/>
      <c r="H170">
        <f t="shared" si="6"/>
        <v>0</v>
      </c>
      <c r="I170" s="16">
        <f ca="1">IFERROR(INDIRECT("'"&amp;D170&amp;"'!$B$18")*(E170/VLOOKUP(C170,'Products Index'!$A:$E,5,FALSE)),0)</f>
        <v>0</v>
      </c>
      <c r="J170" s="16">
        <f>IFERROR((INDEX(Overheads!$H:$H, MATCH(TEXT(B170,"yyyy-mm"), TEXT(Overheads!$A:$A,"yyyy-mm"),0)) / MAX(SUMIFS($H:$H,$B:$B,"&gt;="&amp;EOMONTH(B170,-1)+1,$B:$B,"&lt;="&amp;EOMONTH(B170,0)),1)) * H170,0)</f>
        <v>0</v>
      </c>
      <c r="K170" s="16">
        <f t="shared" ca="1" si="7"/>
        <v>0</v>
      </c>
      <c r="L170" s="16">
        <f t="shared" ca="1" si="8"/>
        <v>0</v>
      </c>
      <c r="M170" s="11"/>
    </row>
    <row r="171" spans="2:13">
      <c r="B171" s="30"/>
      <c r="C171" s="11"/>
      <c r="D171" t="str">
        <f>IFERROR(VLOOKUP(C171,'Products Index'!$A:$B,2,FALSE),"")</f>
        <v/>
      </c>
      <c r="E171" s="25"/>
      <c r="F171" s="25"/>
      <c r="G171" s="25"/>
      <c r="H171">
        <f t="shared" si="6"/>
        <v>0</v>
      </c>
      <c r="I171" s="16">
        <f ca="1">IFERROR(INDIRECT("'"&amp;D171&amp;"'!$B$18")*(E171/VLOOKUP(C171,'Products Index'!$A:$E,5,FALSE)),0)</f>
        <v>0</v>
      </c>
      <c r="J171" s="16">
        <f>IFERROR((INDEX(Overheads!$H:$H, MATCH(TEXT(B171,"yyyy-mm"), TEXT(Overheads!$A:$A,"yyyy-mm"),0)) / MAX(SUMIFS($H:$H,$B:$B,"&gt;="&amp;EOMONTH(B171,-1)+1,$B:$B,"&lt;="&amp;EOMONTH(B171,0)),1)) * H171,0)</f>
        <v>0</v>
      </c>
      <c r="K171" s="16">
        <f t="shared" ca="1" si="7"/>
        <v>0</v>
      </c>
      <c r="L171" s="16">
        <f t="shared" ca="1" si="8"/>
        <v>0</v>
      </c>
      <c r="M171" s="11"/>
    </row>
    <row r="172" spans="2:13">
      <c r="B172" s="30"/>
      <c r="C172" s="11"/>
      <c r="D172" t="str">
        <f>IFERROR(VLOOKUP(C172,'Products Index'!$A:$B,2,FALSE),"")</f>
        <v/>
      </c>
      <c r="E172" s="25"/>
      <c r="F172" s="25"/>
      <c r="G172" s="25"/>
      <c r="H172">
        <f t="shared" si="6"/>
        <v>0</v>
      </c>
      <c r="I172" s="16">
        <f ca="1">IFERROR(INDIRECT("'"&amp;D172&amp;"'!$B$18")*(E172/VLOOKUP(C172,'Products Index'!$A:$E,5,FALSE)),0)</f>
        <v>0</v>
      </c>
      <c r="J172" s="16">
        <f>IFERROR((INDEX(Overheads!$H:$H, MATCH(TEXT(B172,"yyyy-mm"), TEXT(Overheads!$A:$A,"yyyy-mm"),0)) / MAX(SUMIFS($H:$H,$B:$B,"&gt;="&amp;EOMONTH(B172,-1)+1,$B:$B,"&lt;="&amp;EOMONTH(B172,0)),1)) * H172,0)</f>
        <v>0</v>
      </c>
      <c r="K172" s="16">
        <f t="shared" ca="1" si="7"/>
        <v>0</v>
      </c>
      <c r="L172" s="16">
        <f t="shared" ca="1" si="8"/>
        <v>0</v>
      </c>
      <c r="M172" s="11"/>
    </row>
    <row r="173" spans="2:13">
      <c r="B173" s="30"/>
      <c r="C173" s="11"/>
      <c r="D173" t="str">
        <f>IFERROR(VLOOKUP(C173,'Products Index'!$A:$B,2,FALSE),"")</f>
        <v/>
      </c>
      <c r="E173" s="25"/>
      <c r="F173" s="25"/>
      <c r="G173" s="25"/>
      <c r="H173">
        <f t="shared" si="6"/>
        <v>0</v>
      </c>
      <c r="I173" s="16">
        <f ca="1">IFERROR(INDIRECT("'"&amp;D173&amp;"'!$B$18")*(E173/VLOOKUP(C173,'Products Index'!$A:$E,5,FALSE)),0)</f>
        <v>0</v>
      </c>
      <c r="J173" s="16">
        <f>IFERROR((INDEX(Overheads!$H:$H, MATCH(TEXT(B173,"yyyy-mm"), TEXT(Overheads!$A:$A,"yyyy-mm"),0)) / MAX(SUMIFS($H:$H,$B:$B,"&gt;="&amp;EOMONTH(B173,-1)+1,$B:$B,"&lt;="&amp;EOMONTH(B173,0)),1)) * H173,0)</f>
        <v>0</v>
      </c>
      <c r="K173" s="16">
        <f t="shared" ca="1" si="7"/>
        <v>0</v>
      </c>
      <c r="L173" s="16">
        <f t="shared" ca="1" si="8"/>
        <v>0</v>
      </c>
      <c r="M173" s="11"/>
    </row>
    <row r="174" spans="2:13">
      <c r="B174" s="30"/>
      <c r="C174" s="11"/>
      <c r="D174" t="str">
        <f>IFERROR(VLOOKUP(C174,'Products Index'!$A:$B,2,FALSE),"")</f>
        <v/>
      </c>
      <c r="E174" s="25"/>
      <c r="F174" s="25"/>
      <c r="G174" s="25"/>
      <c r="H174">
        <f t="shared" si="6"/>
        <v>0</v>
      </c>
      <c r="I174" s="16">
        <f ca="1">IFERROR(INDIRECT("'"&amp;D174&amp;"'!$B$18")*(E174/VLOOKUP(C174,'Products Index'!$A:$E,5,FALSE)),0)</f>
        <v>0</v>
      </c>
      <c r="J174" s="16">
        <f>IFERROR((INDEX(Overheads!$H:$H, MATCH(TEXT(B174,"yyyy-mm"), TEXT(Overheads!$A:$A,"yyyy-mm"),0)) / MAX(SUMIFS($H:$H,$B:$B,"&gt;="&amp;EOMONTH(B174,-1)+1,$B:$B,"&lt;="&amp;EOMONTH(B174,0)),1)) * H174,0)</f>
        <v>0</v>
      </c>
      <c r="K174" s="16">
        <f t="shared" ca="1" si="7"/>
        <v>0</v>
      </c>
      <c r="L174" s="16">
        <f t="shared" ca="1" si="8"/>
        <v>0</v>
      </c>
      <c r="M174" s="11"/>
    </row>
    <row r="175" spans="2:13">
      <c r="B175" s="30"/>
      <c r="C175" s="11"/>
      <c r="D175" t="str">
        <f>IFERROR(VLOOKUP(C175,'Products Index'!$A:$B,2,FALSE),"")</f>
        <v/>
      </c>
      <c r="E175" s="25"/>
      <c r="F175" s="25"/>
      <c r="G175" s="25"/>
      <c r="H175">
        <f t="shared" si="6"/>
        <v>0</v>
      </c>
      <c r="I175" s="16">
        <f ca="1">IFERROR(INDIRECT("'"&amp;D175&amp;"'!$B$18")*(E175/VLOOKUP(C175,'Products Index'!$A:$E,5,FALSE)),0)</f>
        <v>0</v>
      </c>
      <c r="J175" s="16">
        <f>IFERROR((INDEX(Overheads!$H:$H, MATCH(TEXT(B175,"yyyy-mm"), TEXT(Overheads!$A:$A,"yyyy-mm"),0)) / MAX(SUMIFS($H:$H,$B:$B,"&gt;="&amp;EOMONTH(B175,-1)+1,$B:$B,"&lt;="&amp;EOMONTH(B175,0)),1)) * H175,0)</f>
        <v>0</v>
      </c>
      <c r="K175" s="16">
        <f t="shared" ca="1" si="7"/>
        <v>0</v>
      </c>
      <c r="L175" s="16">
        <f t="shared" ca="1" si="8"/>
        <v>0</v>
      </c>
      <c r="M175" s="11"/>
    </row>
    <row r="176" spans="2:13">
      <c r="B176" s="30"/>
      <c r="C176" s="11"/>
      <c r="D176" t="str">
        <f>IFERROR(VLOOKUP(C176,'Products Index'!$A:$B,2,FALSE),"")</f>
        <v/>
      </c>
      <c r="E176" s="25"/>
      <c r="F176" s="25"/>
      <c r="G176" s="25"/>
      <c r="H176">
        <f t="shared" si="6"/>
        <v>0</v>
      </c>
      <c r="I176" s="16">
        <f ca="1">IFERROR(INDIRECT("'"&amp;D176&amp;"'!$B$18")*(E176/VLOOKUP(C176,'Products Index'!$A:$E,5,FALSE)),0)</f>
        <v>0</v>
      </c>
      <c r="J176" s="16">
        <f>IFERROR((INDEX(Overheads!$H:$H, MATCH(TEXT(B176,"yyyy-mm"), TEXT(Overheads!$A:$A,"yyyy-mm"),0)) / MAX(SUMIFS($H:$H,$B:$B,"&gt;="&amp;EOMONTH(B176,-1)+1,$B:$B,"&lt;="&amp;EOMONTH(B176,0)),1)) * H176,0)</f>
        <v>0</v>
      </c>
      <c r="K176" s="16">
        <f t="shared" ca="1" si="7"/>
        <v>0</v>
      </c>
      <c r="L176" s="16">
        <f t="shared" ca="1" si="8"/>
        <v>0</v>
      </c>
      <c r="M176" s="11"/>
    </row>
    <row r="177" spans="2:13">
      <c r="B177" s="30"/>
      <c r="C177" s="11"/>
      <c r="D177" t="str">
        <f>IFERROR(VLOOKUP(C177,'Products Index'!$A:$B,2,FALSE),"")</f>
        <v/>
      </c>
      <c r="E177" s="25"/>
      <c r="F177" s="25"/>
      <c r="G177" s="25"/>
      <c r="H177">
        <f t="shared" si="6"/>
        <v>0</v>
      </c>
      <c r="I177" s="16">
        <f ca="1">IFERROR(INDIRECT("'"&amp;D177&amp;"'!$B$18")*(E177/VLOOKUP(C177,'Products Index'!$A:$E,5,FALSE)),0)</f>
        <v>0</v>
      </c>
      <c r="J177" s="16">
        <f>IFERROR((INDEX(Overheads!$H:$H, MATCH(TEXT(B177,"yyyy-mm"), TEXT(Overheads!$A:$A,"yyyy-mm"),0)) / MAX(SUMIFS($H:$H,$B:$B,"&gt;="&amp;EOMONTH(B177,-1)+1,$B:$B,"&lt;="&amp;EOMONTH(B177,0)),1)) * H177,0)</f>
        <v>0</v>
      </c>
      <c r="K177" s="16">
        <f t="shared" ca="1" si="7"/>
        <v>0</v>
      </c>
      <c r="L177" s="16">
        <f t="shared" ca="1" si="8"/>
        <v>0</v>
      </c>
      <c r="M177" s="11"/>
    </row>
    <row r="178" spans="2:13">
      <c r="B178" s="30"/>
      <c r="C178" s="11"/>
      <c r="D178" t="str">
        <f>IFERROR(VLOOKUP(C178,'Products Index'!$A:$B,2,FALSE),"")</f>
        <v/>
      </c>
      <c r="E178" s="25"/>
      <c r="F178" s="25"/>
      <c r="G178" s="25"/>
      <c r="H178">
        <f t="shared" si="6"/>
        <v>0</v>
      </c>
      <c r="I178" s="16">
        <f ca="1">IFERROR(INDIRECT("'"&amp;D178&amp;"'!$B$18")*(E178/VLOOKUP(C178,'Products Index'!$A:$E,5,FALSE)),0)</f>
        <v>0</v>
      </c>
      <c r="J178" s="16">
        <f>IFERROR((INDEX(Overheads!$H:$H, MATCH(TEXT(B178,"yyyy-mm"), TEXT(Overheads!$A:$A,"yyyy-mm"),0)) / MAX(SUMIFS($H:$H,$B:$B,"&gt;="&amp;EOMONTH(B178,-1)+1,$B:$B,"&lt;="&amp;EOMONTH(B178,0)),1)) * H178,0)</f>
        <v>0</v>
      </c>
      <c r="K178" s="16">
        <f t="shared" ca="1" si="7"/>
        <v>0</v>
      </c>
      <c r="L178" s="16">
        <f t="shared" ca="1" si="8"/>
        <v>0</v>
      </c>
      <c r="M178" s="11"/>
    </row>
    <row r="179" spans="2:13">
      <c r="B179" s="30"/>
      <c r="C179" s="11"/>
      <c r="D179" t="str">
        <f>IFERROR(VLOOKUP(C179,'Products Index'!$A:$B,2,FALSE),"")</f>
        <v/>
      </c>
      <c r="E179" s="25"/>
      <c r="F179" s="25"/>
      <c r="G179" s="25"/>
      <c r="H179">
        <f t="shared" si="6"/>
        <v>0</v>
      </c>
      <c r="I179" s="16">
        <f ca="1">IFERROR(INDIRECT("'"&amp;D179&amp;"'!$B$18")*(E179/VLOOKUP(C179,'Products Index'!$A:$E,5,FALSE)),0)</f>
        <v>0</v>
      </c>
      <c r="J179" s="16">
        <f>IFERROR((INDEX(Overheads!$H:$H, MATCH(TEXT(B179,"yyyy-mm"), TEXT(Overheads!$A:$A,"yyyy-mm"),0)) / MAX(SUMIFS($H:$H,$B:$B,"&gt;="&amp;EOMONTH(B179,-1)+1,$B:$B,"&lt;="&amp;EOMONTH(B179,0)),1)) * H179,0)</f>
        <v>0</v>
      </c>
      <c r="K179" s="16">
        <f t="shared" ca="1" si="7"/>
        <v>0</v>
      </c>
      <c r="L179" s="16">
        <f t="shared" ca="1" si="8"/>
        <v>0</v>
      </c>
      <c r="M179" s="11"/>
    </row>
    <row r="180" spans="2:13">
      <c r="B180" s="30"/>
      <c r="C180" s="11"/>
      <c r="D180" t="str">
        <f>IFERROR(VLOOKUP(C180,'Products Index'!$A:$B,2,FALSE),"")</f>
        <v/>
      </c>
      <c r="E180" s="25"/>
      <c r="F180" s="25"/>
      <c r="G180" s="25"/>
      <c r="H180">
        <f t="shared" si="6"/>
        <v>0</v>
      </c>
      <c r="I180" s="16">
        <f ca="1">IFERROR(INDIRECT("'"&amp;D180&amp;"'!$B$18")*(E180/VLOOKUP(C180,'Products Index'!$A:$E,5,FALSE)),0)</f>
        <v>0</v>
      </c>
      <c r="J180" s="16">
        <f>IFERROR((INDEX(Overheads!$H:$H, MATCH(TEXT(B180,"yyyy-mm"), TEXT(Overheads!$A:$A,"yyyy-mm"),0)) / MAX(SUMIFS($H:$H,$B:$B,"&gt;="&amp;EOMONTH(B180,-1)+1,$B:$B,"&lt;="&amp;EOMONTH(B180,0)),1)) * H180,0)</f>
        <v>0</v>
      </c>
      <c r="K180" s="16">
        <f t="shared" ca="1" si="7"/>
        <v>0</v>
      </c>
      <c r="L180" s="16">
        <f t="shared" ca="1" si="8"/>
        <v>0</v>
      </c>
      <c r="M180" s="11"/>
    </row>
    <row r="181" spans="2:13">
      <c r="B181" s="30"/>
      <c r="C181" s="11"/>
      <c r="D181" t="str">
        <f>IFERROR(VLOOKUP(C181,'Products Index'!$A:$B,2,FALSE),"")</f>
        <v/>
      </c>
      <c r="E181" s="25"/>
      <c r="F181" s="25"/>
      <c r="G181" s="25"/>
      <c r="H181">
        <f t="shared" si="6"/>
        <v>0</v>
      </c>
      <c r="I181" s="16">
        <f ca="1">IFERROR(INDIRECT("'"&amp;D181&amp;"'!$B$18")*(E181/VLOOKUP(C181,'Products Index'!$A:$E,5,FALSE)),0)</f>
        <v>0</v>
      </c>
      <c r="J181" s="16">
        <f>IFERROR((INDEX(Overheads!$H:$H, MATCH(TEXT(B181,"yyyy-mm"), TEXT(Overheads!$A:$A,"yyyy-mm"),0)) / MAX(SUMIFS($H:$H,$B:$B,"&gt;="&amp;EOMONTH(B181,-1)+1,$B:$B,"&lt;="&amp;EOMONTH(B181,0)),1)) * H181,0)</f>
        <v>0</v>
      </c>
      <c r="K181" s="16">
        <f t="shared" ca="1" si="7"/>
        <v>0</v>
      </c>
      <c r="L181" s="16">
        <f t="shared" ca="1" si="8"/>
        <v>0</v>
      </c>
      <c r="M181" s="11"/>
    </row>
    <row r="182" spans="2:13">
      <c r="B182" s="30"/>
      <c r="C182" s="11"/>
      <c r="D182" t="str">
        <f>IFERROR(VLOOKUP(C182,'Products Index'!$A:$B,2,FALSE),"")</f>
        <v/>
      </c>
      <c r="E182" s="25"/>
      <c r="F182" s="25"/>
      <c r="G182" s="25"/>
      <c r="H182">
        <f t="shared" si="6"/>
        <v>0</v>
      </c>
      <c r="I182" s="16">
        <f ca="1">IFERROR(INDIRECT("'"&amp;D182&amp;"'!$B$18")*(E182/VLOOKUP(C182,'Products Index'!$A:$E,5,FALSE)),0)</f>
        <v>0</v>
      </c>
      <c r="J182" s="16">
        <f>IFERROR((INDEX(Overheads!$H:$H, MATCH(TEXT(B182,"yyyy-mm"), TEXT(Overheads!$A:$A,"yyyy-mm"),0)) / MAX(SUMIFS($H:$H,$B:$B,"&gt;="&amp;EOMONTH(B182,-1)+1,$B:$B,"&lt;="&amp;EOMONTH(B182,0)),1)) * H182,0)</f>
        <v>0</v>
      </c>
      <c r="K182" s="16">
        <f t="shared" ca="1" si="7"/>
        <v>0</v>
      </c>
      <c r="L182" s="16">
        <f t="shared" ca="1" si="8"/>
        <v>0</v>
      </c>
      <c r="M182" s="11"/>
    </row>
    <row r="183" spans="2:13">
      <c r="B183" s="30"/>
      <c r="C183" s="11"/>
      <c r="D183" t="str">
        <f>IFERROR(VLOOKUP(C183,'Products Index'!$A:$B,2,FALSE),"")</f>
        <v/>
      </c>
      <c r="E183" s="25"/>
      <c r="F183" s="25"/>
      <c r="G183" s="25"/>
      <c r="H183">
        <f t="shared" si="6"/>
        <v>0</v>
      </c>
      <c r="I183" s="16">
        <f ca="1">IFERROR(INDIRECT("'"&amp;D183&amp;"'!$B$18")*(E183/VLOOKUP(C183,'Products Index'!$A:$E,5,FALSE)),0)</f>
        <v>0</v>
      </c>
      <c r="J183" s="16">
        <f>IFERROR((INDEX(Overheads!$H:$H, MATCH(TEXT(B183,"yyyy-mm"), TEXT(Overheads!$A:$A,"yyyy-mm"),0)) / MAX(SUMIFS($H:$H,$B:$B,"&gt;="&amp;EOMONTH(B183,-1)+1,$B:$B,"&lt;="&amp;EOMONTH(B183,0)),1)) * H183,0)</f>
        <v>0</v>
      </c>
      <c r="K183" s="16">
        <f t="shared" ca="1" si="7"/>
        <v>0</v>
      </c>
      <c r="L183" s="16">
        <f t="shared" ca="1" si="8"/>
        <v>0</v>
      </c>
      <c r="M183" s="11"/>
    </row>
    <row r="184" spans="2:13">
      <c r="B184" s="30"/>
      <c r="C184" s="11"/>
      <c r="D184" t="str">
        <f>IFERROR(VLOOKUP(C184,'Products Index'!$A:$B,2,FALSE),"")</f>
        <v/>
      </c>
      <c r="E184" s="25"/>
      <c r="F184" s="25"/>
      <c r="G184" s="25"/>
      <c r="H184">
        <f t="shared" si="6"/>
        <v>0</v>
      </c>
      <c r="I184" s="16">
        <f ca="1">IFERROR(INDIRECT("'"&amp;D184&amp;"'!$B$18")*(E184/VLOOKUP(C184,'Products Index'!$A:$E,5,FALSE)),0)</f>
        <v>0</v>
      </c>
      <c r="J184" s="16">
        <f>IFERROR((INDEX(Overheads!$H:$H, MATCH(TEXT(B184,"yyyy-mm"), TEXT(Overheads!$A:$A,"yyyy-mm"),0)) / MAX(SUMIFS($H:$H,$B:$B,"&gt;="&amp;EOMONTH(B184,-1)+1,$B:$B,"&lt;="&amp;EOMONTH(B184,0)),1)) * H184,0)</f>
        <v>0</v>
      </c>
      <c r="K184" s="16">
        <f t="shared" ca="1" si="7"/>
        <v>0</v>
      </c>
      <c r="L184" s="16">
        <f t="shared" ca="1" si="8"/>
        <v>0</v>
      </c>
      <c r="M184" s="11"/>
    </row>
    <row r="185" spans="2:13">
      <c r="B185" s="30"/>
      <c r="C185" s="11"/>
      <c r="D185" t="str">
        <f>IFERROR(VLOOKUP(C185,'Products Index'!$A:$B,2,FALSE),"")</f>
        <v/>
      </c>
      <c r="E185" s="25"/>
      <c r="F185" s="25"/>
      <c r="G185" s="25"/>
      <c r="H185">
        <f t="shared" si="6"/>
        <v>0</v>
      </c>
      <c r="I185" s="16">
        <f ca="1">IFERROR(INDIRECT("'"&amp;D185&amp;"'!$B$18")*(E185/VLOOKUP(C185,'Products Index'!$A:$E,5,FALSE)),0)</f>
        <v>0</v>
      </c>
      <c r="J185" s="16">
        <f>IFERROR((INDEX(Overheads!$H:$H, MATCH(TEXT(B185,"yyyy-mm"), TEXT(Overheads!$A:$A,"yyyy-mm"),0)) / MAX(SUMIFS($H:$H,$B:$B,"&gt;="&amp;EOMONTH(B185,-1)+1,$B:$B,"&lt;="&amp;EOMONTH(B185,0)),1)) * H185,0)</f>
        <v>0</v>
      </c>
      <c r="K185" s="16">
        <f t="shared" ca="1" si="7"/>
        <v>0</v>
      </c>
      <c r="L185" s="16">
        <f t="shared" ca="1" si="8"/>
        <v>0</v>
      </c>
      <c r="M185" s="11"/>
    </row>
    <row r="186" spans="2:13">
      <c r="B186" s="30"/>
      <c r="C186" s="11"/>
      <c r="D186" t="str">
        <f>IFERROR(VLOOKUP(C186,'Products Index'!$A:$B,2,FALSE),"")</f>
        <v/>
      </c>
      <c r="E186" s="25"/>
      <c r="F186" s="25"/>
      <c r="G186" s="25"/>
      <c r="H186">
        <f t="shared" si="6"/>
        <v>0</v>
      </c>
      <c r="I186" s="16">
        <f ca="1">IFERROR(INDIRECT("'"&amp;D186&amp;"'!$B$18")*(E186/VLOOKUP(C186,'Products Index'!$A:$E,5,FALSE)),0)</f>
        <v>0</v>
      </c>
      <c r="J186" s="16">
        <f>IFERROR((INDEX(Overheads!$H:$H, MATCH(TEXT(B186,"yyyy-mm"), TEXT(Overheads!$A:$A,"yyyy-mm"),0)) / MAX(SUMIFS($H:$H,$B:$B,"&gt;="&amp;EOMONTH(B186,-1)+1,$B:$B,"&lt;="&amp;EOMONTH(B186,0)),1)) * H186,0)</f>
        <v>0</v>
      </c>
      <c r="K186" s="16">
        <f t="shared" ca="1" si="7"/>
        <v>0</v>
      </c>
      <c r="L186" s="16">
        <f t="shared" ca="1" si="8"/>
        <v>0</v>
      </c>
      <c r="M186" s="11"/>
    </row>
    <row r="187" spans="2:13">
      <c r="B187" s="30"/>
      <c r="C187" s="11"/>
      <c r="D187" t="str">
        <f>IFERROR(VLOOKUP(C187,'Products Index'!$A:$B,2,FALSE),"")</f>
        <v/>
      </c>
      <c r="E187" s="25"/>
      <c r="F187" s="25"/>
      <c r="G187" s="25"/>
      <c r="H187">
        <f t="shared" si="6"/>
        <v>0</v>
      </c>
      <c r="I187" s="16">
        <f ca="1">IFERROR(INDIRECT("'"&amp;D187&amp;"'!$B$18")*(E187/VLOOKUP(C187,'Products Index'!$A:$E,5,FALSE)),0)</f>
        <v>0</v>
      </c>
      <c r="J187" s="16">
        <f>IFERROR((INDEX(Overheads!$H:$H, MATCH(TEXT(B187,"yyyy-mm"), TEXT(Overheads!$A:$A,"yyyy-mm"),0)) / MAX(SUMIFS($H:$H,$B:$B,"&gt;="&amp;EOMONTH(B187,-1)+1,$B:$B,"&lt;="&amp;EOMONTH(B187,0)),1)) * H187,0)</f>
        <v>0</v>
      </c>
      <c r="K187" s="16">
        <f t="shared" ca="1" si="7"/>
        <v>0</v>
      </c>
      <c r="L187" s="16">
        <f t="shared" ca="1" si="8"/>
        <v>0</v>
      </c>
      <c r="M187" s="11"/>
    </row>
    <row r="188" spans="2:13">
      <c r="B188" s="30"/>
      <c r="C188" s="11"/>
      <c r="D188" t="str">
        <f>IFERROR(VLOOKUP(C188,'Products Index'!$A:$B,2,FALSE),"")</f>
        <v/>
      </c>
      <c r="E188" s="25"/>
      <c r="F188" s="25"/>
      <c r="G188" s="25"/>
      <c r="H188">
        <f t="shared" si="6"/>
        <v>0</v>
      </c>
      <c r="I188" s="16">
        <f ca="1">IFERROR(INDIRECT("'"&amp;D188&amp;"'!$B$18")*(E188/VLOOKUP(C188,'Products Index'!$A:$E,5,FALSE)),0)</f>
        <v>0</v>
      </c>
      <c r="J188" s="16">
        <f>IFERROR((INDEX(Overheads!$H:$H, MATCH(TEXT(B188,"yyyy-mm"), TEXT(Overheads!$A:$A,"yyyy-mm"),0)) / MAX(SUMIFS($H:$H,$B:$B,"&gt;="&amp;EOMONTH(B188,-1)+1,$B:$B,"&lt;="&amp;EOMONTH(B188,0)),1)) * H188,0)</f>
        <v>0</v>
      </c>
      <c r="K188" s="16">
        <f t="shared" ca="1" si="7"/>
        <v>0</v>
      </c>
      <c r="L188" s="16">
        <f t="shared" ca="1" si="8"/>
        <v>0</v>
      </c>
      <c r="M188" s="11"/>
    </row>
    <row r="189" spans="2:13">
      <c r="B189" s="30"/>
      <c r="C189" s="11"/>
      <c r="D189" t="str">
        <f>IFERROR(VLOOKUP(C189,'Products Index'!$A:$B,2,FALSE),"")</f>
        <v/>
      </c>
      <c r="E189" s="25"/>
      <c r="F189" s="25"/>
      <c r="G189" s="25"/>
      <c r="H189">
        <f t="shared" si="6"/>
        <v>0</v>
      </c>
      <c r="I189" s="16">
        <f ca="1">IFERROR(INDIRECT("'"&amp;D189&amp;"'!$B$18")*(E189/VLOOKUP(C189,'Products Index'!$A:$E,5,FALSE)),0)</f>
        <v>0</v>
      </c>
      <c r="J189" s="16">
        <f>IFERROR((INDEX(Overheads!$H:$H, MATCH(TEXT(B189,"yyyy-mm"), TEXT(Overheads!$A:$A,"yyyy-mm"),0)) / MAX(SUMIFS($H:$H,$B:$B,"&gt;="&amp;EOMONTH(B189,-1)+1,$B:$B,"&lt;="&amp;EOMONTH(B189,0)),1)) * H189,0)</f>
        <v>0</v>
      </c>
      <c r="K189" s="16">
        <f t="shared" ca="1" si="7"/>
        <v>0</v>
      </c>
      <c r="L189" s="16">
        <f t="shared" ca="1" si="8"/>
        <v>0</v>
      </c>
      <c r="M189" s="11"/>
    </row>
    <row r="190" spans="2:13">
      <c r="B190" s="30"/>
      <c r="C190" s="11"/>
      <c r="D190" t="str">
        <f>IFERROR(VLOOKUP(C190,'Products Index'!$A:$B,2,FALSE),"")</f>
        <v/>
      </c>
      <c r="E190" s="25"/>
      <c r="F190" s="25"/>
      <c r="G190" s="25"/>
      <c r="H190">
        <f t="shared" si="6"/>
        <v>0</v>
      </c>
      <c r="I190" s="16">
        <f ca="1">IFERROR(INDIRECT("'"&amp;D190&amp;"'!$B$18")*(E190/VLOOKUP(C190,'Products Index'!$A:$E,5,FALSE)),0)</f>
        <v>0</v>
      </c>
      <c r="J190" s="16">
        <f>IFERROR((INDEX(Overheads!$H:$H, MATCH(TEXT(B190,"yyyy-mm"), TEXT(Overheads!$A:$A,"yyyy-mm"),0)) / MAX(SUMIFS($H:$H,$B:$B,"&gt;="&amp;EOMONTH(B190,-1)+1,$B:$B,"&lt;="&amp;EOMONTH(B190,0)),1)) * H190,0)</f>
        <v>0</v>
      </c>
      <c r="K190" s="16">
        <f t="shared" ca="1" si="7"/>
        <v>0</v>
      </c>
      <c r="L190" s="16">
        <f t="shared" ca="1" si="8"/>
        <v>0</v>
      </c>
      <c r="M190" s="11"/>
    </row>
    <row r="191" spans="2:13">
      <c r="B191" s="30"/>
      <c r="C191" s="11"/>
      <c r="D191" t="str">
        <f>IFERROR(VLOOKUP(C191,'Products Index'!$A:$B,2,FALSE),"")</f>
        <v/>
      </c>
      <c r="E191" s="25"/>
      <c r="F191" s="25"/>
      <c r="G191" s="25"/>
      <c r="H191">
        <f t="shared" si="6"/>
        <v>0</v>
      </c>
      <c r="I191" s="16">
        <f ca="1">IFERROR(INDIRECT("'"&amp;D191&amp;"'!$B$18")*(E191/VLOOKUP(C191,'Products Index'!$A:$E,5,FALSE)),0)</f>
        <v>0</v>
      </c>
      <c r="J191" s="16">
        <f>IFERROR((INDEX(Overheads!$H:$H, MATCH(TEXT(B191,"yyyy-mm"), TEXT(Overheads!$A:$A,"yyyy-mm"),0)) / MAX(SUMIFS($H:$H,$B:$B,"&gt;="&amp;EOMONTH(B191,-1)+1,$B:$B,"&lt;="&amp;EOMONTH(B191,0)),1)) * H191,0)</f>
        <v>0</v>
      </c>
      <c r="K191" s="16">
        <f t="shared" ca="1" si="7"/>
        <v>0</v>
      </c>
      <c r="L191" s="16">
        <f t="shared" ca="1" si="8"/>
        <v>0</v>
      </c>
      <c r="M191" s="11"/>
    </row>
    <row r="192" spans="2:13">
      <c r="B192" s="30"/>
      <c r="C192" s="11"/>
      <c r="D192" t="str">
        <f>IFERROR(VLOOKUP(C192,'Products Index'!$A:$B,2,FALSE),"")</f>
        <v/>
      </c>
      <c r="E192" s="25"/>
      <c r="F192" s="25"/>
      <c r="G192" s="25"/>
      <c r="H192">
        <f t="shared" si="6"/>
        <v>0</v>
      </c>
      <c r="I192" s="16">
        <f ca="1">IFERROR(INDIRECT("'"&amp;D192&amp;"'!$B$18")*(E192/VLOOKUP(C192,'Products Index'!$A:$E,5,FALSE)),0)</f>
        <v>0</v>
      </c>
      <c r="J192" s="16">
        <f>IFERROR((INDEX(Overheads!$H:$H, MATCH(TEXT(B192,"yyyy-mm"), TEXT(Overheads!$A:$A,"yyyy-mm"),0)) / MAX(SUMIFS($H:$H,$B:$B,"&gt;="&amp;EOMONTH(B192,-1)+1,$B:$B,"&lt;="&amp;EOMONTH(B192,0)),1)) * H192,0)</f>
        <v>0</v>
      </c>
      <c r="K192" s="16">
        <f t="shared" ca="1" si="7"/>
        <v>0</v>
      </c>
      <c r="L192" s="16">
        <f t="shared" ca="1" si="8"/>
        <v>0</v>
      </c>
      <c r="M192" s="11"/>
    </row>
    <row r="193" spans="2:13">
      <c r="B193" s="30"/>
      <c r="C193" s="11"/>
      <c r="D193" t="str">
        <f>IFERROR(VLOOKUP(C193,'Products Index'!$A:$B,2,FALSE),"")</f>
        <v/>
      </c>
      <c r="E193" s="25"/>
      <c r="F193" s="25"/>
      <c r="G193" s="25"/>
      <c r="H193">
        <f t="shared" si="6"/>
        <v>0</v>
      </c>
      <c r="I193" s="16">
        <f ca="1">IFERROR(INDIRECT("'"&amp;D193&amp;"'!$B$18")*(E193/VLOOKUP(C193,'Products Index'!$A:$E,5,FALSE)),0)</f>
        <v>0</v>
      </c>
      <c r="J193" s="16">
        <f>IFERROR((INDEX(Overheads!$H:$H, MATCH(TEXT(B193,"yyyy-mm"), TEXT(Overheads!$A:$A,"yyyy-mm"),0)) / MAX(SUMIFS($H:$H,$B:$B,"&gt;="&amp;EOMONTH(B193,-1)+1,$B:$B,"&lt;="&amp;EOMONTH(B193,0)),1)) * H193,0)</f>
        <v>0</v>
      </c>
      <c r="K193" s="16">
        <f t="shared" ca="1" si="7"/>
        <v>0</v>
      </c>
      <c r="L193" s="16">
        <f t="shared" ca="1" si="8"/>
        <v>0</v>
      </c>
      <c r="M193" s="11"/>
    </row>
    <row r="194" spans="2:13">
      <c r="B194" s="30"/>
      <c r="C194" s="11"/>
      <c r="D194" t="str">
        <f>IFERROR(VLOOKUP(C194,'Products Index'!$A:$B,2,FALSE),"")</f>
        <v/>
      </c>
      <c r="E194" s="25"/>
      <c r="F194" s="25"/>
      <c r="G194" s="25"/>
      <c r="H194">
        <f t="shared" ref="H194:H257" si="9">MAX(F194-G194,0)</f>
        <v>0</v>
      </c>
      <c r="I194" s="16">
        <f ca="1">IFERROR(INDIRECT("'"&amp;D194&amp;"'!$B$18")*(E194/VLOOKUP(C194,'Products Index'!$A:$E,5,FALSE)),0)</f>
        <v>0</v>
      </c>
      <c r="J194" s="16">
        <f>IFERROR((INDEX(Overheads!$H:$H, MATCH(TEXT(B194,"yyyy-mm"), TEXT(Overheads!$A:$A,"yyyy-mm"),0)) / MAX(SUMIFS($H:$H,$B:$B,"&gt;="&amp;EOMONTH(B194,-1)+1,$B:$B,"&lt;="&amp;EOMONTH(B194,0)),1)) * H194,0)</f>
        <v>0</v>
      </c>
      <c r="K194" s="16">
        <f t="shared" ref="K194:K257" ca="1" si="10">I194+J194</f>
        <v>0</v>
      </c>
      <c r="L194" s="16">
        <f t="shared" ref="L194:L257" ca="1" si="11">IFERROR(K194/MAX(H194,1),0)</f>
        <v>0</v>
      </c>
      <c r="M194" s="11"/>
    </row>
    <row r="195" spans="2:13">
      <c r="B195" s="30"/>
      <c r="C195" s="11"/>
      <c r="D195" t="str">
        <f>IFERROR(VLOOKUP(C195,'Products Index'!$A:$B,2,FALSE),"")</f>
        <v/>
      </c>
      <c r="E195" s="25"/>
      <c r="F195" s="25"/>
      <c r="G195" s="25"/>
      <c r="H195">
        <f t="shared" si="9"/>
        <v>0</v>
      </c>
      <c r="I195" s="16">
        <f ca="1">IFERROR(INDIRECT("'"&amp;D195&amp;"'!$B$18")*(E195/VLOOKUP(C195,'Products Index'!$A:$E,5,FALSE)),0)</f>
        <v>0</v>
      </c>
      <c r="J195" s="16">
        <f>IFERROR((INDEX(Overheads!$H:$H, MATCH(TEXT(B195,"yyyy-mm"), TEXT(Overheads!$A:$A,"yyyy-mm"),0)) / MAX(SUMIFS($H:$H,$B:$B,"&gt;="&amp;EOMONTH(B195,-1)+1,$B:$B,"&lt;="&amp;EOMONTH(B195,0)),1)) * H195,0)</f>
        <v>0</v>
      </c>
      <c r="K195" s="16">
        <f t="shared" ca="1" si="10"/>
        <v>0</v>
      </c>
      <c r="L195" s="16">
        <f t="shared" ca="1" si="11"/>
        <v>0</v>
      </c>
      <c r="M195" s="11"/>
    </row>
    <row r="196" spans="2:13">
      <c r="B196" s="30"/>
      <c r="C196" s="11"/>
      <c r="D196" t="str">
        <f>IFERROR(VLOOKUP(C196,'Products Index'!$A:$B,2,FALSE),"")</f>
        <v/>
      </c>
      <c r="E196" s="25"/>
      <c r="F196" s="25"/>
      <c r="G196" s="25"/>
      <c r="H196">
        <f t="shared" si="9"/>
        <v>0</v>
      </c>
      <c r="I196" s="16">
        <f ca="1">IFERROR(INDIRECT("'"&amp;D196&amp;"'!$B$18")*(E196/VLOOKUP(C196,'Products Index'!$A:$E,5,FALSE)),0)</f>
        <v>0</v>
      </c>
      <c r="J196" s="16">
        <f>IFERROR((INDEX(Overheads!$H:$H, MATCH(TEXT(B196,"yyyy-mm"), TEXT(Overheads!$A:$A,"yyyy-mm"),0)) / MAX(SUMIFS($H:$H,$B:$B,"&gt;="&amp;EOMONTH(B196,-1)+1,$B:$B,"&lt;="&amp;EOMONTH(B196,0)),1)) * H196,0)</f>
        <v>0</v>
      </c>
      <c r="K196" s="16">
        <f t="shared" ca="1" si="10"/>
        <v>0</v>
      </c>
      <c r="L196" s="16">
        <f t="shared" ca="1" si="11"/>
        <v>0</v>
      </c>
      <c r="M196" s="11"/>
    </row>
    <row r="197" spans="2:13">
      <c r="B197" s="30"/>
      <c r="C197" s="11"/>
      <c r="D197" t="str">
        <f>IFERROR(VLOOKUP(C197,'Products Index'!$A:$B,2,FALSE),"")</f>
        <v/>
      </c>
      <c r="E197" s="25"/>
      <c r="F197" s="25"/>
      <c r="G197" s="25"/>
      <c r="H197">
        <f t="shared" si="9"/>
        <v>0</v>
      </c>
      <c r="I197" s="16">
        <f ca="1">IFERROR(INDIRECT("'"&amp;D197&amp;"'!$B$18")*(E197/VLOOKUP(C197,'Products Index'!$A:$E,5,FALSE)),0)</f>
        <v>0</v>
      </c>
      <c r="J197" s="16">
        <f>IFERROR((INDEX(Overheads!$H:$H, MATCH(TEXT(B197,"yyyy-mm"), TEXT(Overheads!$A:$A,"yyyy-mm"),0)) / MAX(SUMIFS($H:$H,$B:$B,"&gt;="&amp;EOMONTH(B197,-1)+1,$B:$B,"&lt;="&amp;EOMONTH(B197,0)),1)) * H197,0)</f>
        <v>0</v>
      </c>
      <c r="K197" s="16">
        <f t="shared" ca="1" si="10"/>
        <v>0</v>
      </c>
      <c r="L197" s="16">
        <f t="shared" ca="1" si="11"/>
        <v>0</v>
      </c>
      <c r="M197" s="11"/>
    </row>
    <row r="198" spans="2:13">
      <c r="B198" s="30"/>
      <c r="C198" s="11"/>
      <c r="D198" t="str">
        <f>IFERROR(VLOOKUP(C198,'Products Index'!$A:$B,2,FALSE),"")</f>
        <v/>
      </c>
      <c r="E198" s="25"/>
      <c r="F198" s="25"/>
      <c r="G198" s="25"/>
      <c r="H198">
        <f t="shared" si="9"/>
        <v>0</v>
      </c>
      <c r="I198" s="16">
        <f ca="1">IFERROR(INDIRECT("'"&amp;D198&amp;"'!$B$18")*(E198/VLOOKUP(C198,'Products Index'!$A:$E,5,FALSE)),0)</f>
        <v>0</v>
      </c>
      <c r="J198" s="16">
        <f>IFERROR((INDEX(Overheads!$H:$H, MATCH(TEXT(B198,"yyyy-mm"), TEXT(Overheads!$A:$A,"yyyy-mm"),0)) / MAX(SUMIFS($H:$H,$B:$B,"&gt;="&amp;EOMONTH(B198,-1)+1,$B:$B,"&lt;="&amp;EOMONTH(B198,0)),1)) * H198,0)</f>
        <v>0</v>
      </c>
      <c r="K198" s="16">
        <f t="shared" ca="1" si="10"/>
        <v>0</v>
      </c>
      <c r="L198" s="16">
        <f t="shared" ca="1" si="11"/>
        <v>0</v>
      </c>
      <c r="M198" s="11"/>
    </row>
    <row r="199" spans="2:13">
      <c r="B199" s="30"/>
      <c r="C199" s="11"/>
      <c r="D199" t="str">
        <f>IFERROR(VLOOKUP(C199,'Products Index'!$A:$B,2,FALSE),"")</f>
        <v/>
      </c>
      <c r="E199" s="25"/>
      <c r="F199" s="25"/>
      <c r="G199" s="25"/>
      <c r="H199">
        <f t="shared" si="9"/>
        <v>0</v>
      </c>
      <c r="I199" s="16">
        <f ca="1">IFERROR(INDIRECT("'"&amp;D199&amp;"'!$B$18")*(E199/VLOOKUP(C199,'Products Index'!$A:$E,5,FALSE)),0)</f>
        <v>0</v>
      </c>
      <c r="J199" s="16">
        <f>IFERROR((INDEX(Overheads!$H:$H, MATCH(TEXT(B199,"yyyy-mm"), TEXT(Overheads!$A:$A,"yyyy-mm"),0)) / MAX(SUMIFS($H:$H,$B:$B,"&gt;="&amp;EOMONTH(B199,-1)+1,$B:$B,"&lt;="&amp;EOMONTH(B199,0)),1)) * H199,0)</f>
        <v>0</v>
      </c>
      <c r="K199" s="16">
        <f t="shared" ca="1" si="10"/>
        <v>0</v>
      </c>
      <c r="L199" s="16">
        <f t="shared" ca="1" si="11"/>
        <v>0</v>
      </c>
      <c r="M199" s="11"/>
    </row>
    <row r="200" spans="2:13">
      <c r="B200" s="30"/>
      <c r="C200" s="11"/>
      <c r="D200" t="str">
        <f>IFERROR(VLOOKUP(C200,'Products Index'!$A:$B,2,FALSE),"")</f>
        <v/>
      </c>
      <c r="E200" s="25"/>
      <c r="F200" s="25"/>
      <c r="G200" s="25"/>
      <c r="H200">
        <f t="shared" si="9"/>
        <v>0</v>
      </c>
      <c r="I200" s="16">
        <f ca="1">IFERROR(INDIRECT("'"&amp;D200&amp;"'!$B$18")*(E200/VLOOKUP(C200,'Products Index'!$A:$E,5,FALSE)),0)</f>
        <v>0</v>
      </c>
      <c r="J200" s="16">
        <f>IFERROR((INDEX(Overheads!$H:$H, MATCH(TEXT(B200,"yyyy-mm"), TEXT(Overheads!$A:$A,"yyyy-mm"),0)) / MAX(SUMIFS($H:$H,$B:$B,"&gt;="&amp;EOMONTH(B200,-1)+1,$B:$B,"&lt;="&amp;EOMONTH(B200,0)),1)) * H200,0)</f>
        <v>0</v>
      </c>
      <c r="K200" s="16">
        <f t="shared" ca="1" si="10"/>
        <v>0</v>
      </c>
      <c r="L200" s="16">
        <f t="shared" ca="1" si="11"/>
        <v>0</v>
      </c>
      <c r="M200" s="11"/>
    </row>
    <row r="201" spans="2:13">
      <c r="B201" s="30"/>
      <c r="C201" s="11"/>
      <c r="D201" t="str">
        <f>IFERROR(VLOOKUP(C201,'Products Index'!$A:$B,2,FALSE),"")</f>
        <v/>
      </c>
      <c r="E201" s="25"/>
      <c r="F201" s="25"/>
      <c r="G201" s="25"/>
      <c r="H201">
        <f t="shared" si="9"/>
        <v>0</v>
      </c>
      <c r="I201" s="16">
        <f ca="1">IFERROR(INDIRECT("'"&amp;D201&amp;"'!$B$18")*(E201/VLOOKUP(C201,'Products Index'!$A:$E,5,FALSE)),0)</f>
        <v>0</v>
      </c>
      <c r="J201" s="16">
        <f>IFERROR((INDEX(Overheads!$H:$H, MATCH(TEXT(B201,"yyyy-mm"), TEXT(Overheads!$A:$A,"yyyy-mm"),0)) / MAX(SUMIFS($H:$H,$B:$B,"&gt;="&amp;EOMONTH(B201,-1)+1,$B:$B,"&lt;="&amp;EOMONTH(B201,0)),1)) * H201,0)</f>
        <v>0</v>
      </c>
      <c r="K201" s="16">
        <f t="shared" ca="1" si="10"/>
        <v>0</v>
      </c>
      <c r="L201" s="16">
        <f t="shared" ca="1" si="11"/>
        <v>0</v>
      </c>
      <c r="M201" s="11"/>
    </row>
    <row r="202" spans="2:13">
      <c r="B202" s="30"/>
      <c r="C202" s="11"/>
      <c r="D202" t="str">
        <f>IFERROR(VLOOKUP(C202,'Products Index'!$A:$B,2,FALSE),"")</f>
        <v/>
      </c>
      <c r="E202" s="25"/>
      <c r="F202" s="25"/>
      <c r="G202" s="25"/>
      <c r="H202">
        <f t="shared" si="9"/>
        <v>0</v>
      </c>
      <c r="I202" s="16">
        <f ca="1">IFERROR(INDIRECT("'"&amp;D202&amp;"'!$B$18")*(E202/VLOOKUP(C202,'Products Index'!$A:$E,5,FALSE)),0)</f>
        <v>0</v>
      </c>
      <c r="J202" s="16">
        <f>IFERROR((INDEX(Overheads!$H:$H, MATCH(TEXT(B202,"yyyy-mm"), TEXT(Overheads!$A:$A,"yyyy-mm"),0)) / MAX(SUMIFS($H:$H,$B:$B,"&gt;="&amp;EOMONTH(B202,-1)+1,$B:$B,"&lt;="&amp;EOMONTH(B202,0)),1)) * H202,0)</f>
        <v>0</v>
      </c>
      <c r="K202" s="16">
        <f t="shared" ca="1" si="10"/>
        <v>0</v>
      </c>
      <c r="L202" s="16">
        <f t="shared" ca="1" si="11"/>
        <v>0</v>
      </c>
      <c r="M202" s="11"/>
    </row>
    <row r="203" spans="2:13">
      <c r="B203" s="30"/>
      <c r="C203" s="11"/>
      <c r="D203" t="str">
        <f>IFERROR(VLOOKUP(C203,'Products Index'!$A:$B,2,FALSE),"")</f>
        <v/>
      </c>
      <c r="E203" s="25"/>
      <c r="F203" s="25"/>
      <c r="G203" s="25"/>
      <c r="H203">
        <f t="shared" si="9"/>
        <v>0</v>
      </c>
      <c r="I203" s="16">
        <f ca="1">IFERROR(INDIRECT("'"&amp;D203&amp;"'!$B$18")*(E203/VLOOKUP(C203,'Products Index'!$A:$E,5,FALSE)),0)</f>
        <v>0</v>
      </c>
      <c r="J203" s="16">
        <f>IFERROR((INDEX(Overheads!$H:$H, MATCH(TEXT(B203,"yyyy-mm"), TEXT(Overheads!$A:$A,"yyyy-mm"),0)) / MAX(SUMIFS($H:$H,$B:$B,"&gt;="&amp;EOMONTH(B203,-1)+1,$B:$B,"&lt;="&amp;EOMONTH(B203,0)),1)) * H203,0)</f>
        <v>0</v>
      </c>
      <c r="K203" s="16">
        <f t="shared" ca="1" si="10"/>
        <v>0</v>
      </c>
      <c r="L203" s="16">
        <f t="shared" ca="1" si="11"/>
        <v>0</v>
      </c>
      <c r="M203" s="11"/>
    </row>
    <row r="204" spans="2:13">
      <c r="B204" s="30"/>
      <c r="C204" s="11"/>
      <c r="D204" t="str">
        <f>IFERROR(VLOOKUP(C204,'Products Index'!$A:$B,2,FALSE),"")</f>
        <v/>
      </c>
      <c r="E204" s="25"/>
      <c r="F204" s="25"/>
      <c r="G204" s="25"/>
      <c r="H204">
        <f t="shared" si="9"/>
        <v>0</v>
      </c>
      <c r="I204" s="16">
        <f ca="1">IFERROR(INDIRECT("'"&amp;D204&amp;"'!$B$18")*(E204/VLOOKUP(C204,'Products Index'!$A:$E,5,FALSE)),0)</f>
        <v>0</v>
      </c>
      <c r="J204" s="16">
        <f>IFERROR((INDEX(Overheads!$H:$H, MATCH(TEXT(B204,"yyyy-mm"), TEXT(Overheads!$A:$A,"yyyy-mm"),0)) / MAX(SUMIFS($H:$H,$B:$B,"&gt;="&amp;EOMONTH(B204,-1)+1,$B:$B,"&lt;="&amp;EOMONTH(B204,0)),1)) * H204,0)</f>
        <v>0</v>
      </c>
      <c r="K204" s="16">
        <f t="shared" ca="1" si="10"/>
        <v>0</v>
      </c>
      <c r="L204" s="16">
        <f t="shared" ca="1" si="11"/>
        <v>0</v>
      </c>
      <c r="M204" s="11"/>
    </row>
    <row r="205" spans="2:13">
      <c r="B205" s="30"/>
      <c r="C205" s="11"/>
      <c r="D205" t="str">
        <f>IFERROR(VLOOKUP(C205,'Products Index'!$A:$B,2,FALSE),"")</f>
        <v/>
      </c>
      <c r="E205" s="25"/>
      <c r="F205" s="25"/>
      <c r="G205" s="25"/>
      <c r="H205">
        <f t="shared" si="9"/>
        <v>0</v>
      </c>
      <c r="I205" s="16">
        <f ca="1">IFERROR(INDIRECT("'"&amp;D205&amp;"'!$B$18")*(E205/VLOOKUP(C205,'Products Index'!$A:$E,5,FALSE)),0)</f>
        <v>0</v>
      </c>
      <c r="J205" s="16">
        <f>IFERROR((INDEX(Overheads!$H:$H, MATCH(TEXT(B205,"yyyy-mm"), TEXT(Overheads!$A:$A,"yyyy-mm"),0)) / MAX(SUMIFS($H:$H,$B:$B,"&gt;="&amp;EOMONTH(B205,-1)+1,$B:$B,"&lt;="&amp;EOMONTH(B205,0)),1)) * H205,0)</f>
        <v>0</v>
      </c>
      <c r="K205" s="16">
        <f t="shared" ca="1" si="10"/>
        <v>0</v>
      </c>
      <c r="L205" s="16">
        <f t="shared" ca="1" si="11"/>
        <v>0</v>
      </c>
      <c r="M205" s="11"/>
    </row>
    <row r="206" spans="2:13">
      <c r="B206" s="30"/>
      <c r="C206" s="11"/>
      <c r="D206" t="str">
        <f>IFERROR(VLOOKUP(C206,'Products Index'!$A:$B,2,FALSE),"")</f>
        <v/>
      </c>
      <c r="E206" s="25"/>
      <c r="F206" s="25"/>
      <c r="G206" s="25"/>
      <c r="H206">
        <f t="shared" si="9"/>
        <v>0</v>
      </c>
      <c r="I206" s="16">
        <f ca="1">IFERROR(INDIRECT("'"&amp;D206&amp;"'!$B$18")*(E206/VLOOKUP(C206,'Products Index'!$A:$E,5,FALSE)),0)</f>
        <v>0</v>
      </c>
      <c r="J206" s="16">
        <f>IFERROR((INDEX(Overheads!$H:$H, MATCH(TEXT(B206,"yyyy-mm"), TEXT(Overheads!$A:$A,"yyyy-mm"),0)) / MAX(SUMIFS($H:$H,$B:$B,"&gt;="&amp;EOMONTH(B206,-1)+1,$B:$B,"&lt;="&amp;EOMONTH(B206,0)),1)) * H206,0)</f>
        <v>0</v>
      </c>
      <c r="K206" s="16">
        <f t="shared" ca="1" si="10"/>
        <v>0</v>
      </c>
      <c r="L206" s="16">
        <f t="shared" ca="1" si="11"/>
        <v>0</v>
      </c>
      <c r="M206" s="11"/>
    </row>
    <row r="207" spans="2:13">
      <c r="B207" s="30"/>
      <c r="C207" s="11"/>
      <c r="D207" t="str">
        <f>IFERROR(VLOOKUP(C207,'Products Index'!$A:$B,2,FALSE),"")</f>
        <v/>
      </c>
      <c r="E207" s="25"/>
      <c r="F207" s="25"/>
      <c r="G207" s="25"/>
      <c r="H207">
        <f t="shared" si="9"/>
        <v>0</v>
      </c>
      <c r="I207" s="16">
        <f ca="1">IFERROR(INDIRECT("'"&amp;D207&amp;"'!$B$18")*(E207/VLOOKUP(C207,'Products Index'!$A:$E,5,FALSE)),0)</f>
        <v>0</v>
      </c>
      <c r="J207" s="16">
        <f>IFERROR((INDEX(Overheads!$H:$H, MATCH(TEXT(B207,"yyyy-mm"), TEXT(Overheads!$A:$A,"yyyy-mm"),0)) / MAX(SUMIFS($H:$H,$B:$B,"&gt;="&amp;EOMONTH(B207,-1)+1,$B:$B,"&lt;="&amp;EOMONTH(B207,0)),1)) * H207,0)</f>
        <v>0</v>
      </c>
      <c r="K207" s="16">
        <f t="shared" ca="1" si="10"/>
        <v>0</v>
      </c>
      <c r="L207" s="16">
        <f t="shared" ca="1" si="11"/>
        <v>0</v>
      </c>
      <c r="M207" s="11"/>
    </row>
    <row r="208" spans="2:13">
      <c r="B208" s="30"/>
      <c r="C208" s="11"/>
      <c r="D208" t="str">
        <f>IFERROR(VLOOKUP(C208,'Products Index'!$A:$B,2,FALSE),"")</f>
        <v/>
      </c>
      <c r="E208" s="25"/>
      <c r="F208" s="25"/>
      <c r="G208" s="25"/>
      <c r="H208">
        <f t="shared" si="9"/>
        <v>0</v>
      </c>
      <c r="I208" s="16">
        <f ca="1">IFERROR(INDIRECT("'"&amp;D208&amp;"'!$B$18")*(E208/VLOOKUP(C208,'Products Index'!$A:$E,5,FALSE)),0)</f>
        <v>0</v>
      </c>
      <c r="J208" s="16">
        <f>IFERROR((INDEX(Overheads!$H:$H, MATCH(TEXT(B208,"yyyy-mm"), TEXT(Overheads!$A:$A,"yyyy-mm"),0)) / MAX(SUMIFS($H:$H,$B:$B,"&gt;="&amp;EOMONTH(B208,-1)+1,$B:$B,"&lt;="&amp;EOMONTH(B208,0)),1)) * H208,0)</f>
        <v>0</v>
      </c>
      <c r="K208" s="16">
        <f t="shared" ca="1" si="10"/>
        <v>0</v>
      </c>
      <c r="L208" s="16">
        <f t="shared" ca="1" si="11"/>
        <v>0</v>
      </c>
      <c r="M208" s="11"/>
    </row>
    <row r="209" spans="2:13">
      <c r="B209" s="30"/>
      <c r="C209" s="11"/>
      <c r="D209" t="str">
        <f>IFERROR(VLOOKUP(C209,'Products Index'!$A:$B,2,FALSE),"")</f>
        <v/>
      </c>
      <c r="E209" s="25"/>
      <c r="F209" s="25"/>
      <c r="G209" s="25"/>
      <c r="H209">
        <f t="shared" si="9"/>
        <v>0</v>
      </c>
      <c r="I209" s="16">
        <f ca="1">IFERROR(INDIRECT("'"&amp;D209&amp;"'!$B$18")*(E209/VLOOKUP(C209,'Products Index'!$A:$E,5,FALSE)),0)</f>
        <v>0</v>
      </c>
      <c r="J209" s="16">
        <f>IFERROR((INDEX(Overheads!$H:$H, MATCH(TEXT(B209,"yyyy-mm"), TEXT(Overheads!$A:$A,"yyyy-mm"),0)) / MAX(SUMIFS($H:$H,$B:$B,"&gt;="&amp;EOMONTH(B209,-1)+1,$B:$B,"&lt;="&amp;EOMONTH(B209,0)),1)) * H209,0)</f>
        <v>0</v>
      </c>
      <c r="K209" s="16">
        <f t="shared" ca="1" si="10"/>
        <v>0</v>
      </c>
      <c r="L209" s="16">
        <f t="shared" ca="1" si="11"/>
        <v>0</v>
      </c>
      <c r="M209" s="11"/>
    </row>
    <row r="210" spans="2:13">
      <c r="B210" s="30"/>
      <c r="C210" s="11"/>
      <c r="D210" t="str">
        <f>IFERROR(VLOOKUP(C210,'Products Index'!$A:$B,2,FALSE),"")</f>
        <v/>
      </c>
      <c r="E210" s="25"/>
      <c r="F210" s="25"/>
      <c r="G210" s="25"/>
      <c r="H210">
        <f t="shared" si="9"/>
        <v>0</v>
      </c>
      <c r="I210" s="16">
        <f ca="1">IFERROR(INDIRECT("'"&amp;D210&amp;"'!$B$18")*(E210/VLOOKUP(C210,'Products Index'!$A:$E,5,FALSE)),0)</f>
        <v>0</v>
      </c>
      <c r="J210" s="16">
        <f>IFERROR((INDEX(Overheads!$H:$H, MATCH(TEXT(B210,"yyyy-mm"), TEXT(Overheads!$A:$A,"yyyy-mm"),0)) / MAX(SUMIFS($H:$H,$B:$B,"&gt;="&amp;EOMONTH(B210,-1)+1,$B:$B,"&lt;="&amp;EOMONTH(B210,0)),1)) * H210,0)</f>
        <v>0</v>
      </c>
      <c r="K210" s="16">
        <f t="shared" ca="1" si="10"/>
        <v>0</v>
      </c>
      <c r="L210" s="16">
        <f t="shared" ca="1" si="11"/>
        <v>0</v>
      </c>
      <c r="M210" s="11"/>
    </row>
    <row r="211" spans="2:13">
      <c r="B211" s="30"/>
      <c r="C211" s="11"/>
      <c r="D211" t="str">
        <f>IFERROR(VLOOKUP(C211,'Products Index'!$A:$B,2,FALSE),"")</f>
        <v/>
      </c>
      <c r="E211" s="25"/>
      <c r="F211" s="25"/>
      <c r="G211" s="25"/>
      <c r="H211">
        <f t="shared" si="9"/>
        <v>0</v>
      </c>
      <c r="I211" s="16">
        <f ca="1">IFERROR(INDIRECT("'"&amp;D211&amp;"'!$B$18")*(E211/VLOOKUP(C211,'Products Index'!$A:$E,5,FALSE)),0)</f>
        <v>0</v>
      </c>
      <c r="J211" s="16">
        <f>IFERROR((INDEX(Overheads!$H:$H, MATCH(TEXT(B211,"yyyy-mm"), TEXT(Overheads!$A:$A,"yyyy-mm"),0)) / MAX(SUMIFS($H:$H,$B:$B,"&gt;="&amp;EOMONTH(B211,-1)+1,$B:$B,"&lt;="&amp;EOMONTH(B211,0)),1)) * H211,0)</f>
        <v>0</v>
      </c>
      <c r="K211" s="16">
        <f t="shared" ca="1" si="10"/>
        <v>0</v>
      </c>
      <c r="L211" s="16">
        <f t="shared" ca="1" si="11"/>
        <v>0</v>
      </c>
      <c r="M211" s="11"/>
    </row>
    <row r="212" spans="2:13">
      <c r="B212" s="30"/>
      <c r="C212" s="11"/>
      <c r="D212" t="str">
        <f>IFERROR(VLOOKUP(C212,'Products Index'!$A:$B,2,FALSE),"")</f>
        <v/>
      </c>
      <c r="E212" s="25"/>
      <c r="F212" s="25"/>
      <c r="G212" s="25"/>
      <c r="H212">
        <f t="shared" si="9"/>
        <v>0</v>
      </c>
      <c r="I212" s="16">
        <f ca="1">IFERROR(INDIRECT("'"&amp;D212&amp;"'!$B$18")*(E212/VLOOKUP(C212,'Products Index'!$A:$E,5,FALSE)),0)</f>
        <v>0</v>
      </c>
      <c r="J212" s="16">
        <f>IFERROR((INDEX(Overheads!$H:$H, MATCH(TEXT(B212,"yyyy-mm"), TEXT(Overheads!$A:$A,"yyyy-mm"),0)) / MAX(SUMIFS($H:$H,$B:$B,"&gt;="&amp;EOMONTH(B212,-1)+1,$B:$B,"&lt;="&amp;EOMONTH(B212,0)),1)) * H212,0)</f>
        <v>0</v>
      </c>
      <c r="K212" s="16">
        <f t="shared" ca="1" si="10"/>
        <v>0</v>
      </c>
      <c r="L212" s="16">
        <f t="shared" ca="1" si="11"/>
        <v>0</v>
      </c>
      <c r="M212" s="11"/>
    </row>
    <row r="213" spans="2:13">
      <c r="B213" s="30"/>
      <c r="C213" s="11"/>
      <c r="D213" t="str">
        <f>IFERROR(VLOOKUP(C213,'Products Index'!$A:$B,2,FALSE),"")</f>
        <v/>
      </c>
      <c r="E213" s="25"/>
      <c r="F213" s="25"/>
      <c r="G213" s="25"/>
      <c r="H213">
        <f t="shared" si="9"/>
        <v>0</v>
      </c>
      <c r="I213" s="16">
        <f ca="1">IFERROR(INDIRECT("'"&amp;D213&amp;"'!$B$18")*(E213/VLOOKUP(C213,'Products Index'!$A:$E,5,FALSE)),0)</f>
        <v>0</v>
      </c>
      <c r="J213" s="16">
        <f>IFERROR((INDEX(Overheads!$H:$H, MATCH(TEXT(B213,"yyyy-mm"), TEXT(Overheads!$A:$A,"yyyy-mm"),0)) / MAX(SUMIFS($H:$H,$B:$B,"&gt;="&amp;EOMONTH(B213,-1)+1,$B:$B,"&lt;="&amp;EOMONTH(B213,0)),1)) * H213,0)</f>
        <v>0</v>
      </c>
      <c r="K213" s="16">
        <f t="shared" ca="1" si="10"/>
        <v>0</v>
      </c>
      <c r="L213" s="16">
        <f t="shared" ca="1" si="11"/>
        <v>0</v>
      </c>
      <c r="M213" s="11"/>
    </row>
    <row r="214" spans="2:13">
      <c r="B214" s="30"/>
      <c r="C214" s="11"/>
      <c r="D214" t="str">
        <f>IFERROR(VLOOKUP(C214,'Products Index'!$A:$B,2,FALSE),"")</f>
        <v/>
      </c>
      <c r="E214" s="25"/>
      <c r="F214" s="25"/>
      <c r="G214" s="25"/>
      <c r="H214">
        <f t="shared" si="9"/>
        <v>0</v>
      </c>
      <c r="I214" s="16">
        <f ca="1">IFERROR(INDIRECT("'"&amp;D214&amp;"'!$B$18")*(E214/VLOOKUP(C214,'Products Index'!$A:$E,5,FALSE)),0)</f>
        <v>0</v>
      </c>
      <c r="J214" s="16">
        <f>IFERROR((INDEX(Overheads!$H:$H, MATCH(TEXT(B214,"yyyy-mm"), TEXT(Overheads!$A:$A,"yyyy-mm"),0)) / MAX(SUMIFS($H:$H,$B:$B,"&gt;="&amp;EOMONTH(B214,-1)+1,$B:$B,"&lt;="&amp;EOMONTH(B214,0)),1)) * H214,0)</f>
        <v>0</v>
      </c>
      <c r="K214" s="16">
        <f t="shared" ca="1" si="10"/>
        <v>0</v>
      </c>
      <c r="L214" s="16">
        <f t="shared" ca="1" si="11"/>
        <v>0</v>
      </c>
      <c r="M214" s="11"/>
    </row>
    <row r="215" spans="2:13">
      <c r="B215" s="30"/>
      <c r="C215" s="11"/>
      <c r="D215" t="str">
        <f>IFERROR(VLOOKUP(C215,'Products Index'!$A:$B,2,FALSE),"")</f>
        <v/>
      </c>
      <c r="E215" s="25"/>
      <c r="F215" s="25"/>
      <c r="G215" s="25"/>
      <c r="H215">
        <f t="shared" si="9"/>
        <v>0</v>
      </c>
      <c r="I215" s="16">
        <f ca="1">IFERROR(INDIRECT("'"&amp;D215&amp;"'!$B$18")*(E215/VLOOKUP(C215,'Products Index'!$A:$E,5,FALSE)),0)</f>
        <v>0</v>
      </c>
      <c r="J215" s="16">
        <f>IFERROR((INDEX(Overheads!$H:$H, MATCH(TEXT(B215,"yyyy-mm"), TEXT(Overheads!$A:$A,"yyyy-mm"),0)) / MAX(SUMIFS($H:$H,$B:$B,"&gt;="&amp;EOMONTH(B215,-1)+1,$B:$B,"&lt;="&amp;EOMONTH(B215,0)),1)) * H215,0)</f>
        <v>0</v>
      </c>
      <c r="K215" s="16">
        <f t="shared" ca="1" si="10"/>
        <v>0</v>
      </c>
      <c r="L215" s="16">
        <f t="shared" ca="1" si="11"/>
        <v>0</v>
      </c>
      <c r="M215" s="11"/>
    </row>
    <row r="216" spans="2:13">
      <c r="B216" s="30"/>
      <c r="C216" s="11"/>
      <c r="D216" t="str">
        <f>IFERROR(VLOOKUP(C216,'Products Index'!$A:$B,2,FALSE),"")</f>
        <v/>
      </c>
      <c r="E216" s="25"/>
      <c r="F216" s="25"/>
      <c r="G216" s="25"/>
      <c r="H216">
        <f t="shared" si="9"/>
        <v>0</v>
      </c>
      <c r="I216" s="16">
        <f ca="1">IFERROR(INDIRECT("'"&amp;D216&amp;"'!$B$18")*(E216/VLOOKUP(C216,'Products Index'!$A:$E,5,FALSE)),0)</f>
        <v>0</v>
      </c>
      <c r="J216" s="16">
        <f>IFERROR((INDEX(Overheads!$H:$H, MATCH(TEXT(B216,"yyyy-mm"), TEXT(Overheads!$A:$A,"yyyy-mm"),0)) / MAX(SUMIFS($H:$H,$B:$B,"&gt;="&amp;EOMONTH(B216,-1)+1,$B:$B,"&lt;="&amp;EOMONTH(B216,0)),1)) * H216,0)</f>
        <v>0</v>
      </c>
      <c r="K216" s="16">
        <f t="shared" ca="1" si="10"/>
        <v>0</v>
      </c>
      <c r="L216" s="16">
        <f t="shared" ca="1" si="11"/>
        <v>0</v>
      </c>
      <c r="M216" s="11"/>
    </row>
    <row r="217" spans="2:13">
      <c r="B217" s="30"/>
      <c r="C217" s="11"/>
      <c r="D217" t="str">
        <f>IFERROR(VLOOKUP(C217,'Products Index'!$A:$B,2,FALSE),"")</f>
        <v/>
      </c>
      <c r="E217" s="25"/>
      <c r="F217" s="25"/>
      <c r="G217" s="25"/>
      <c r="H217">
        <f t="shared" si="9"/>
        <v>0</v>
      </c>
      <c r="I217" s="16">
        <f ca="1">IFERROR(INDIRECT("'"&amp;D217&amp;"'!$B$18")*(E217/VLOOKUP(C217,'Products Index'!$A:$E,5,FALSE)),0)</f>
        <v>0</v>
      </c>
      <c r="J217" s="16">
        <f>IFERROR((INDEX(Overheads!$H:$H, MATCH(TEXT(B217,"yyyy-mm"), TEXT(Overheads!$A:$A,"yyyy-mm"),0)) / MAX(SUMIFS($H:$H,$B:$B,"&gt;="&amp;EOMONTH(B217,-1)+1,$B:$B,"&lt;="&amp;EOMONTH(B217,0)),1)) * H217,0)</f>
        <v>0</v>
      </c>
      <c r="K217" s="16">
        <f t="shared" ca="1" si="10"/>
        <v>0</v>
      </c>
      <c r="L217" s="16">
        <f t="shared" ca="1" si="11"/>
        <v>0</v>
      </c>
      <c r="M217" s="11"/>
    </row>
    <row r="218" spans="2:13">
      <c r="B218" s="30"/>
      <c r="C218" s="11"/>
      <c r="D218" t="str">
        <f>IFERROR(VLOOKUP(C218,'Products Index'!$A:$B,2,FALSE),"")</f>
        <v/>
      </c>
      <c r="E218" s="25"/>
      <c r="F218" s="25"/>
      <c r="G218" s="25"/>
      <c r="H218">
        <f t="shared" si="9"/>
        <v>0</v>
      </c>
      <c r="I218" s="16">
        <f ca="1">IFERROR(INDIRECT("'"&amp;D218&amp;"'!$B$18")*(E218/VLOOKUP(C218,'Products Index'!$A:$E,5,FALSE)),0)</f>
        <v>0</v>
      </c>
      <c r="J218" s="16">
        <f>IFERROR((INDEX(Overheads!$H:$H, MATCH(TEXT(B218,"yyyy-mm"), TEXT(Overheads!$A:$A,"yyyy-mm"),0)) / MAX(SUMIFS($H:$H,$B:$B,"&gt;="&amp;EOMONTH(B218,-1)+1,$B:$B,"&lt;="&amp;EOMONTH(B218,0)),1)) * H218,0)</f>
        <v>0</v>
      </c>
      <c r="K218" s="16">
        <f t="shared" ca="1" si="10"/>
        <v>0</v>
      </c>
      <c r="L218" s="16">
        <f t="shared" ca="1" si="11"/>
        <v>0</v>
      </c>
      <c r="M218" s="11"/>
    </row>
    <row r="219" spans="2:13">
      <c r="B219" s="30"/>
      <c r="C219" s="11"/>
      <c r="D219" t="str">
        <f>IFERROR(VLOOKUP(C219,'Products Index'!$A:$B,2,FALSE),"")</f>
        <v/>
      </c>
      <c r="E219" s="25"/>
      <c r="F219" s="25"/>
      <c r="G219" s="25"/>
      <c r="H219">
        <f t="shared" si="9"/>
        <v>0</v>
      </c>
      <c r="I219" s="16">
        <f ca="1">IFERROR(INDIRECT("'"&amp;D219&amp;"'!$B$18")*(E219/VLOOKUP(C219,'Products Index'!$A:$E,5,FALSE)),0)</f>
        <v>0</v>
      </c>
      <c r="J219" s="16">
        <f>IFERROR((INDEX(Overheads!$H:$H, MATCH(TEXT(B219,"yyyy-mm"), TEXT(Overheads!$A:$A,"yyyy-mm"),0)) / MAX(SUMIFS($H:$H,$B:$B,"&gt;="&amp;EOMONTH(B219,-1)+1,$B:$B,"&lt;="&amp;EOMONTH(B219,0)),1)) * H219,0)</f>
        <v>0</v>
      </c>
      <c r="K219" s="16">
        <f t="shared" ca="1" si="10"/>
        <v>0</v>
      </c>
      <c r="L219" s="16">
        <f t="shared" ca="1" si="11"/>
        <v>0</v>
      </c>
      <c r="M219" s="11"/>
    </row>
    <row r="220" spans="2:13">
      <c r="B220" s="30"/>
      <c r="C220" s="11"/>
      <c r="D220" t="str">
        <f>IFERROR(VLOOKUP(C220,'Products Index'!$A:$B,2,FALSE),"")</f>
        <v/>
      </c>
      <c r="E220" s="25"/>
      <c r="F220" s="25"/>
      <c r="G220" s="25"/>
      <c r="H220">
        <f t="shared" si="9"/>
        <v>0</v>
      </c>
      <c r="I220" s="16">
        <f ca="1">IFERROR(INDIRECT("'"&amp;D220&amp;"'!$B$18")*(E220/VLOOKUP(C220,'Products Index'!$A:$E,5,FALSE)),0)</f>
        <v>0</v>
      </c>
      <c r="J220" s="16">
        <f>IFERROR((INDEX(Overheads!$H:$H, MATCH(TEXT(B220,"yyyy-mm"), TEXT(Overheads!$A:$A,"yyyy-mm"),0)) / MAX(SUMIFS($H:$H,$B:$B,"&gt;="&amp;EOMONTH(B220,-1)+1,$B:$B,"&lt;="&amp;EOMONTH(B220,0)),1)) * H220,0)</f>
        <v>0</v>
      </c>
      <c r="K220" s="16">
        <f t="shared" ca="1" si="10"/>
        <v>0</v>
      </c>
      <c r="L220" s="16">
        <f t="shared" ca="1" si="11"/>
        <v>0</v>
      </c>
      <c r="M220" s="11"/>
    </row>
    <row r="221" spans="2:13">
      <c r="B221" s="30"/>
      <c r="C221" s="11"/>
      <c r="D221" t="str">
        <f>IFERROR(VLOOKUP(C221,'Products Index'!$A:$B,2,FALSE),"")</f>
        <v/>
      </c>
      <c r="E221" s="25"/>
      <c r="F221" s="25"/>
      <c r="G221" s="25"/>
      <c r="H221">
        <f t="shared" si="9"/>
        <v>0</v>
      </c>
      <c r="I221" s="16">
        <f ca="1">IFERROR(INDIRECT("'"&amp;D221&amp;"'!$B$18")*(E221/VLOOKUP(C221,'Products Index'!$A:$E,5,FALSE)),0)</f>
        <v>0</v>
      </c>
      <c r="J221" s="16">
        <f>IFERROR((INDEX(Overheads!$H:$H, MATCH(TEXT(B221,"yyyy-mm"), TEXT(Overheads!$A:$A,"yyyy-mm"),0)) / MAX(SUMIFS($H:$H,$B:$B,"&gt;="&amp;EOMONTH(B221,-1)+1,$B:$B,"&lt;="&amp;EOMONTH(B221,0)),1)) * H221,0)</f>
        <v>0</v>
      </c>
      <c r="K221" s="16">
        <f t="shared" ca="1" si="10"/>
        <v>0</v>
      </c>
      <c r="L221" s="16">
        <f t="shared" ca="1" si="11"/>
        <v>0</v>
      </c>
      <c r="M221" s="11"/>
    </row>
    <row r="222" spans="2:13">
      <c r="B222" s="30"/>
      <c r="C222" s="11"/>
      <c r="D222" t="str">
        <f>IFERROR(VLOOKUP(C222,'Products Index'!$A:$B,2,FALSE),"")</f>
        <v/>
      </c>
      <c r="E222" s="25"/>
      <c r="F222" s="25"/>
      <c r="G222" s="25"/>
      <c r="H222">
        <f t="shared" si="9"/>
        <v>0</v>
      </c>
      <c r="I222" s="16">
        <f ca="1">IFERROR(INDIRECT("'"&amp;D222&amp;"'!$B$18")*(E222/VLOOKUP(C222,'Products Index'!$A:$E,5,FALSE)),0)</f>
        <v>0</v>
      </c>
      <c r="J222" s="16">
        <f>IFERROR((INDEX(Overheads!$H:$H, MATCH(TEXT(B222,"yyyy-mm"), TEXT(Overheads!$A:$A,"yyyy-mm"),0)) / MAX(SUMIFS($H:$H,$B:$B,"&gt;="&amp;EOMONTH(B222,-1)+1,$B:$B,"&lt;="&amp;EOMONTH(B222,0)),1)) * H222,0)</f>
        <v>0</v>
      </c>
      <c r="K222" s="16">
        <f t="shared" ca="1" si="10"/>
        <v>0</v>
      </c>
      <c r="L222" s="16">
        <f t="shared" ca="1" si="11"/>
        <v>0</v>
      </c>
      <c r="M222" s="11"/>
    </row>
    <row r="223" spans="2:13">
      <c r="B223" s="30"/>
      <c r="C223" s="11"/>
      <c r="D223" t="str">
        <f>IFERROR(VLOOKUP(C223,'Products Index'!$A:$B,2,FALSE),"")</f>
        <v/>
      </c>
      <c r="E223" s="25"/>
      <c r="F223" s="25"/>
      <c r="G223" s="25"/>
      <c r="H223">
        <f t="shared" si="9"/>
        <v>0</v>
      </c>
      <c r="I223" s="16">
        <f ca="1">IFERROR(INDIRECT("'"&amp;D223&amp;"'!$B$18")*(E223/VLOOKUP(C223,'Products Index'!$A:$E,5,FALSE)),0)</f>
        <v>0</v>
      </c>
      <c r="J223" s="16">
        <f>IFERROR((INDEX(Overheads!$H:$H, MATCH(TEXT(B223,"yyyy-mm"), TEXT(Overheads!$A:$A,"yyyy-mm"),0)) / MAX(SUMIFS($H:$H,$B:$B,"&gt;="&amp;EOMONTH(B223,-1)+1,$B:$B,"&lt;="&amp;EOMONTH(B223,0)),1)) * H223,0)</f>
        <v>0</v>
      </c>
      <c r="K223" s="16">
        <f t="shared" ca="1" si="10"/>
        <v>0</v>
      </c>
      <c r="L223" s="16">
        <f t="shared" ca="1" si="11"/>
        <v>0</v>
      </c>
      <c r="M223" s="11"/>
    </row>
    <row r="224" spans="2:13">
      <c r="B224" s="30"/>
      <c r="C224" s="11"/>
      <c r="D224" t="str">
        <f>IFERROR(VLOOKUP(C224,'Products Index'!$A:$B,2,FALSE),"")</f>
        <v/>
      </c>
      <c r="E224" s="25"/>
      <c r="F224" s="25"/>
      <c r="G224" s="25"/>
      <c r="H224">
        <f t="shared" si="9"/>
        <v>0</v>
      </c>
      <c r="I224" s="16">
        <f ca="1">IFERROR(INDIRECT("'"&amp;D224&amp;"'!$B$18")*(E224/VLOOKUP(C224,'Products Index'!$A:$E,5,FALSE)),0)</f>
        <v>0</v>
      </c>
      <c r="J224" s="16">
        <f>IFERROR((INDEX(Overheads!$H:$H, MATCH(TEXT(B224,"yyyy-mm"), TEXT(Overheads!$A:$A,"yyyy-mm"),0)) / MAX(SUMIFS($H:$H,$B:$B,"&gt;="&amp;EOMONTH(B224,-1)+1,$B:$B,"&lt;="&amp;EOMONTH(B224,0)),1)) * H224,0)</f>
        <v>0</v>
      </c>
      <c r="K224" s="16">
        <f t="shared" ca="1" si="10"/>
        <v>0</v>
      </c>
      <c r="L224" s="16">
        <f t="shared" ca="1" si="11"/>
        <v>0</v>
      </c>
      <c r="M224" s="11"/>
    </row>
    <row r="225" spans="2:13">
      <c r="B225" s="30"/>
      <c r="C225" s="11"/>
      <c r="D225" t="str">
        <f>IFERROR(VLOOKUP(C225,'Products Index'!$A:$B,2,FALSE),"")</f>
        <v/>
      </c>
      <c r="E225" s="25"/>
      <c r="F225" s="25"/>
      <c r="G225" s="25"/>
      <c r="H225">
        <f t="shared" si="9"/>
        <v>0</v>
      </c>
      <c r="I225" s="16">
        <f ca="1">IFERROR(INDIRECT("'"&amp;D225&amp;"'!$B$18")*(E225/VLOOKUP(C225,'Products Index'!$A:$E,5,FALSE)),0)</f>
        <v>0</v>
      </c>
      <c r="J225" s="16">
        <f>IFERROR((INDEX(Overheads!$H:$H, MATCH(TEXT(B225,"yyyy-mm"), TEXT(Overheads!$A:$A,"yyyy-mm"),0)) / MAX(SUMIFS($H:$H,$B:$B,"&gt;="&amp;EOMONTH(B225,-1)+1,$B:$B,"&lt;="&amp;EOMONTH(B225,0)),1)) * H225,0)</f>
        <v>0</v>
      </c>
      <c r="K225" s="16">
        <f t="shared" ca="1" si="10"/>
        <v>0</v>
      </c>
      <c r="L225" s="16">
        <f t="shared" ca="1" si="11"/>
        <v>0</v>
      </c>
      <c r="M225" s="11"/>
    </row>
    <row r="226" spans="2:13">
      <c r="B226" s="30"/>
      <c r="C226" s="11"/>
      <c r="D226" t="str">
        <f>IFERROR(VLOOKUP(C226,'Products Index'!$A:$B,2,FALSE),"")</f>
        <v/>
      </c>
      <c r="E226" s="25"/>
      <c r="F226" s="25"/>
      <c r="G226" s="25"/>
      <c r="H226">
        <f t="shared" si="9"/>
        <v>0</v>
      </c>
      <c r="I226" s="16">
        <f ca="1">IFERROR(INDIRECT("'"&amp;D226&amp;"'!$B$18")*(E226/VLOOKUP(C226,'Products Index'!$A:$E,5,FALSE)),0)</f>
        <v>0</v>
      </c>
      <c r="J226" s="16">
        <f>IFERROR((INDEX(Overheads!$H:$H, MATCH(TEXT(B226,"yyyy-mm"), TEXT(Overheads!$A:$A,"yyyy-mm"),0)) / MAX(SUMIFS($H:$H,$B:$B,"&gt;="&amp;EOMONTH(B226,-1)+1,$B:$B,"&lt;="&amp;EOMONTH(B226,0)),1)) * H226,0)</f>
        <v>0</v>
      </c>
      <c r="K226" s="16">
        <f t="shared" ca="1" si="10"/>
        <v>0</v>
      </c>
      <c r="L226" s="16">
        <f t="shared" ca="1" si="11"/>
        <v>0</v>
      </c>
      <c r="M226" s="11"/>
    </row>
    <row r="227" spans="2:13">
      <c r="B227" s="30"/>
      <c r="C227" s="11"/>
      <c r="D227" t="str">
        <f>IFERROR(VLOOKUP(C227,'Products Index'!$A:$B,2,FALSE),"")</f>
        <v/>
      </c>
      <c r="E227" s="25"/>
      <c r="F227" s="25"/>
      <c r="G227" s="25"/>
      <c r="H227">
        <f t="shared" si="9"/>
        <v>0</v>
      </c>
      <c r="I227" s="16">
        <f ca="1">IFERROR(INDIRECT("'"&amp;D227&amp;"'!$B$18")*(E227/VLOOKUP(C227,'Products Index'!$A:$E,5,FALSE)),0)</f>
        <v>0</v>
      </c>
      <c r="J227" s="16">
        <f>IFERROR((INDEX(Overheads!$H:$H, MATCH(TEXT(B227,"yyyy-mm"), TEXT(Overheads!$A:$A,"yyyy-mm"),0)) / MAX(SUMIFS($H:$H,$B:$B,"&gt;="&amp;EOMONTH(B227,-1)+1,$B:$B,"&lt;="&amp;EOMONTH(B227,0)),1)) * H227,0)</f>
        <v>0</v>
      </c>
      <c r="K227" s="16">
        <f t="shared" ca="1" si="10"/>
        <v>0</v>
      </c>
      <c r="L227" s="16">
        <f t="shared" ca="1" si="11"/>
        <v>0</v>
      </c>
      <c r="M227" s="11"/>
    </row>
    <row r="228" spans="2:13">
      <c r="B228" s="30"/>
      <c r="C228" s="11"/>
      <c r="D228" t="str">
        <f>IFERROR(VLOOKUP(C228,'Products Index'!$A:$B,2,FALSE),"")</f>
        <v/>
      </c>
      <c r="E228" s="25"/>
      <c r="F228" s="25"/>
      <c r="G228" s="25"/>
      <c r="H228">
        <f t="shared" si="9"/>
        <v>0</v>
      </c>
      <c r="I228" s="16">
        <f ca="1">IFERROR(INDIRECT("'"&amp;D228&amp;"'!$B$18")*(E228/VLOOKUP(C228,'Products Index'!$A:$E,5,FALSE)),0)</f>
        <v>0</v>
      </c>
      <c r="J228" s="16">
        <f>IFERROR((INDEX(Overheads!$H:$H, MATCH(TEXT(B228,"yyyy-mm"), TEXT(Overheads!$A:$A,"yyyy-mm"),0)) / MAX(SUMIFS($H:$H,$B:$B,"&gt;="&amp;EOMONTH(B228,-1)+1,$B:$B,"&lt;="&amp;EOMONTH(B228,0)),1)) * H228,0)</f>
        <v>0</v>
      </c>
      <c r="K228" s="16">
        <f t="shared" ca="1" si="10"/>
        <v>0</v>
      </c>
      <c r="L228" s="16">
        <f t="shared" ca="1" si="11"/>
        <v>0</v>
      </c>
      <c r="M228" s="11"/>
    </row>
    <row r="229" spans="2:13">
      <c r="B229" s="30"/>
      <c r="C229" s="11"/>
      <c r="D229" t="str">
        <f>IFERROR(VLOOKUP(C229,'Products Index'!$A:$B,2,FALSE),"")</f>
        <v/>
      </c>
      <c r="E229" s="25"/>
      <c r="F229" s="25"/>
      <c r="G229" s="25"/>
      <c r="H229">
        <f t="shared" si="9"/>
        <v>0</v>
      </c>
      <c r="I229" s="16">
        <f ca="1">IFERROR(INDIRECT("'"&amp;D229&amp;"'!$B$18")*(E229/VLOOKUP(C229,'Products Index'!$A:$E,5,FALSE)),0)</f>
        <v>0</v>
      </c>
      <c r="J229" s="16">
        <f>IFERROR((INDEX(Overheads!$H:$H, MATCH(TEXT(B229,"yyyy-mm"), TEXT(Overheads!$A:$A,"yyyy-mm"),0)) / MAX(SUMIFS($H:$H,$B:$B,"&gt;="&amp;EOMONTH(B229,-1)+1,$B:$B,"&lt;="&amp;EOMONTH(B229,0)),1)) * H229,0)</f>
        <v>0</v>
      </c>
      <c r="K229" s="16">
        <f t="shared" ca="1" si="10"/>
        <v>0</v>
      </c>
      <c r="L229" s="16">
        <f t="shared" ca="1" si="11"/>
        <v>0</v>
      </c>
      <c r="M229" s="11"/>
    </row>
    <row r="230" spans="2:13">
      <c r="B230" s="30"/>
      <c r="C230" s="11"/>
      <c r="D230" t="str">
        <f>IFERROR(VLOOKUP(C230,'Products Index'!$A:$B,2,FALSE),"")</f>
        <v/>
      </c>
      <c r="E230" s="25"/>
      <c r="F230" s="25"/>
      <c r="G230" s="25"/>
      <c r="H230">
        <f t="shared" si="9"/>
        <v>0</v>
      </c>
      <c r="I230" s="16">
        <f ca="1">IFERROR(INDIRECT("'"&amp;D230&amp;"'!$B$18")*(E230/VLOOKUP(C230,'Products Index'!$A:$E,5,FALSE)),0)</f>
        <v>0</v>
      </c>
      <c r="J230" s="16">
        <f>IFERROR((INDEX(Overheads!$H:$H, MATCH(TEXT(B230,"yyyy-mm"), TEXT(Overheads!$A:$A,"yyyy-mm"),0)) / MAX(SUMIFS($H:$H,$B:$B,"&gt;="&amp;EOMONTH(B230,-1)+1,$B:$B,"&lt;="&amp;EOMONTH(B230,0)),1)) * H230,0)</f>
        <v>0</v>
      </c>
      <c r="K230" s="16">
        <f t="shared" ca="1" si="10"/>
        <v>0</v>
      </c>
      <c r="L230" s="16">
        <f t="shared" ca="1" si="11"/>
        <v>0</v>
      </c>
      <c r="M230" s="11"/>
    </row>
    <row r="231" spans="2:13">
      <c r="B231" s="30"/>
      <c r="C231" s="11"/>
      <c r="D231" t="str">
        <f>IFERROR(VLOOKUP(C231,'Products Index'!$A:$B,2,FALSE),"")</f>
        <v/>
      </c>
      <c r="E231" s="25"/>
      <c r="F231" s="25"/>
      <c r="G231" s="25"/>
      <c r="H231">
        <f t="shared" si="9"/>
        <v>0</v>
      </c>
      <c r="I231" s="16">
        <f ca="1">IFERROR(INDIRECT("'"&amp;D231&amp;"'!$B$18")*(E231/VLOOKUP(C231,'Products Index'!$A:$E,5,FALSE)),0)</f>
        <v>0</v>
      </c>
      <c r="J231" s="16">
        <f>IFERROR((INDEX(Overheads!$H:$H, MATCH(TEXT(B231,"yyyy-mm"), TEXT(Overheads!$A:$A,"yyyy-mm"),0)) / MAX(SUMIFS($H:$H,$B:$B,"&gt;="&amp;EOMONTH(B231,-1)+1,$B:$B,"&lt;="&amp;EOMONTH(B231,0)),1)) * H231,0)</f>
        <v>0</v>
      </c>
      <c r="K231" s="16">
        <f t="shared" ca="1" si="10"/>
        <v>0</v>
      </c>
      <c r="L231" s="16">
        <f t="shared" ca="1" si="11"/>
        <v>0</v>
      </c>
      <c r="M231" s="11"/>
    </row>
    <row r="232" spans="2:13">
      <c r="B232" s="30"/>
      <c r="C232" s="11"/>
      <c r="D232" t="str">
        <f>IFERROR(VLOOKUP(C232,'Products Index'!$A:$B,2,FALSE),"")</f>
        <v/>
      </c>
      <c r="E232" s="25"/>
      <c r="F232" s="25"/>
      <c r="G232" s="25"/>
      <c r="H232">
        <f t="shared" si="9"/>
        <v>0</v>
      </c>
      <c r="I232" s="16">
        <f ca="1">IFERROR(INDIRECT("'"&amp;D232&amp;"'!$B$18")*(E232/VLOOKUP(C232,'Products Index'!$A:$E,5,FALSE)),0)</f>
        <v>0</v>
      </c>
      <c r="J232" s="16">
        <f>IFERROR((INDEX(Overheads!$H:$H, MATCH(TEXT(B232,"yyyy-mm"), TEXT(Overheads!$A:$A,"yyyy-mm"),0)) / MAX(SUMIFS($H:$H,$B:$B,"&gt;="&amp;EOMONTH(B232,-1)+1,$B:$B,"&lt;="&amp;EOMONTH(B232,0)),1)) * H232,0)</f>
        <v>0</v>
      </c>
      <c r="K232" s="16">
        <f t="shared" ca="1" si="10"/>
        <v>0</v>
      </c>
      <c r="L232" s="16">
        <f t="shared" ca="1" si="11"/>
        <v>0</v>
      </c>
      <c r="M232" s="11"/>
    </row>
    <row r="233" spans="2:13">
      <c r="B233" s="30"/>
      <c r="C233" s="11"/>
      <c r="D233" t="str">
        <f>IFERROR(VLOOKUP(C233,'Products Index'!$A:$B,2,FALSE),"")</f>
        <v/>
      </c>
      <c r="E233" s="25"/>
      <c r="F233" s="25"/>
      <c r="G233" s="25"/>
      <c r="H233">
        <f t="shared" si="9"/>
        <v>0</v>
      </c>
      <c r="I233" s="16">
        <f ca="1">IFERROR(INDIRECT("'"&amp;D233&amp;"'!$B$18")*(E233/VLOOKUP(C233,'Products Index'!$A:$E,5,FALSE)),0)</f>
        <v>0</v>
      </c>
      <c r="J233" s="16">
        <f>IFERROR((INDEX(Overheads!$H:$H, MATCH(TEXT(B233,"yyyy-mm"), TEXT(Overheads!$A:$A,"yyyy-mm"),0)) / MAX(SUMIFS($H:$H,$B:$B,"&gt;="&amp;EOMONTH(B233,-1)+1,$B:$B,"&lt;="&amp;EOMONTH(B233,0)),1)) * H233,0)</f>
        <v>0</v>
      </c>
      <c r="K233" s="16">
        <f t="shared" ca="1" si="10"/>
        <v>0</v>
      </c>
      <c r="L233" s="16">
        <f t="shared" ca="1" si="11"/>
        <v>0</v>
      </c>
      <c r="M233" s="11"/>
    </row>
    <row r="234" spans="2:13">
      <c r="B234" s="30"/>
      <c r="C234" s="11"/>
      <c r="D234" t="str">
        <f>IFERROR(VLOOKUP(C234,'Products Index'!$A:$B,2,FALSE),"")</f>
        <v/>
      </c>
      <c r="E234" s="25"/>
      <c r="F234" s="25"/>
      <c r="G234" s="25"/>
      <c r="H234">
        <f t="shared" si="9"/>
        <v>0</v>
      </c>
      <c r="I234" s="16">
        <f ca="1">IFERROR(INDIRECT("'"&amp;D234&amp;"'!$B$18")*(E234/VLOOKUP(C234,'Products Index'!$A:$E,5,FALSE)),0)</f>
        <v>0</v>
      </c>
      <c r="J234" s="16">
        <f>IFERROR((INDEX(Overheads!$H:$H, MATCH(TEXT(B234,"yyyy-mm"), TEXT(Overheads!$A:$A,"yyyy-mm"),0)) / MAX(SUMIFS($H:$H,$B:$B,"&gt;="&amp;EOMONTH(B234,-1)+1,$B:$B,"&lt;="&amp;EOMONTH(B234,0)),1)) * H234,0)</f>
        <v>0</v>
      </c>
      <c r="K234" s="16">
        <f t="shared" ca="1" si="10"/>
        <v>0</v>
      </c>
      <c r="L234" s="16">
        <f t="shared" ca="1" si="11"/>
        <v>0</v>
      </c>
      <c r="M234" s="11"/>
    </row>
    <row r="235" spans="2:13">
      <c r="B235" s="30"/>
      <c r="C235" s="11"/>
      <c r="D235" t="str">
        <f>IFERROR(VLOOKUP(C235,'Products Index'!$A:$B,2,FALSE),"")</f>
        <v/>
      </c>
      <c r="E235" s="25"/>
      <c r="F235" s="25"/>
      <c r="G235" s="25"/>
      <c r="H235">
        <f t="shared" si="9"/>
        <v>0</v>
      </c>
      <c r="I235" s="16">
        <f ca="1">IFERROR(INDIRECT("'"&amp;D235&amp;"'!$B$18")*(E235/VLOOKUP(C235,'Products Index'!$A:$E,5,FALSE)),0)</f>
        <v>0</v>
      </c>
      <c r="J235" s="16">
        <f>IFERROR((INDEX(Overheads!$H:$H, MATCH(TEXT(B235,"yyyy-mm"), TEXT(Overheads!$A:$A,"yyyy-mm"),0)) / MAX(SUMIFS($H:$H,$B:$B,"&gt;="&amp;EOMONTH(B235,-1)+1,$B:$B,"&lt;="&amp;EOMONTH(B235,0)),1)) * H235,0)</f>
        <v>0</v>
      </c>
      <c r="K235" s="16">
        <f t="shared" ca="1" si="10"/>
        <v>0</v>
      </c>
      <c r="L235" s="16">
        <f t="shared" ca="1" si="11"/>
        <v>0</v>
      </c>
      <c r="M235" s="11"/>
    </row>
    <row r="236" spans="2:13">
      <c r="B236" s="30"/>
      <c r="C236" s="11"/>
      <c r="D236" t="str">
        <f>IFERROR(VLOOKUP(C236,'Products Index'!$A:$B,2,FALSE),"")</f>
        <v/>
      </c>
      <c r="E236" s="25"/>
      <c r="F236" s="25"/>
      <c r="G236" s="25"/>
      <c r="H236">
        <f t="shared" si="9"/>
        <v>0</v>
      </c>
      <c r="I236" s="16">
        <f ca="1">IFERROR(INDIRECT("'"&amp;D236&amp;"'!$B$18")*(E236/VLOOKUP(C236,'Products Index'!$A:$E,5,FALSE)),0)</f>
        <v>0</v>
      </c>
      <c r="J236" s="16">
        <f>IFERROR((INDEX(Overheads!$H:$H, MATCH(TEXT(B236,"yyyy-mm"), TEXT(Overheads!$A:$A,"yyyy-mm"),0)) / MAX(SUMIFS($H:$H,$B:$B,"&gt;="&amp;EOMONTH(B236,-1)+1,$B:$B,"&lt;="&amp;EOMONTH(B236,0)),1)) * H236,0)</f>
        <v>0</v>
      </c>
      <c r="K236" s="16">
        <f t="shared" ca="1" si="10"/>
        <v>0</v>
      </c>
      <c r="L236" s="16">
        <f t="shared" ca="1" si="11"/>
        <v>0</v>
      </c>
      <c r="M236" s="11"/>
    </row>
    <row r="237" spans="2:13">
      <c r="B237" s="30"/>
      <c r="C237" s="11"/>
      <c r="D237" t="str">
        <f>IFERROR(VLOOKUP(C237,'Products Index'!$A:$B,2,FALSE),"")</f>
        <v/>
      </c>
      <c r="E237" s="25"/>
      <c r="F237" s="25"/>
      <c r="G237" s="25"/>
      <c r="H237">
        <f t="shared" si="9"/>
        <v>0</v>
      </c>
      <c r="I237" s="16">
        <f ca="1">IFERROR(INDIRECT("'"&amp;D237&amp;"'!$B$18")*(E237/VLOOKUP(C237,'Products Index'!$A:$E,5,FALSE)),0)</f>
        <v>0</v>
      </c>
      <c r="J237" s="16">
        <f>IFERROR((INDEX(Overheads!$H:$H, MATCH(TEXT(B237,"yyyy-mm"), TEXT(Overheads!$A:$A,"yyyy-mm"),0)) / MAX(SUMIFS($H:$H,$B:$B,"&gt;="&amp;EOMONTH(B237,-1)+1,$B:$B,"&lt;="&amp;EOMONTH(B237,0)),1)) * H237,0)</f>
        <v>0</v>
      </c>
      <c r="K237" s="16">
        <f t="shared" ca="1" si="10"/>
        <v>0</v>
      </c>
      <c r="L237" s="16">
        <f t="shared" ca="1" si="11"/>
        <v>0</v>
      </c>
      <c r="M237" s="11"/>
    </row>
    <row r="238" spans="2:13">
      <c r="B238" s="30"/>
      <c r="C238" s="11"/>
      <c r="D238" t="str">
        <f>IFERROR(VLOOKUP(C238,'Products Index'!$A:$B,2,FALSE),"")</f>
        <v/>
      </c>
      <c r="E238" s="25"/>
      <c r="F238" s="25"/>
      <c r="G238" s="25"/>
      <c r="H238">
        <f t="shared" si="9"/>
        <v>0</v>
      </c>
      <c r="I238" s="16">
        <f ca="1">IFERROR(INDIRECT("'"&amp;D238&amp;"'!$B$18")*(E238/VLOOKUP(C238,'Products Index'!$A:$E,5,FALSE)),0)</f>
        <v>0</v>
      </c>
      <c r="J238" s="16">
        <f>IFERROR((INDEX(Overheads!$H:$H, MATCH(TEXT(B238,"yyyy-mm"), TEXT(Overheads!$A:$A,"yyyy-mm"),0)) / MAX(SUMIFS($H:$H,$B:$B,"&gt;="&amp;EOMONTH(B238,-1)+1,$B:$B,"&lt;="&amp;EOMONTH(B238,0)),1)) * H238,0)</f>
        <v>0</v>
      </c>
      <c r="K238" s="16">
        <f t="shared" ca="1" si="10"/>
        <v>0</v>
      </c>
      <c r="L238" s="16">
        <f t="shared" ca="1" si="11"/>
        <v>0</v>
      </c>
      <c r="M238" s="11"/>
    </row>
    <row r="239" spans="2:13">
      <c r="B239" s="30"/>
      <c r="C239" s="11"/>
      <c r="D239" t="str">
        <f>IFERROR(VLOOKUP(C239,'Products Index'!$A:$B,2,FALSE),"")</f>
        <v/>
      </c>
      <c r="E239" s="25"/>
      <c r="F239" s="25"/>
      <c r="G239" s="25"/>
      <c r="H239">
        <f t="shared" si="9"/>
        <v>0</v>
      </c>
      <c r="I239" s="16">
        <f ca="1">IFERROR(INDIRECT("'"&amp;D239&amp;"'!$B$18")*(E239/VLOOKUP(C239,'Products Index'!$A:$E,5,FALSE)),0)</f>
        <v>0</v>
      </c>
      <c r="J239" s="16">
        <f>IFERROR((INDEX(Overheads!$H:$H, MATCH(TEXT(B239,"yyyy-mm"), TEXT(Overheads!$A:$A,"yyyy-mm"),0)) / MAX(SUMIFS($H:$H,$B:$B,"&gt;="&amp;EOMONTH(B239,-1)+1,$B:$B,"&lt;="&amp;EOMONTH(B239,0)),1)) * H239,0)</f>
        <v>0</v>
      </c>
      <c r="K239" s="16">
        <f t="shared" ca="1" si="10"/>
        <v>0</v>
      </c>
      <c r="L239" s="16">
        <f t="shared" ca="1" si="11"/>
        <v>0</v>
      </c>
      <c r="M239" s="11"/>
    </row>
    <row r="240" spans="2:13">
      <c r="B240" s="30"/>
      <c r="C240" s="11"/>
      <c r="D240" t="str">
        <f>IFERROR(VLOOKUP(C240,'Products Index'!$A:$B,2,FALSE),"")</f>
        <v/>
      </c>
      <c r="E240" s="25"/>
      <c r="F240" s="25"/>
      <c r="G240" s="25"/>
      <c r="H240">
        <f t="shared" si="9"/>
        <v>0</v>
      </c>
      <c r="I240" s="16">
        <f ca="1">IFERROR(INDIRECT("'"&amp;D240&amp;"'!$B$18")*(E240/VLOOKUP(C240,'Products Index'!$A:$E,5,FALSE)),0)</f>
        <v>0</v>
      </c>
      <c r="J240" s="16">
        <f>IFERROR((INDEX(Overheads!$H:$H, MATCH(TEXT(B240,"yyyy-mm"), TEXT(Overheads!$A:$A,"yyyy-mm"),0)) / MAX(SUMIFS($H:$H,$B:$B,"&gt;="&amp;EOMONTH(B240,-1)+1,$B:$B,"&lt;="&amp;EOMONTH(B240,0)),1)) * H240,0)</f>
        <v>0</v>
      </c>
      <c r="K240" s="16">
        <f t="shared" ca="1" si="10"/>
        <v>0</v>
      </c>
      <c r="L240" s="16">
        <f t="shared" ca="1" si="11"/>
        <v>0</v>
      </c>
      <c r="M240" s="11"/>
    </row>
    <row r="241" spans="2:13">
      <c r="B241" s="30"/>
      <c r="C241" s="11"/>
      <c r="D241" t="str">
        <f>IFERROR(VLOOKUP(C241,'Products Index'!$A:$B,2,FALSE),"")</f>
        <v/>
      </c>
      <c r="E241" s="25"/>
      <c r="F241" s="25"/>
      <c r="G241" s="25"/>
      <c r="H241">
        <f t="shared" si="9"/>
        <v>0</v>
      </c>
      <c r="I241" s="16">
        <f ca="1">IFERROR(INDIRECT("'"&amp;D241&amp;"'!$B$18")*(E241/VLOOKUP(C241,'Products Index'!$A:$E,5,FALSE)),0)</f>
        <v>0</v>
      </c>
      <c r="J241" s="16">
        <f>IFERROR((INDEX(Overheads!$H:$H, MATCH(TEXT(B241,"yyyy-mm"), TEXT(Overheads!$A:$A,"yyyy-mm"),0)) / MAX(SUMIFS($H:$H,$B:$B,"&gt;="&amp;EOMONTH(B241,-1)+1,$B:$B,"&lt;="&amp;EOMONTH(B241,0)),1)) * H241,0)</f>
        <v>0</v>
      </c>
      <c r="K241" s="16">
        <f t="shared" ca="1" si="10"/>
        <v>0</v>
      </c>
      <c r="L241" s="16">
        <f t="shared" ca="1" si="11"/>
        <v>0</v>
      </c>
      <c r="M241" s="11"/>
    </row>
    <row r="242" spans="2:13">
      <c r="B242" s="30"/>
      <c r="C242" s="11"/>
      <c r="D242" t="str">
        <f>IFERROR(VLOOKUP(C242,'Products Index'!$A:$B,2,FALSE),"")</f>
        <v/>
      </c>
      <c r="E242" s="25"/>
      <c r="F242" s="25"/>
      <c r="G242" s="25"/>
      <c r="H242">
        <f t="shared" si="9"/>
        <v>0</v>
      </c>
      <c r="I242" s="16">
        <f ca="1">IFERROR(INDIRECT("'"&amp;D242&amp;"'!$B$18")*(E242/VLOOKUP(C242,'Products Index'!$A:$E,5,FALSE)),0)</f>
        <v>0</v>
      </c>
      <c r="J242" s="16">
        <f>IFERROR((INDEX(Overheads!$H:$H, MATCH(TEXT(B242,"yyyy-mm"), TEXT(Overheads!$A:$A,"yyyy-mm"),0)) / MAX(SUMIFS($H:$H,$B:$B,"&gt;="&amp;EOMONTH(B242,-1)+1,$B:$B,"&lt;="&amp;EOMONTH(B242,0)),1)) * H242,0)</f>
        <v>0</v>
      </c>
      <c r="K242" s="16">
        <f t="shared" ca="1" si="10"/>
        <v>0</v>
      </c>
      <c r="L242" s="16">
        <f t="shared" ca="1" si="11"/>
        <v>0</v>
      </c>
      <c r="M242" s="11"/>
    </row>
    <row r="243" spans="2:13">
      <c r="B243" s="30"/>
      <c r="C243" s="11"/>
      <c r="D243" t="str">
        <f>IFERROR(VLOOKUP(C243,'Products Index'!$A:$B,2,FALSE),"")</f>
        <v/>
      </c>
      <c r="E243" s="25"/>
      <c r="F243" s="25"/>
      <c r="G243" s="25"/>
      <c r="H243">
        <f t="shared" si="9"/>
        <v>0</v>
      </c>
      <c r="I243" s="16">
        <f ca="1">IFERROR(INDIRECT("'"&amp;D243&amp;"'!$B$18")*(E243/VLOOKUP(C243,'Products Index'!$A:$E,5,FALSE)),0)</f>
        <v>0</v>
      </c>
      <c r="J243" s="16">
        <f>IFERROR((INDEX(Overheads!$H:$H, MATCH(TEXT(B243,"yyyy-mm"), TEXT(Overheads!$A:$A,"yyyy-mm"),0)) / MAX(SUMIFS($H:$H,$B:$B,"&gt;="&amp;EOMONTH(B243,-1)+1,$B:$B,"&lt;="&amp;EOMONTH(B243,0)),1)) * H243,0)</f>
        <v>0</v>
      </c>
      <c r="K243" s="16">
        <f t="shared" ca="1" si="10"/>
        <v>0</v>
      </c>
      <c r="L243" s="16">
        <f t="shared" ca="1" si="11"/>
        <v>0</v>
      </c>
      <c r="M243" s="11"/>
    </row>
    <row r="244" spans="2:13">
      <c r="B244" s="30"/>
      <c r="C244" s="11"/>
      <c r="D244" t="str">
        <f>IFERROR(VLOOKUP(C244,'Products Index'!$A:$B,2,FALSE),"")</f>
        <v/>
      </c>
      <c r="E244" s="25"/>
      <c r="F244" s="25"/>
      <c r="G244" s="25"/>
      <c r="H244">
        <f t="shared" si="9"/>
        <v>0</v>
      </c>
      <c r="I244" s="16">
        <f ca="1">IFERROR(INDIRECT("'"&amp;D244&amp;"'!$B$18")*(E244/VLOOKUP(C244,'Products Index'!$A:$E,5,FALSE)),0)</f>
        <v>0</v>
      </c>
      <c r="J244" s="16">
        <f>IFERROR((INDEX(Overheads!$H:$H, MATCH(TEXT(B244,"yyyy-mm"), TEXT(Overheads!$A:$A,"yyyy-mm"),0)) / MAX(SUMIFS($H:$H,$B:$B,"&gt;="&amp;EOMONTH(B244,-1)+1,$B:$B,"&lt;="&amp;EOMONTH(B244,0)),1)) * H244,0)</f>
        <v>0</v>
      </c>
      <c r="K244" s="16">
        <f t="shared" ca="1" si="10"/>
        <v>0</v>
      </c>
      <c r="L244" s="16">
        <f t="shared" ca="1" si="11"/>
        <v>0</v>
      </c>
      <c r="M244" s="11"/>
    </row>
    <row r="245" spans="2:13">
      <c r="B245" s="30"/>
      <c r="C245" s="11"/>
      <c r="D245" t="str">
        <f>IFERROR(VLOOKUP(C245,'Products Index'!$A:$B,2,FALSE),"")</f>
        <v/>
      </c>
      <c r="E245" s="25"/>
      <c r="F245" s="25"/>
      <c r="G245" s="25"/>
      <c r="H245">
        <f t="shared" si="9"/>
        <v>0</v>
      </c>
      <c r="I245" s="16">
        <f ca="1">IFERROR(INDIRECT("'"&amp;D245&amp;"'!$B$18")*(E245/VLOOKUP(C245,'Products Index'!$A:$E,5,FALSE)),0)</f>
        <v>0</v>
      </c>
      <c r="J245" s="16">
        <f>IFERROR((INDEX(Overheads!$H:$H, MATCH(TEXT(B245,"yyyy-mm"), TEXT(Overheads!$A:$A,"yyyy-mm"),0)) / MAX(SUMIFS($H:$H,$B:$B,"&gt;="&amp;EOMONTH(B245,-1)+1,$B:$B,"&lt;="&amp;EOMONTH(B245,0)),1)) * H245,0)</f>
        <v>0</v>
      </c>
      <c r="K245" s="16">
        <f t="shared" ca="1" si="10"/>
        <v>0</v>
      </c>
      <c r="L245" s="16">
        <f t="shared" ca="1" si="11"/>
        <v>0</v>
      </c>
      <c r="M245" s="11"/>
    </row>
    <row r="246" spans="2:13">
      <c r="B246" s="30"/>
      <c r="C246" s="11"/>
      <c r="D246" t="str">
        <f>IFERROR(VLOOKUP(C246,'Products Index'!$A:$B,2,FALSE),"")</f>
        <v/>
      </c>
      <c r="E246" s="25"/>
      <c r="F246" s="25"/>
      <c r="G246" s="25"/>
      <c r="H246">
        <f t="shared" si="9"/>
        <v>0</v>
      </c>
      <c r="I246" s="16">
        <f ca="1">IFERROR(INDIRECT("'"&amp;D246&amp;"'!$B$18")*(E246/VLOOKUP(C246,'Products Index'!$A:$E,5,FALSE)),0)</f>
        <v>0</v>
      </c>
      <c r="J246" s="16">
        <f>IFERROR((INDEX(Overheads!$H:$H, MATCH(TEXT(B246,"yyyy-mm"), TEXT(Overheads!$A:$A,"yyyy-mm"),0)) / MAX(SUMIFS($H:$H,$B:$B,"&gt;="&amp;EOMONTH(B246,-1)+1,$B:$B,"&lt;="&amp;EOMONTH(B246,0)),1)) * H246,0)</f>
        <v>0</v>
      </c>
      <c r="K246" s="16">
        <f t="shared" ca="1" si="10"/>
        <v>0</v>
      </c>
      <c r="L246" s="16">
        <f t="shared" ca="1" si="11"/>
        <v>0</v>
      </c>
      <c r="M246" s="11"/>
    </row>
    <row r="247" spans="2:13">
      <c r="B247" s="30"/>
      <c r="C247" s="11"/>
      <c r="D247" t="str">
        <f>IFERROR(VLOOKUP(C247,'Products Index'!$A:$B,2,FALSE),"")</f>
        <v/>
      </c>
      <c r="E247" s="25"/>
      <c r="F247" s="25"/>
      <c r="G247" s="25"/>
      <c r="H247">
        <f t="shared" si="9"/>
        <v>0</v>
      </c>
      <c r="I247" s="16">
        <f ca="1">IFERROR(INDIRECT("'"&amp;D247&amp;"'!$B$18")*(E247/VLOOKUP(C247,'Products Index'!$A:$E,5,FALSE)),0)</f>
        <v>0</v>
      </c>
      <c r="J247" s="16">
        <f>IFERROR((INDEX(Overheads!$H:$H, MATCH(TEXT(B247,"yyyy-mm"), TEXT(Overheads!$A:$A,"yyyy-mm"),0)) / MAX(SUMIFS($H:$H,$B:$B,"&gt;="&amp;EOMONTH(B247,-1)+1,$B:$B,"&lt;="&amp;EOMONTH(B247,0)),1)) * H247,0)</f>
        <v>0</v>
      </c>
      <c r="K247" s="16">
        <f t="shared" ca="1" si="10"/>
        <v>0</v>
      </c>
      <c r="L247" s="16">
        <f t="shared" ca="1" si="11"/>
        <v>0</v>
      </c>
      <c r="M247" s="11"/>
    </row>
    <row r="248" spans="2:13">
      <c r="B248" s="30"/>
      <c r="C248" s="11"/>
      <c r="D248" t="str">
        <f>IFERROR(VLOOKUP(C248,'Products Index'!$A:$B,2,FALSE),"")</f>
        <v/>
      </c>
      <c r="E248" s="25"/>
      <c r="F248" s="25"/>
      <c r="G248" s="25"/>
      <c r="H248">
        <f t="shared" si="9"/>
        <v>0</v>
      </c>
      <c r="I248" s="16">
        <f ca="1">IFERROR(INDIRECT("'"&amp;D248&amp;"'!$B$18")*(E248/VLOOKUP(C248,'Products Index'!$A:$E,5,FALSE)),0)</f>
        <v>0</v>
      </c>
      <c r="J248" s="16">
        <f>IFERROR((INDEX(Overheads!$H:$H, MATCH(TEXT(B248,"yyyy-mm"), TEXT(Overheads!$A:$A,"yyyy-mm"),0)) / MAX(SUMIFS($H:$H,$B:$B,"&gt;="&amp;EOMONTH(B248,-1)+1,$B:$B,"&lt;="&amp;EOMONTH(B248,0)),1)) * H248,0)</f>
        <v>0</v>
      </c>
      <c r="K248" s="16">
        <f t="shared" ca="1" si="10"/>
        <v>0</v>
      </c>
      <c r="L248" s="16">
        <f t="shared" ca="1" si="11"/>
        <v>0</v>
      </c>
      <c r="M248" s="11"/>
    </row>
    <row r="249" spans="2:13">
      <c r="B249" s="30"/>
      <c r="C249" s="11"/>
      <c r="D249" t="str">
        <f>IFERROR(VLOOKUP(C249,'Products Index'!$A:$B,2,FALSE),"")</f>
        <v/>
      </c>
      <c r="E249" s="25"/>
      <c r="F249" s="25"/>
      <c r="G249" s="25"/>
      <c r="H249">
        <f t="shared" si="9"/>
        <v>0</v>
      </c>
      <c r="I249" s="16">
        <f ca="1">IFERROR(INDIRECT("'"&amp;D249&amp;"'!$B$18")*(E249/VLOOKUP(C249,'Products Index'!$A:$E,5,FALSE)),0)</f>
        <v>0</v>
      </c>
      <c r="J249" s="16">
        <f>IFERROR((INDEX(Overheads!$H:$H, MATCH(TEXT(B249,"yyyy-mm"), TEXT(Overheads!$A:$A,"yyyy-mm"),0)) / MAX(SUMIFS($H:$H,$B:$B,"&gt;="&amp;EOMONTH(B249,-1)+1,$B:$B,"&lt;="&amp;EOMONTH(B249,0)),1)) * H249,0)</f>
        <v>0</v>
      </c>
      <c r="K249" s="16">
        <f t="shared" ca="1" si="10"/>
        <v>0</v>
      </c>
      <c r="L249" s="16">
        <f t="shared" ca="1" si="11"/>
        <v>0</v>
      </c>
      <c r="M249" s="11"/>
    </row>
    <row r="250" spans="2:13">
      <c r="B250" s="30"/>
      <c r="C250" s="11"/>
      <c r="D250" t="str">
        <f>IFERROR(VLOOKUP(C250,'Products Index'!$A:$B,2,FALSE),"")</f>
        <v/>
      </c>
      <c r="E250" s="25"/>
      <c r="F250" s="25"/>
      <c r="G250" s="25"/>
      <c r="H250">
        <f t="shared" si="9"/>
        <v>0</v>
      </c>
      <c r="I250" s="16">
        <f ca="1">IFERROR(INDIRECT("'"&amp;D250&amp;"'!$B$18")*(E250/VLOOKUP(C250,'Products Index'!$A:$E,5,FALSE)),0)</f>
        <v>0</v>
      </c>
      <c r="J250" s="16">
        <f>IFERROR((INDEX(Overheads!$H:$H, MATCH(TEXT(B250,"yyyy-mm"), TEXT(Overheads!$A:$A,"yyyy-mm"),0)) / MAX(SUMIFS($H:$H,$B:$B,"&gt;="&amp;EOMONTH(B250,-1)+1,$B:$B,"&lt;="&amp;EOMONTH(B250,0)),1)) * H250,0)</f>
        <v>0</v>
      </c>
      <c r="K250" s="16">
        <f t="shared" ca="1" si="10"/>
        <v>0</v>
      </c>
      <c r="L250" s="16">
        <f t="shared" ca="1" si="11"/>
        <v>0</v>
      </c>
      <c r="M250" s="11"/>
    </row>
    <row r="251" spans="2:13">
      <c r="B251" s="30"/>
      <c r="C251" s="11"/>
      <c r="D251" t="str">
        <f>IFERROR(VLOOKUP(C251,'Products Index'!$A:$B,2,FALSE),"")</f>
        <v/>
      </c>
      <c r="E251" s="25"/>
      <c r="F251" s="25"/>
      <c r="G251" s="25"/>
      <c r="H251">
        <f t="shared" si="9"/>
        <v>0</v>
      </c>
      <c r="I251" s="16">
        <f ca="1">IFERROR(INDIRECT("'"&amp;D251&amp;"'!$B$18")*(E251/VLOOKUP(C251,'Products Index'!$A:$E,5,FALSE)),0)</f>
        <v>0</v>
      </c>
      <c r="J251" s="16">
        <f>IFERROR((INDEX(Overheads!$H:$H, MATCH(TEXT(B251,"yyyy-mm"), TEXT(Overheads!$A:$A,"yyyy-mm"),0)) / MAX(SUMIFS($H:$H,$B:$B,"&gt;="&amp;EOMONTH(B251,-1)+1,$B:$B,"&lt;="&amp;EOMONTH(B251,0)),1)) * H251,0)</f>
        <v>0</v>
      </c>
      <c r="K251" s="16">
        <f t="shared" ca="1" si="10"/>
        <v>0</v>
      </c>
      <c r="L251" s="16">
        <f t="shared" ca="1" si="11"/>
        <v>0</v>
      </c>
      <c r="M251" s="11"/>
    </row>
    <row r="252" spans="2:13">
      <c r="B252" s="30"/>
      <c r="C252" s="11"/>
      <c r="D252" t="str">
        <f>IFERROR(VLOOKUP(C252,'Products Index'!$A:$B,2,FALSE),"")</f>
        <v/>
      </c>
      <c r="E252" s="25"/>
      <c r="F252" s="25"/>
      <c r="G252" s="25"/>
      <c r="H252">
        <f t="shared" si="9"/>
        <v>0</v>
      </c>
      <c r="I252" s="16">
        <f ca="1">IFERROR(INDIRECT("'"&amp;D252&amp;"'!$B$18")*(E252/VLOOKUP(C252,'Products Index'!$A:$E,5,FALSE)),0)</f>
        <v>0</v>
      </c>
      <c r="J252" s="16">
        <f>IFERROR((INDEX(Overheads!$H:$H, MATCH(TEXT(B252,"yyyy-mm"), TEXT(Overheads!$A:$A,"yyyy-mm"),0)) / MAX(SUMIFS($H:$H,$B:$B,"&gt;="&amp;EOMONTH(B252,-1)+1,$B:$B,"&lt;="&amp;EOMONTH(B252,0)),1)) * H252,0)</f>
        <v>0</v>
      </c>
      <c r="K252" s="16">
        <f t="shared" ca="1" si="10"/>
        <v>0</v>
      </c>
      <c r="L252" s="16">
        <f t="shared" ca="1" si="11"/>
        <v>0</v>
      </c>
      <c r="M252" s="11"/>
    </row>
    <row r="253" spans="2:13">
      <c r="B253" s="30"/>
      <c r="C253" s="11"/>
      <c r="D253" t="str">
        <f>IFERROR(VLOOKUP(C253,'Products Index'!$A:$B,2,FALSE),"")</f>
        <v/>
      </c>
      <c r="E253" s="25"/>
      <c r="F253" s="25"/>
      <c r="G253" s="25"/>
      <c r="H253">
        <f t="shared" si="9"/>
        <v>0</v>
      </c>
      <c r="I253" s="16">
        <f ca="1">IFERROR(INDIRECT("'"&amp;D253&amp;"'!$B$18")*(E253/VLOOKUP(C253,'Products Index'!$A:$E,5,FALSE)),0)</f>
        <v>0</v>
      </c>
      <c r="J253" s="16">
        <f>IFERROR((INDEX(Overheads!$H:$H, MATCH(TEXT(B253,"yyyy-mm"), TEXT(Overheads!$A:$A,"yyyy-mm"),0)) / MAX(SUMIFS($H:$H,$B:$B,"&gt;="&amp;EOMONTH(B253,-1)+1,$B:$B,"&lt;="&amp;EOMONTH(B253,0)),1)) * H253,0)</f>
        <v>0</v>
      </c>
      <c r="K253" s="16">
        <f t="shared" ca="1" si="10"/>
        <v>0</v>
      </c>
      <c r="L253" s="16">
        <f t="shared" ca="1" si="11"/>
        <v>0</v>
      </c>
      <c r="M253" s="11"/>
    </row>
    <row r="254" spans="2:13">
      <c r="B254" s="30"/>
      <c r="C254" s="11"/>
      <c r="D254" t="str">
        <f>IFERROR(VLOOKUP(C254,'Products Index'!$A:$B,2,FALSE),"")</f>
        <v/>
      </c>
      <c r="E254" s="25"/>
      <c r="F254" s="25"/>
      <c r="G254" s="25"/>
      <c r="H254">
        <f t="shared" si="9"/>
        <v>0</v>
      </c>
      <c r="I254" s="16">
        <f ca="1">IFERROR(INDIRECT("'"&amp;D254&amp;"'!$B$18")*(E254/VLOOKUP(C254,'Products Index'!$A:$E,5,FALSE)),0)</f>
        <v>0</v>
      </c>
      <c r="J254" s="16">
        <f>IFERROR((INDEX(Overheads!$H:$H, MATCH(TEXT(B254,"yyyy-mm"), TEXT(Overheads!$A:$A,"yyyy-mm"),0)) / MAX(SUMIFS($H:$H,$B:$B,"&gt;="&amp;EOMONTH(B254,-1)+1,$B:$B,"&lt;="&amp;EOMONTH(B254,0)),1)) * H254,0)</f>
        <v>0</v>
      </c>
      <c r="K254" s="16">
        <f t="shared" ca="1" si="10"/>
        <v>0</v>
      </c>
      <c r="L254" s="16">
        <f t="shared" ca="1" si="11"/>
        <v>0</v>
      </c>
      <c r="M254" s="11"/>
    </row>
    <row r="255" spans="2:13">
      <c r="B255" s="30"/>
      <c r="C255" s="11"/>
      <c r="D255" t="str">
        <f>IFERROR(VLOOKUP(C255,'Products Index'!$A:$B,2,FALSE),"")</f>
        <v/>
      </c>
      <c r="E255" s="25"/>
      <c r="F255" s="25"/>
      <c r="G255" s="25"/>
      <c r="H255">
        <f t="shared" si="9"/>
        <v>0</v>
      </c>
      <c r="I255" s="16">
        <f ca="1">IFERROR(INDIRECT("'"&amp;D255&amp;"'!$B$18")*(E255/VLOOKUP(C255,'Products Index'!$A:$E,5,FALSE)),0)</f>
        <v>0</v>
      </c>
      <c r="J255" s="16">
        <f>IFERROR((INDEX(Overheads!$H:$H, MATCH(TEXT(B255,"yyyy-mm"), TEXT(Overheads!$A:$A,"yyyy-mm"),0)) / MAX(SUMIFS($H:$H,$B:$B,"&gt;="&amp;EOMONTH(B255,-1)+1,$B:$B,"&lt;="&amp;EOMONTH(B255,0)),1)) * H255,0)</f>
        <v>0</v>
      </c>
      <c r="K255" s="16">
        <f t="shared" ca="1" si="10"/>
        <v>0</v>
      </c>
      <c r="L255" s="16">
        <f t="shared" ca="1" si="11"/>
        <v>0</v>
      </c>
      <c r="M255" s="11"/>
    </row>
    <row r="256" spans="2:13">
      <c r="B256" s="30"/>
      <c r="C256" s="11"/>
      <c r="D256" t="str">
        <f>IFERROR(VLOOKUP(C256,'Products Index'!$A:$B,2,FALSE),"")</f>
        <v/>
      </c>
      <c r="E256" s="25"/>
      <c r="F256" s="25"/>
      <c r="G256" s="25"/>
      <c r="H256">
        <f t="shared" si="9"/>
        <v>0</v>
      </c>
      <c r="I256" s="16">
        <f ca="1">IFERROR(INDIRECT("'"&amp;D256&amp;"'!$B$18")*(E256/VLOOKUP(C256,'Products Index'!$A:$E,5,FALSE)),0)</f>
        <v>0</v>
      </c>
      <c r="J256" s="16">
        <f>IFERROR((INDEX(Overheads!$H:$H, MATCH(TEXT(B256,"yyyy-mm"), TEXT(Overheads!$A:$A,"yyyy-mm"),0)) / MAX(SUMIFS($H:$H,$B:$B,"&gt;="&amp;EOMONTH(B256,-1)+1,$B:$B,"&lt;="&amp;EOMONTH(B256,0)),1)) * H256,0)</f>
        <v>0</v>
      </c>
      <c r="K256" s="16">
        <f t="shared" ca="1" si="10"/>
        <v>0</v>
      </c>
      <c r="L256" s="16">
        <f t="shared" ca="1" si="11"/>
        <v>0</v>
      </c>
      <c r="M256" s="11"/>
    </row>
    <row r="257" spans="2:13">
      <c r="B257" s="30"/>
      <c r="C257" s="11"/>
      <c r="D257" t="str">
        <f>IFERROR(VLOOKUP(C257,'Products Index'!$A:$B,2,FALSE),"")</f>
        <v/>
      </c>
      <c r="E257" s="25"/>
      <c r="F257" s="25"/>
      <c r="G257" s="25"/>
      <c r="H257">
        <f t="shared" si="9"/>
        <v>0</v>
      </c>
      <c r="I257" s="16">
        <f ca="1">IFERROR(INDIRECT("'"&amp;D257&amp;"'!$B$18")*(E257/VLOOKUP(C257,'Products Index'!$A:$E,5,FALSE)),0)</f>
        <v>0</v>
      </c>
      <c r="J257" s="16">
        <f>IFERROR((INDEX(Overheads!$H:$H, MATCH(TEXT(B257,"yyyy-mm"), TEXT(Overheads!$A:$A,"yyyy-mm"),0)) / MAX(SUMIFS($H:$H,$B:$B,"&gt;="&amp;EOMONTH(B257,-1)+1,$B:$B,"&lt;="&amp;EOMONTH(B257,0)),1)) * H257,0)</f>
        <v>0</v>
      </c>
      <c r="K257" s="16">
        <f t="shared" ca="1" si="10"/>
        <v>0</v>
      </c>
      <c r="L257" s="16">
        <f t="shared" ca="1" si="11"/>
        <v>0</v>
      </c>
      <c r="M257" s="11"/>
    </row>
    <row r="258" spans="2:13">
      <c r="B258" s="30"/>
      <c r="C258" s="11"/>
      <c r="D258" t="str">
        <f>IFERROR(VLOOKUP(C258,'Products Index'!$A:$B,2,FALSE),"")</f>
        <v/>
      </c>
      <c r="E258" s="25"/>
      <c r="F258" s="25"/>
      <c r="G258" s="25"/>
      <c r="H258">
        <f t="shared" ref="H258:H321" si="12">MAX(F258-G258,0)</f>
        <v>0</v>
      </c>
      <c r="I258" s="16">
        <f ca="1">IFERROR(INDIRECT("'"&amp;D258&amp;"'!$B$18")*(E258/VLOOKUP(C258,'Products Index'!$A:$E,5,FALSE)),0)</f>
        <v>0</v>
      </c>
      <c r="J258" s="16">
        <f>IFERROR((INDEX(Overheads!$H:$H, MATCH(TEXT(B258,"yyyy-mm"), TEXT(Overheads!$A:$A,"yyyy-mm"),0)) / MAX(SUMIFS($H:$H,$B:$B,"&gt;="&amp;EOMONTH(B258,-1)+1,$B:$B,"&lt;="&amp;EOMONTH(B258,0)),1)) * H258,0)</f>
        <v>0</v>
      </c>
      <c r="K258" s="16">
        <f t="shared" ref="K258:K321" ca="1" si="13">I258+J258</f>
        <v>0</v>
      </c>
      <c r="L258" s="16">
        <f t="shared" ref="L258:L321" ca="1" si="14">IFERROR(K258/MAX(H258,1),0)</f>
        <v>0</v>
      </c>
      <c r="M258" s="11"/>
    </row>
    <row r="259" spans="2:13">
      <c r="B259" s="30"/>
      <c r="C259" s="11"/>
      <c r="D259" t="str">
        <f>IFERROR(VLOOKUP(C259,'Products Index'!$A:$B,2,FALSE),"")</f>
        <v/>
      </c>
      <c r="E259" s="25"/>
      <c r="F259" s="25"/>
      <c r="G259" s="25"/>
      <c r="H259">
        <f t="shared" si="12"/>
        <v>0</v>
      </c>
      <c r="I259" s="16">
        <f ca="1">IFERROR(INDIRECT("'"&amp;D259&amp;"'!$B$18")*(E259/VLOOKUP(C259,'Products Index'!$A:$E,5,FALSE)),0)</f>
        <v>0</v>
      </c>
      <c r="J259" s="16">
        <f>IFERROR((INDEX(Overheads!$H:$H, MATCH(TEXT(B259,"yyyy-mm"), TEXT(Overheads!$A:$A,"yyyy-mm"),0)) / MAX(SUMIFS($H:$H,$B:$B,"&gt;="&amp;EOMONTH(B259,-1)+1,$B:$B,"&lt;="&amp;EOMONTH(B259,0)),1)) * H259,0)</f>
        <v>0</v>
      </c>
      <c r="K259" s="16">
        <f t="shared" ca="1" si="13"/>
        <v>0</v>
      </c>
      <c r="L259" s="16">
        <f t="shared" ca="1" si="14"/>
        <v>0</v>
      </c>
      <c r="M259" s="11"/>
    </row>
    <row r="260" spans="2:13">
      <c r="B260" s="30"/>
      <c r="C260" s="11"/>
      <c r="D260" t="str">
        <f>IFERROR(VLOOKUP(C260,'Products Index'!$A:$B,2,FALSE),"")</f>
        <v/>
      </c>
      <c r="E260" s="25"/>
      <c r="F260" s="25"/>
      <c r="G260" s="25"/>
      <c r="H260">
        <f t="shared" si="12"/>
        <v>0</v>
      </c>
      <c r="I260" s="16">
        <f ca="1">IFERROR(INDIRECT("'"&amp;D260&amp;"'!$B$18")*(E260/VLOOKUP(C260,'Products Index'!$A:$E,5,FALSE)),0)</f>
        <v>0</v>
      </c>
      <c r="J260" s="16">
        <f>IFERROR((INDEX(Overheads!$H:$H, MATCH(TEXT(B260,"yyyy-mm"), TEXT(Overheads!$A:$A,"yyyy-mm"),0)) / MAX(SUMIFS($H:$H,$B:$B,"&gt;="&amp;EOMONTH(B260,-1)+1,$B:$B,"&lt;="&amp;EOMONTH(B260,0)),1)) * H260,0)</f>
        <v>0</v>
      </c>
      <c r="K260" s="16">
        <f t="shared" ca="1" si="13"/>
        <v>0</v>
      </c>
      <c r="L260" s="16">
        <f t="shared" ca="1" si="14"/>
        <v>0</v>
      </c>
      <c r="M260" s="11"/>
    </row>
    <row r="261" spans="2:13">
      <c r="B261" s="30"/>
      <c r="C261" s="11"/>
      <c r="D261" t="str">
        <f>IFERROR(VLOOKUP(C261,'Products Index'!$A:$B,2,FALSE),"")</f>
        <v/>
      </c>
      <c r="E261" s="25"/>
      <c r="F261" s="25"/>
      <c r="G261" s="25"/>
      <c r="H261">
        <f t="shared" si="12"/>
        <v>0</v>
      </c>
      <c r="I261" s="16">
        <f ca="1">IFERROR(INDIRECT("'"&amp;D261&amp;"'!$B$18")*(E261/VLOOKUP(C261,'Products Index'!$A:$E,5,FALSE)),0)</f>
        <v>0</v>
      </c>
      <c r="J261" s="16">
        <f>IFERROR((INDEX(Overheads!$H:$H, MATCH(TEXT(B261,"yyyy-mm"), TEXT(Overheads!$A:$A,"yyyy-mm"),0)) / MAX(SUMIFS($H:$H,$B:$B,"&gt;="&amp;EOMONTH(B261,-1)+1,$B:$B,"&lt;="&amp;EOMONTH(B261,0)),1)) * H261,0)</f>
        <v>0</v>
      </c>
      <c r="K261" s="16">
        <f t="shared" ca="1" si="13"/>
        <v>0</v>
      </c>
      <c r="L261" s="16">
        <f t="shared" ca="1" si="14"/>
        <v>0</v>
      </c>
      <c r="M261" s="11"/>
    </row>
    <row r="262" spans="2:13">
      <c r="B262" s="30"/>
      <c r="C262" s="11"/>
      <c r="D262" t="str">
        <f>IFERROR(VLOOKUP(C262,'Products Index'!$A:$B,2,FALSE),"")</f>
        <v/>
      </c>
      <c r="E262" s="25"/>
      <c r="F262" s="25"/>
      <c r="G262" s="25"/>
      <c r="H262">
        <f t="shared" si="12"/>
        <v>0</v>
      </c>
      <c r="I262" s="16">
        <f ca="1">IFERROR(INDIRECT("'"&amp;D262&amp;"'!$B$18")*(E262/VLOOKUP(C262,'Products Index'!$A:$E,5,FALSE)),0)</f>
        <v>0</v>
      </c>
      <c r="J262" s="16">
        <f>IFERROR((INDEX(Overheads!$H:$H, MATCH(TEXT(B262,"yyyy-mm"), TEXT(Overheads!$A:$A,"yyyy-mm"),0)) / MAX(SUMIFS($H:$H,$B:$B,"&gt;="&amp;EOMONTH(B262,-1)+1,$B:$B,"&lt;="&amp;EOMONTH(B262,0)),1)) * H262,0)</f>
        <v>0</v>
      </c>
      <c r="K262" s="16">
        <f t="shared" ca="1" si="13"/>
        <v>0</v>
      </c>
      <c r="L262" s="16">
        <f t="shared" ca="1" si="14"/>
        <v>0</v>
      </c>
      <c r="M262" s="11"/>
    </row>
    <row r="263" spans="2:13">
      <c r="B263" s="30"/>
      <c r="C263" s="11"/>
      <c r="D263" t="str">
        <f>IFERROR(VLOOKUP(C263,'Products Index'!$A:$B,2,FALSE),"")</f>
        <v/>
      </c>
      <c r="E263" s="25"/>
      <c r="F263" s="25"/>
      <c r="G263" s="25"/>
      <c r="H263">
        <f t="shared" si="12"/>
        <v>0</v>
      </c>
      <c r="I263" s="16">
        <f ca="1">IFERROR(INDIRECT("'"&amp;D263&amp;"'!$B$18")*(E263/VLOOKUP(C263,'Products Index'!$A:$E,5,FALSE)),0)</f>
        <v>0</v>
      </c>
      <c r="J263" s="16">
        <f>IFERROR((INDEX(Overheads!$H:$H, MATCH(TEXT(B263,"yyyy-mm"), TEXT(Overheads!$A:$A,"yyyy-mm"),0)) / MAX(SUMIFS($H:$H,$B:$B,"&gt;="&amp;EOMONTH(B263,-1)+1,$B:$B,"&lt;="&amp;EOMONTH(B263,0)),1)) * H263,0)</f>
        <v>0</v>
      </c>
      <c r="K263" s="16">
        <f t="shared" ca="1" si="13"/>
        <v>0</v>
      </c>
      <c r="L263" s="16">
        <f t="shared" ca="1" si="14"/>
        <v>0</v>
      </c>
      <c r="M263" s="11"/>
    </row>
    <row r="264" spans="2:13">
      <c r="B264" s="30"/>
      <c r="C264" s="11"/>
      <c r="D264" t="str">
        <f>IFERROR(VLOOKUP(C264,'Products Index'!$A:$B,2,FALSE),"")</f>
        <v/>
      </c>
      <c r="E264" s="25"/>
      <c r="F264" s="25"/>
      <c r="G264" s="25"/>
      <c r="H264">
        <f t="shared" si="12"/>
        <v>0</v>
      </c>
      <c r="I264" s="16">
        <f ca="1">IFERROR(INDIRECT("'"&amp;D264&amp;"'!$B$18")*(E264/VLOOKUP(C264,'Products Index'!$A:$E,5,FALSE)),0)</f>
        <v>0</v>
      </c>
      <c r="J264" s="16">
        <f>IFERROR((INDEX(Overheads!$H:$H, MATCH(TEXT(B264,"yyyy-mm"), TEXT(Overheads!$A:$A,"yyyy-mm"),0)) / MAX(SUMIFS($H:$H,$B:$B,"&gt;="&amp;EOMONTH(B264,-1)+1,$B:$B,"&lt;="&amp;EOMONTH(B264,0)),1)) * H264,0)</f>
        <v>0</v>
      </c>
      <c r="K264" s="16">
        <f t="shared" ca="1" si="13"/>
        <v>0</v>
      </c>
      <c r="L264" s="16">
        <f t="shared" ca="1" si="14"/>
        <v>0</v>
      </c>
      <c r="M264" s="11"/>
    </row>
    <row r="265" spans="2:13">
      <c r="B265" s="30"/>
      <c r="C265" s="11"/>
      <c r="D265" t="str">
        <f>IFERROR(VLOOKUP(C265,'Products Index'!$A:$B,2,FALSE),"")</f>
        <v/>
      </c>
      <c r="E265" s="25"/>
      <c r="F265" s="25"/>
      <c r="G265" s="25"/>
      <c r="H265">
        <f t="shared" si="12"/>
        <v>0</v>
      </c>
      <c r="I265" s="16">
        <f ca="1">IFERROR(INDIRECT("'"&amp;D265&amp;"'!$B$18")*(E265/VLOOKUP(C265,'Products Index'!$A:$E,5,FALSE)),0)</f>
        <v>0</v>
      </c>
      <c r="J265" s="16">
        <f>IFERROR((INDEX(Overheads!$H:$H, MATCH(TEXT(B265,"yyyy-mm"), TEXT(Overheads!$A:$A,"yyyy-mm"),0)) / MAX(SUMIFS($H:$H,$B:$B,"&gt;="&amp;EOMONTH(B265,-1)+1,$B:$B,"&lt;="&amp;EOMONTH(B265,0)),1)) * H265,0)</f>
        <v>0</v>
      </c>
      <c r="K265" s="16">
        <f t="shared" ca="1" si="13"/>
        <v>0</v>
      </c>
      <c r="L265" s="16">
        <f t="shared" ca="1" si="14"/>
        <v>0</v>
      </c>
      <c r="M265" s="11"/>
    </row>
    <row r="266" spans="2:13">
      <c r="B266" s="30"/>
      <c r="C266" s="11"/>
      <c r="D266" t="str">
        <f>IFERROR(VLOOKUP(C266,'Products Index'!$A:$B,2,FALSE),"")</f>
        <v/>
      </c>
      <c r="E266" s="25"/>
      <c r="F266" s="25"/>
      <c r="G266" s="25"/>
      <c r="H266">
        <f t="shared" si="12"/>
        <v>0</v>
      </c>
      <c r="I266" s="16">
        <f ca="1">IFERROR(INDIRECT("'"&amp;D266&amp;"'!$B$18")*(E266/VLOOKUP(C266,'Products Index'!$A:$E,5,FALSE)),0)</f>
        <v>0</v>
      </c>
      <c r="J266" s="16">
        <f>IFERROR((INDEX(Overheads!$H:$H, MATCH(TEXT(B266,"yyyy-mm"), TEXT(Overheads!$A:$A,"yyyy-mm"),0)) / MAX(SUMIFS($H:$H,$B:$B,"&gt;="&amp;EOMONTH(B266,-1)+1,$B:$B,"&lt;="&amp;EOMONTH(B266,0)),1)) * H266,0)</f>
        <v>0</v>
      </c>
      <c r="K266" s="16">
        <f t="shared" ca="1" si="13"/>
        <v>0</v>
      </c>
      <c r="L266" s="16">
        <f t="shared" ca="1" si="14"/>
        <v>0</v>
      </c>
      <c r="M266" s="11"/>
    </row>
    <row r="267" spans="2:13">
      <c r="B267" s="30"/>
      <c r="C267" s="11"/>
      <c r="D267" t="str">
        <f>IFERROR(VLOOKUP(C267,'Products Index'!$A:$B,2,FALSE),"")</f>
        <v/>
      </c>
      <c r="E267" s="25"/>
      <c r="F267" s="25"/>
      <c r="G267" s="25"/>
      <c r="H267">
        <f t="shared" si="12"/>
        <v>0</v>
      </c>
      <c r="I267" s="16">
        <f ca="1">IFERROR(INDIRECT("'"&amp;D267&amp;"'!$B$18")*(E267/VLOOKUP(C267,'Products Index'!$A:$E,5,FALSE)),0)</f>
        <v>0</v>
      </c>
      <c r="J267" s="16">
        <f>IFERROR((INDEX(Overheads!$H:$H, MATCH(TEXT(B267,"yyyy-mm"), TEXT(Overheads!$A:$A,"yyyy-mm"),0)) / MAX(SUMIFS($H:$H,$B:$B,"&gt;="&amp;EOMONTH(B267,-1)+1,$B:$B,"&lt;="&amp;EOMONTH(B267,0)),1)) * H267,0)</f>
        <v>0</v>
      </c>
      <c r="K267" s="16">
        <f t="shared" ca="1" si="13"/>
        <v>0</v>
      </c>
      <c r="L267" s="16">
        <f t="shared" ca="1" si="14"/>
        <v>0</v>
      </c>
      <c r="M267" s="11"/>
    </row>
    <row r="268" spans="2:13">
      <c r="B268" s="30"/>
      <c r="C268" s="11"/>
      <c r="D268" t="str">
        <f>IFERROR(VLOOKUP(C268,'Products Index'!$A:$B,2,FALSE),"")</f>
        <v/>
      </c>
      <c r="E268" s="25"/>
      <c r="F268" s="25"/>
      <c r="G268" s="25"/>
      <c r="H268">
        <f t="shared" si="12"/>
        <v>0</v>
      </c>
      <c r="I268" s="16">
        <f ca="1">IFERROR(INDIRECT("'"&amp;D268&amp;"'!$B$18")*(E268/VLOOKUP(C268,'Products Index'!$A:$E,5,FALSE)),0)</f>
        <v>0</v>
      </c>
      <c r="J268" s="16">
        <f>IFERROR((INDEX(Overheads!$H:$H, MATCH(TEXT(B268,"yyyy-mm"), TEXT(Overheads!$A:$A,"yyyy-mm"),0)) / MAX(SUMIFS($H:$H,$B:$B,"&gt;="&amp;EOMONTH(B268,-1)+1,$B:$B,"&lt;="&amp;EOMONTH(B268,0)),1)) * H268,0)</f>
        <v>0</v>
      </c>
      <c r="K268" s="16">
        <f t="shared" ca="1" si="13"/>
        <v>0</v>
      </c>
      <c r="L268" s="16">
        <f t="shared" ca="1" si="14"/>
        <v>0</v>
      </c>
      <c r="M268" s="11"/>
    </row>
    <row r="269" spans="2:13">
      <c r="B269" s="30"/>
      <c r="C269" s="11"/>
      <c r="D269" t="str">
        <f>IFERROR(VLOOKUP(C269,'Products Index'!$A:$B,2,FALSE),"")</f>
        <v/>
      </c>
      <c r="E269" s="25"/>
      <c r="F269" s="25"/>
      <c r="G269" s="25"/>
      <c r="H269">
        <f t="shared" si="12"/>
        <v>0</v>
      </c>
      <c r="I269" s="16">
        <f ca="1">IFERROR(INDIRECT("'"&amp;D269&amp;"'!$B$18")*(E269/VLOOKUP(C269,'Products Index'!$A:$E,5,FALSE)),0)</f>
        <v>0</v>
      </c>
      <c r="J269" s="16">
        <f>IFERROR((INDEX(Overheads!$H:$H, MATCH(TEXT(B269,"yyyy-mm"), TEXT(Overheads!$A:$A,"yyyy-mm"),0)) / MAX(SUMIFS($H:$H,$B:$B,"&gt;="&amp;EOMONTH(B269,-1)+1,$B:$B,"&lt;="&amp;EOMONTH(B269,0)),1)) * H269,0)</f>
        <v>0</v>
      </c>
      <c r="K269" s="16">
        <f t="shared" ca="1" si="13"/>
        <v>0</v>
      </c>
      <c r="L269" s="16">
        <f t="shared" ca="1" si="14"/>
        <v>0</v>
      </c>
      <c r="M269" s="11"/>
    </row>
    <row r="270" spans="2:13">
      <c r="B270" s="30"/>
      <c r="C270" s="11"/>
      <c r="D270" t="str">
        <f>IFERROR(VLOOKUP(C270,'Products Index'!$A:$B,2,FALSE),"")</f>
        <v/>
      </c>
      <c r="E270" s="25"/>
      <c r="F270" s="25"/>
      <c r="G270" s="25"/>
      <c r="H270">
        <f t="shared" si="12"/>
        <v>0</v>
      </c>
      <c r="I270" s="16">
        <f ca="1">IFERROR(INDIRECT("'"&amp;D270&amp;"'!$B$18")*(E270/VLOOKUP(C270,'Products Index'!$A:$E,5,FALSE)),0)</f>
        <v>0</v>
      </c>
      <c r="J270" s="16">
        <f>IFERROR((INDEX(Overheads!$H:$H, MATCH(TEXT(B270,"yyyy-mm"), TEXT(Overheads!$A:$A,"yyyy-mm"),0)) / MAX(SUMIFS($H:$H,$B:$B,"&gt;="&amp;EOMONTH(B270,-1)+1,$B:$B,"&lt;="&amp;EOMONTH(B270,0)),1)) * H270,0)</f>
        <v>0</v>
      </c>
      <c r="K270" s="16">
        <f t="shared" ca="1" si="13"/>
        <v>0</v>
      </c>
      <c r="L270" s="16">
        <f t="shared" ca="1" si="14"/>
        <v>0</v>
      </c>
      <c r="M270" s="11"/>
    </row>
    <row r="271" spans="2:13">
      <c r="B271" s="30"/>
      <c r="C271" s="11"/>
      <c r="D271" t="str">
        <f>IFERROR(VLOOKUP(C271,'Products Index'!$A:$B,2,FALSE),"")</f>
        <v/>
      </c>
      <c r="E271" s="25"/>
      <c r="F271" s="25"/>
      <c r="G271" s="25"/>
      <c r="H271">
        <f t="shared" si="12"/>
        <v>0</v>
      </c>
      <c r="I271" s="16">
        <f ca="1">IFERROR(INDIRECT("'"&amp;D271&amp;"'!$B$18")*(E271/VLOOKUP(C271,'Products Index'!$A:$E,5,FALSE)),0)</f>
        <v>0</v>
      </c>
      <c r="J271" s="16">
        <f>IFERROR((INDEX(Overheads!$H:$H, MATCH(TEXT(B271,"yyyy-mm"), TEXT(Overheads!$A:$A,"yyyy-mm"),0)) / MAX(SUMIFS($H:$H,$B:$B,"&gt;="&amp;EOMONTH(B271,-1)+1,$B:$B,"&lt;="&amp;EOMONTH(B271,0)),1)) * H271,0)</f>
        <v>0</v>
      </c>
      <c r="K271" s="16">
        <f t="shared" ca="1" si="13"/>
        <v>0</v>
      </c>
      <c r="L271" s="16">
        <f t="shared" ca="1" si="14"/>
        <v>0</v>
      </c>
      <c r="M271" s="11"/>
    </row>
    <row r="272" spans="2:13">
      <c r="B272" s="30"/>
      <c r="C272" s="11"/>
      <c r="D272" t="str">
        <f>IFERROR(VLOOKUP(C272,'Products Index'!$A:$B,2,FALSE),"")</f>
        <v/>
      </c>
      <c r="E272" s="25"/>
      <c r="F272" s="25"/>
      <c r="G272" s="25"/>
      <c r="H272">
        <f t="shared" si="12"/>
        <v>0</v>
      </c>
      <c r="I272" s="16">
        <f ca="1">IFERROR(INDIRECT("'"&amp;D272&amp;"'!$B$18")*(E272/VLOOKUP(C272,'Products Index'!$A:$E,5,FALSE)),0)</f>
        <v>0</v>
      </c>
      <c r="J272" s="16">
        <f>IFERROR((INDEX(Overheads!$H:$H, MATCH(TEXT(B272,"yyyy-mm"), TEXT(Overheads!$A:$A,"yyyy-mm"),0)) / MAX(SUMIFS($H:$H,$B:$B,"&gt;="&amp;EOMONTH(B272,-1)+1,$B:$B,"&lt;="&amp;EOMONTH(B272,0)),1)) * H272,0)</f>
        <v>0</v>
      </c>
      <c r="K272" s="16">
        <f t="shared" ca="1" si="13"/>
        <v>0</v>
      </c>
      <c r="L272" s="16">
        <f t="shared" ca="1" si="14"/>
        <v>0</v>
      </c>
      <c r="M272" s="11"/>
    </row>
    <row r="273" spans="2:13">
      <c r="B273" s="30"/>
      <c r="C273" s="11"/>
      <c r="D273" t="str">
        <f>IFERROR(VLOOKUP(C273,'Products Index'!$A:$B,2,FALSE),"")</f>
        <v/>
      </c>
      <c r="E273" s="25"/>
      <c r="F273" s="25"/>
      <c r="G273" s="25"/>
      <c r="H273">
        <f t="shared" si="12"/>
        <v>0</v>
      </c>
      <c r="I273" s="16">
        <f ca="1">IFERROR(INDIRECT("'"&amp;D273&amp;"'!$B$18")*(E273/VLOOKUP(C273,'Products Index'!$A:$E,5,FALSE)),0)</f>
        <v>0</v>
      </c>
      <c r="J273" s="16">
        <f>IFERROR((INDEX(Overheads!$H:$H, MATCH(TEXT(B273,"yyyy-mm"), TEXT(Overheads!$A:$A,"yyyy-mm"),0)) / MAX(SUMIFS($H:$H,$B:$B,"&gt;="&amp;EOMONTH(B273,-1)+1,$B:$B,"&lt;="&amp;EOMONTH(B273,0)),1)) * H273,0)</f>
        <v>0</v>
      </c>
      <c r="K273" s="16">
        <f t="shared" ca="1" si="13"/>
        <v>0</v>
      </c>
      <c r="L273" s="16">
        <f t="shared" ca="1" si="14"/>
        <v>0</v>
      </c>
      <c r="M273" s="11"/>
    </row>
    <row r="274" spans="2:13">
      <c r="B274" s="30"/>
      <c r="C274" s="11"/>
      <c r="D274" t="str">
        <f>IFERROR(VLOOKUP(C274,'Products Index'!$A:$B,2,FALSE),"")</f>
        <v/>
      </c>
      <c r="E274" s="25"/>
      <c r="F274" s="25"/>
      <c r="G274" s="25"/>
      <c r="H274">
        <f t="shared" si="12"/>
        <v>0</v>
      </c>
      <c r="I274" s="16">
        <f ca="1">IFERROR(INDIRECT("'"&amp;D274&amp;"'!$B$18")*(E274/VLOOKUP(C274,'Products Index'!$A:$E,5,FALSE)),0)</f>
        <v>0</v>
      </c>
      <c r="J274" s="16">
        <f>IFERROR((INDEX(Overheads!$H:$H, MATCH(TEXT(B274,"yyyy-mm"), TEXT(Overheads!$A:$A,"yyyy-mm"),0)) / MAX(SUMIFS($H:$H,$B:$B,"&gt;="&amp;EOMONTH(B274,-1)+1,$B:$B,"&lt;="&amp;EOMONTH(B274,0)),1)) * H274,0)</f>
        <v>0</v>
      </c>
      <c r="K274" s="16">
        <f t="shared" ca="1" si="13"/>
        <v>0</v>
      </c>
      <c r="L274" s="16">
        <f t="shared" ca="1" si="14"/>
        <v>0</v>
      </c>
      <c r="M274" s="11"/>
    </row>
    <row r="275" spans="2:13">
      <c r="B275" s="30"/>
      <c r="C275" s="11"/>
      <c r="D275" t="str">
        <f>IFERROR(VLOOKUP(C275,'Products Index'!$A:$B,2,FALSE),"")</f>
        <v/>
      </c>
      <c r="E275" s="25"/>
      <c r="F275" s="25"/>
      <c r="G275" s="25"/>
      <c r="H275">
        <f t="shared" si="12"/>
        <v>0</v>
      </c>
      <c r="I275" s="16">
        <f ca="1">IFERROR(INDIRECT("'"&amp;D275&amp;"'!$B$18")*(E275/VLOOKUP(C275,'Products Index'!$A:$E,5,FALSE)),0)</f>
        <v>0</v>
      </c>
      <c r="J275" s="16">
        <f>IFERROR((INDEX(Overheads!$H:$H, MATCH(TEXT(B275,"yyyy-mm"), TEXT(Overheads!$A:$A,"yyyy-mm"),0)) / MAX(SUMIFS($H:$H,$B:$B,"&gt;="&amp;EOMONTH(B275,-1)+1,$B:$B,"&lt;="&amp;EOMONTH(B275,0)),1)) * H275,0)</f>
        <v>0</v>
      </c>
      <c r="K275" s="16">
        <f t="shared" ca="1" si="13"/>
        <v>0</v>
      </c>
      <c r="L275" s="16">
        <f t="shared" ca="1" si="14"/>
        <v>0</v>
      </c>
      <c r="M275" s="11"/>
    </row>
    <row r="276" spans="2:13">
      <c r="B276" s="30"/>
      <c r="C276" s="11"/>
      <c r="D276" t="str">
        <f>IFERROR(VLOOKUP(C276,'Products Index'!$A:$B,2,FALSE),"")</f>
        <v/>
      </c>
      <c r="E276" s="25"/>
      <c r="F276" s="25"/>
      <c r="G276" s="25"/>
      <c r="H276">
        <f t="shared" si="12"/>
        <v>0</v>
      </c>
      <c r="I276" s="16">
        <f ca="1">IFERROR(INDIRECT("'"&amp;D276&amp;"'!$B$18")*(E276/VLOOKUP(C276,'Products Index'!$A:$E,5,FALSE)),0)</f>
        <v>0</v>
      </c>
      <c r="J276" s="16">
        <f>IFERROR((INDEX(Overheads!$H:$H, MATCH(TEXT(B276,"yyyy-mm"), TEXT(Overheads!$A:$A,"yyyy-mm"),0)) / MAX(SUMIFS($H:$H,$B:$B,"&gt;="&amp;EOMONTH(B276,-1)+1,$B:$B,"&lt;="&amp;EOMONTH(B276,0)),1)) * H276,0)</f>
        <v>0</v>
      </c>
      <c r="K276" s="16">
        <f t="shared" ca="1" si="13"/>
        <v>0</v>
      </c>
      <c r="L276" s="16">
        <f t="shared" ca="1" si="14"/>
        <v>0</v>
      </c>
      <c r="M276" s="11"/>
    </row>
    <row r="277" spans="2:13">
      <c r="B277" s="30"/>
      <c r="C277" s="11"/>
      <c r="D277" t="str">
        <f>IFERROR(VLOOKUP(C277,'Products Index'!$A:$B,2,FALSE),"")</f>
        <v/>
      </c>
      <c r="E277" s="25"/>
      <c r="F277" s="25"/>
      <c r="G277" s="25"/>
      <c r="H277">
        <f t="shared" si="12"/>
        <v>0</v>
      </c>
      <c r="I277" s="16">
        <f ca="1">IFERROR(INDIRECT("'"&amp;D277&amp;"'!$B$18")*(E277/VLOOKUP(C277,'Products Index'!$A:$E,5,FALSE)),0)</f>
        <v>0</v>
      </c>
      <c r="J277" s="16">
        <f>IFERROR((INDEX(Overheads!$H:$H, MATCH(TEXT(B277,"yyyy-mm"), TEXT(Overheads!$A:$A,"yyyy-mm"),0)) / MAX(SUMIFS($H:$H,$B:$B,"&gt;="&amp;EOMONTH(B277,-1)+1,$B:$B,"&lt;="&amp;EOMONTH(B277,0)),1)) * H277,0)</f>
        <v>0</v>
      </c>
      <c r="K277" s="16">
        <f t="shared" ca="1" si="13"/>
        <v>0</v>
      </c>
      <c r="L277" s="16">
        <f t="shared" ca="1" si="14"/>
        <v>0</v>
      </c>
      <c r="M277" s="11"/>
    </row>
    <row r="278" spans="2:13">
      <c r="B278" s="30"/>
      <c r="C278" s="11"/>
      <c r="D278" t="str">
        <f>IFERROR(VLOOKUP(C278,'Products Index'!$A:$B,2,FALSE),"")</f>
        <v/>
      </c>
      <c r="E278" s="25"/>
      <c r="F278" s="25"/>
      <c r="G278" s="25"/>
      <c r="H278">
        <f t="shared" si="12"/>
        <v>0</v>
      </c>
      <c r="I278" s="16">
        <f ca="1">IFERROR(INDIRECT("'"&amp;D278&amp;"'!$B$18")*(E278/VLOOKUP(C278,'Products Index'!$A:$E,5,FALSE)),0)</f>
        <v>0</v>
      </c>
      <c r="J278" s="16">
        <f>IFERROR((INDEX(Overheads!$H:$H, MATCH(TEXT(B278,"yyyy-mm"), TEXT(Overheads!$A:$A,"yyyy-mm"),0)) / MAX(SUMIFS($H:$H,$B:$B,"&gt;="&amp;EOMONTH(B278,-1)+1,$B:$B,"&lt;="&amp;EOMONTH(B278,0)),1)) * H278,0)</f>
        <v>0</v>
      </c>
      <c r="K278" s="16">
        <f t="shared" ca="1" si="13"/>
        <v>0</v>
      </c>
      <c r="L278" s="16">
        <f t="shared" ca="1" si="14"/>
        <v>0</v>
      </c>
      <c r="M278" s="11"/>
    </row>
    <row r="279" spans="2:13">
      <c r="B279" s="30"/>
      <c r="C279" s="11"/>
      <c r="D279" t="str">
        <f>IFERROR(VLOOKUP(C279,'Products Index'!$A:$B,2,FALSE),"")</f>
        <v/>
      </c>
      <c r="E279" s="25"/>
      <c r="F279" s="25"/>
      <c r="G279" s="25"/>
      <c r="H279">
        <f t="shared" si="12"/>
        <v>0</v>
      </c>
      <c r="I279" s="16">
        <f ca="1">IFERROR(INDIRECT("'"&amp;D279&amp;"'!$B$18")*(E279/VLOOKUP(C279,'Products Index'!$A:$E,5,FALSE)),0)</f>
        <v>0</v>
      </c>
      <c r="J279" s="16">
        <f>IFERROR((INDEX(Overheads!$H:$H, MATCH(TEXT(B279,"yyyy-mm"), TEXT(Overheads!$A:$A,"yyyy-mm"),0)) / MAX(SUMIFS($H:$H,$B:$B,"&gt;="&amp;EOMONTH(B279,-1)+1,$B:$B,"&lt;="&amp;EOMONTH(B279,0)),1)) * H279,0)</f>
        <v>0</v>
      </c>
      <c r="K279" s="16">
        <f t="shared" ca="1" si="13"/>
        <v>0</v>
      </c>
      <c r="L279" s="16">
        <f t="shared" ca="1" si="14"/>
        <v>0</v>
      </c>
      <c r="M279" s="11"/>
    </row>
    <row r="280" spans="2:13">
      <c r="B280" s="30"/>
      <c r="C280" s="11"/>
      <c r="D280" t="str">
        <f>IFERROR(VLOOKUP(C280,'Products Index'!$A:$B,2,FALSE),"")</f>
        <v/>
      </c>
      <c r="E280" s="25"/>
      <c r="F280" s="25"/>
      <c r="G280" s="25"/>
      <c r="H280">
        <f t="shared" si="12"/>
        <v>0</v>
      </c>
      <c r="I280" s="16">
        <f ca="1">IFERROR(INDIRECT("'"&amp;D280&amp;"'!$B$18")*(E280/VLOOKUP(C280,'Products Index'!$A:$E,5,FALSE)),0)</f>
        <v>0</v>
      </c>
      <c r="J280" s="16">
        <f>IFERROR((INDEX(Overheads!$H:$H, MATCH(TEXT(B280,"yyyy-mm"), TEXT(Overheads!$A:$A,"yyyy-mm"),0)) / MAX(SUMIFS($H:$H,$B:$B,"&gt;="&amp;EOMONTH(B280,-1)+1,$B:$B,"&lt;="&amp;EOMONTH(B280,0)),1)) * H280,0)</f>
        <v>0</v>
      </c>
      <c r="K280" s="16">
        <f t="shared" ca="1" si="13"/>
        <v>0</v>
      </c>
      <c r="L280" s="16">
        <f t="shared" ca="1" si="14"/>
        <v>0</v>
      </c>
      <c r="M280" s="11"/>
    </row>
    <row r="281" spans="2:13">
      <c r="B281" s="30"/>
      <c r="C281" s="11"/>
      <c r="D281" t="str">
        <f>IFERROR(VLOOKUP(C281,'Products Index'!$A:$B,2,FALSE),"")</f>
        <v/>
      </c>
      <c r="E281" s="25"/>
      <c r="F281" s="25"/>
      <c r="G281" s="25"/>
      <c r="H281">
        <f t="shared" si="12"/>
        <v>0</v>
      </c>
      <c r="I281" s="16">
        <f ca="1">IFERROR(INDIRECT("'"&amp;D281&amp;"'!$B$18")*(E281/VLOOKUP(C281,'Products Index'!$A:$E,5,FALSE)),0)</f>
        <v>0</v>
      </c>
      <c r="J281" s="16">
        <f>IFERROR((INDEX(Overheads!$H:$H, MATCH(TEXT(B281,"yyyy-mm"), TEXT(Overheads!$A:$A,"yyyy-mm"),0)) / MAX(SUMIFS($H:$H,$B:$B,"&gt;="&amp;EOMONTH(B281,-1)+1,$B:$B,"&lt;="&amp;EOMONTH(B281,0)),1)) * H281,0)</f>
        <v>0</v>
      </c>
      <c r="K281" s="16">
        <f t="shared" ca="1" si="13"/>
        <v>0</v>
      </c>
      <c r="L281" s="16">
        <f t="shared" ca="1" si="14"/>
        <v>0</v>
      </c>
      <c r="M281" s="11"/>
    </row>
    <row r="282" spans="2:13">
      <c r="B282" s="30"/>
      <c r="C282" s="11"/>
      <c r="D282" t="str">
        <f>IFERROR(VLOOKUP(C282,'Products Index'!$A:$B,2,FALSE),"")</f>
        <v/>
      </c>
      <c r="E282" s="25"/>
      <c r="F282" s="25"/>
      <c r="G282" s="25"/>
      <c r="H282">
        <f t="shared" si="12"/>
        <v>0</v>
      </c>
      <c r="I282" s="16">
        <f ca="1">IFERROR(INDIRECT("'"&amp;D282&amp;"'!$B$18")*(E282/VLOOKUP(C282,'Products Index'!$A:$E,5,FALSE)),0)</f>
        <v>0</v>
      </c>
      <c r="J282" s="16">
        <f>IFERROR((INDEX(Overheads!$H:$H, MATCH(TEXT(B282,"yyyy-mm"), TEXT(Overheads!$A:$A,"yyyy-mm"),0)) / MAX(SUMIFS($H:$H,$B:$B,"&gt;="&amp;EOMONTH(B282,-1)+1,$B:$B,"&lt;="&amp;EOMONTH(B282,0)),1)) * H282,0)</f>
        <v>0</v>
      </c>
      <c r="K282" s="16">
        <f t="shared" ca="1" si="13"/>
        <v>0</v>
      </c>
      <c r="L282" s="16">
        <f t="shared" ca="1" si="14"/>
        <v>0</v>
      </c>
      <c r="M282" s="11"/>
    </row>
    <row r="283" spans="2:13">
      <c r="B283" s="30"/>
      <c r="C283" s="11"/>
      <c r="D283" t="str">
        <f>IFERROR(VLOOKUP(C283,'Products Index'!$A:$B,2,FALSE),"")</f>
        <v/>
      </c>
      <c r="E283" s="25"/>
      <c r="F283" s="25"/>
      <c r="G283" s="25"/>
      <c r="H283">
        <f t="shared" si="12"/>
        <v>0</v>
      </c>
      <c r="I283" s="16">
        <f ca="1">IFERROR(INDIRECT("'"&amp;D283&amp;"'!$B$18")*(E283/VLOOKUP(C283,'Products Index'!$A:$E,5,FALSE)),0)</f>
        <v>0</v>
      </c>
      <c r="J283" s="16">
        <f>IFERROR((INDEX(Overheads!$H:$H, MATCH(TEXT(B283,"yyyy-mm"), TEXT(Overheads!$A:$A,"yyyy-mm"),0)) / MAX(SUMIFS($H:$H,$B:$B,"&gt;="&amp;EOMONTH(B283,-1)+1,$B:$B,"&lt;="&amp;EOMONTH(B283,0)),1)) * H283,0)</f>
        <v>0</v>
      </c>
      <c r="K283" s="16">
        <f t="shared" ca="1" si="13"/>
        <v>0</v>
      </c>
      <c r="L283" s="16">
        <f t="shared" ca="1" si="14"/>
        <v>0</v>
      </c>
      <c r="M283" s="11"/>
    </row>
    <row r="284" spans="2:13">
      <c r="B284" s="30"/>
      <c r="C284" s="11"/>
      <c r="D284" t="str">
        <f>IFERROR(VLOOKUP(C284,'Products Index'!$A:$B,2,FALSE),"")</f>
        <v/>
      </c>
      <c r="E284" s="25"/>
      <c r="F284" s="25"/>
      <c r="G284" s="25"/>
      <c r="H284">
        <f t="shared" si="12"/>
        <v>0</v>
      </c>
      <c r="I284" s="16">
        <f ca="1">IFERROR(INDIRECT("'"&amp;D284&amp;"'!$B$18")*(E284/VLOOKUP(C284,'Products Index'!$A:$E,5,FALSE)),0)</f>
        <v>0</v>
      </c>
      <c r="J284" s="16">
        <f>IFERROR((INDEX(Overheads!$H:$H, MATCH(TEXT(B284,"yyyy-mm"), TEXT(Overheads!$A:$A,"yyyy-mm"),0)) / MAX(SUMIFS($H:$H,$B:$B,"&gt;="&amp;EOMONTH(B284,-1)+1,$B:$B,"&lt;="&amp;EOMONTH(B284,0)),1)) * H284,0)</f>
        <v>0</v>
      </c>
      <c r="K284" s="16">
        <f t="shared" ca="1" si="13"/>
        <v>0</v>
      </c>
      <c r="L284" s="16">
        <f t="shared" ca="1" si="14"/>
        <v>0</v>
      </c>
      <c r="M284" s="11"/>
    </row>
    <row r="285" spans="2:13">
      <c r="B285" s="30"/>
      <c r="C285" s="11"/>
      <c r="D285" t="str">
        <f>IFERROR(VLOOKUP(C285,'Products Index'!$A:$B,2,FALSE),"")</f>
        <v/>
      </c>
      <c r="E285" s="25"/>
      <c r="F285" s="25"/>
      <c r="G285" s="25"/>
      <c r="H285">
        <f t="shared" si="12"/>
        <v>0</v>
      </c>
      <c r="I285" s="16">
        <f ca="1">IFERROR(INDIRECT("'"&amp;D285&amp;"'!$B$18")*(E285/VLOOKUP(C285,'Products Index'!$A:$E,5,FALSE)),0)</f>
        <v>0</v>
      </c>
      <c r="J285" s="16">
        <f>IFERROR((INDEX(Overheads!$H:$H, MATCH(TEXT(B285,"yyyy-mm"), TEXT(Overheads!$A:$A,"yyyy-mm"),0)) / MAX(SUMIFS($H:$H,$B:$B,"&gt;="&amp;EOMONTH(B285,-1)+1,$B:$B,"&lt;="&amp;EOMONTH(B285,0)),1)) * H285,0)</f>
        <v>0</v>
      </c>
      <c r="K285" s="16">
        <f t="shared" ca="1" si="13"/>
        <v>0</v>
      </c>
      <c r="L285" s="16">
        <f t="shared" ca="1" si="14"/>
        <v>0</v>
      </c>
      <c r="M285" s="11"/>
    </row>
    <row r="286" spans="2:13">
      <c r="B286" s="30"/>
      <c r="C286" s="11"/>
      <c r="D286" t="str">
        <f>IFERROR(VLOOKUP(C286,'Products Index'!$A:$B,2,FALSE),"")</f>
        <v/>
      </c>
      <c r="E286" s="25"/>
      <c r="F286" s="25"/>
      <c r="G286" s="25"/>
      <c r="H286">
        <f t="shared" si="12"/>
        <v>0</v>
      </c>
      <c r="I286" s="16">
        <f ca="1">IFERROR(INDIRECT("'"&amp;D286&amp;"'!$B$18")*(E286/VLOOKUP(C286,'Products Index'!$A:$E,5,FALSE)),0)</f>
        <v>0</v>
      </c>
      <c r="J286" s="16">
        <f>IFERROR((INDEX(Overheads!$H:$H, MATCH(TEXT(B286,"yyyy-mm"), TEXT(Overheads!$A:$A,"yyyy-mm"),0)) / MAX(SUMIFS($H:$H,$B:$B,"&gt;="&amp;EOMONTH(B286,-1)+1,$B:$B,"&lt;="&amp;EOMONTH(B286,0)),1)) * H286,0)</f>
        <v>0</v>
      </c>
      <c r="K286" s="16">
        <f t="shared" ca="1" si="13"/>
        <v>0</v>
      </c>
      <c r="L286" s="16">
        <f t="shared" ca="1" si="14"/>
        <v>0</v>
      </c>
      <c r="M286" s="11"/>
    </row>
    <row r="287" spans="2:13">
      <c r="B287" s="30"/>
      <c r="C287" s="11"/>
      <c r="D287" t="str">
        <f>IFERROR(VLOOKUP(C287,'Products Index'!$A:$B,2,FALSE),"")</f>
        <v/>
      </c>
      <c r="E287" s="25"/>
      <c r="F287" s="25"/>
      <c r="G287" s="25"/>
      <c r="H287">
        <f t="shared" si="12"/>
        <v>0</v>
      </c>
      <c r="I287" s="16">
        <f ca="1">IFERROR(INDIRECT("'"&amp;D287&amp;"'!$B$18")*(E287/VLOOKUP(C287,'Products Index'!$A:$E,5,FALSE)),0)</f>
        <v>0</v>
      </c>
      <c r="J287" s="16">
        <f>IFERROR((INDEX(Overheads!$H:$H, MATCH(TEXT(B287,"yyyy-mm"), TEXT(Overheads!$A:$A,"yyyy-mm"),0)) / MAX(SUMIFS($H:$H,$B:$B,"&gt;="&amp;EOMONTH(B287,-1)+1,$B:$B,"&lt;="&amp;EOMONTH(B287,0)),1)) * H287,0)</f>
        <v>0</v>
      </c>
      <c r="K287" s="16">
        <f t="shared" ca="1" si="13"/>
        <v>0</v>
      </c>
      <c r="L287" s="16">
        <f t="shared" ca="1" si="14"/>
        <v>0</v>
      </c>
      <c r="M287" s="11"/>
    </row>
    <row r="288" spans="2:13">
      <c r="B288" s="30"/>
      <c r="C288" s="11"/>
      <c r="D288" t="str">
        <f>IFERROR(VLOOKUP(C288,'Products Index'!$A:$B,2,FALSE),"")</f>
        <v/>
      </c>
      <c r="E288" s="25"/>
      <c r="F288" s="25"/>
      <c r="G288" s="25"/>
      <c r="H288">
        <f t="shared" si="12"/>
        <v>0</v>
      </c>
      <c r="I288" s="16">
        <f ca="1">IFERROR(INDIRECT("'"&amp;D288&amp;"'!$B$18")*(E288/VLOOKUP(C288,'Products Index'!$A:$E,5,FALSE)),0)</f>
        <v>0</v>
      </c>
      <c r="J288" s="16">
        <f>IFERROR((INDEX(Overheads!$H:$H, MATCH(TEXT(B288,"yyyy-mm"), TEXT(Overheads!$A:$A,"yyyy-mm"),0)) / MAX(SUMIFS($H:$H,$B:$B,"&gt;="&amp;EOMONTH(B288,-1)+1,$B:$B,"&lt;="&amp;EOMONTH(B288,0)),1)) * H288,0)</f>
        <v>0</v>
      </c>
      <c r="K288" s="16">
        <f t="shared" ca="1" si="13"/>
        <v>0</v>
      </c>
      <c r="L288" s="16">
        <f t="shared" ca="1" si="14"/>
        <v>0</v>
      </c>
      <c r="M288" s="11"/>
    </row>
    <row r="289" spans="2:13">
      <c r="B289" s="30"/>
      <c r="C289" s="11"/>
      <c r="D289" t="str">
        <f>IFERROR(VLOOKUP(C289,'Products Index'!$A:$B,2,FALSE),"")</f>
        <v/>
      </c>
      <c r="E289" s="25"/>
      <c r="F289" s="25"/>
      <c r="G289" s="25"/>
      <c r="H289">
        <f t="shared" si="12"/>
        <v>0</v>
      </c>
      <c r="I289" s="16">
        <f ca="1">IFERROR(INDIRECT("'"&amp;D289&amp;"'!$B$18")*(E289/VLOOKUP(C289,'Products Index'!$A:$E,5,FALSE)),0)</f>
        <v>0</v>
      </c>
      <c r="J289" s="16">
        <f>IFERROR((INDEX(Overheads!$H:$H, MATCH(TEXT(B289,"yyyy-mm"), TEXT(Overheads!$A:$A,"yyyy-mm"),0)) / MAX(SUMIFS($H:$H,$B:$B,"&gt;="&amp;EOMONTH(B289,-1)+1,$B:$B,"&lt;="&amp;EOMONTH(B289,0)),1)) * H289,0)</f>
        <v>0</v>
      </c>
      <c r="K289" s="16">
        <f t="shared" ca="1" si="13"/>
        <v>0</v>
      </c>
      <c r="L289" s="16">
        <f t="shared" ca="1" si="14"/>
        <v>0</v>
      </c>
      <c r="M289" s="11"/>
    </row>
    <row r="290" spans="2:13">
      <c r="B290" s="30"/>
      <c r="C290" s="11"/>
      <c r="D290" t="str">
        <f>IFERROR(VLOOKUP(C290,'Products Index'!$A:$B,2,FALSE),"")</f>
        <v/>
      </c>
      <c r="E290" s="25"/>
      <c r="F290" s="25"/>
      <c r="G290" s="25"/>
      <c r="H290">
        <f t="shared" si="12"/>
        <v>0</v>
      </c>
      <c r="I290" s="16">
        <f ca="1">IFERROR(INDIRECT("'"&amp;D290&amp;"'!$B$18")*(E290/VLOOKUP(C290,'Products Index'!$A:$E,5,FALSE)),0)</f>
        <v>0</v>
      </c>
      <c r="J290" s="16">
        <f>IFERROR((INDEX(Overheads!$H:$H, MATCH(TEXT(B290,"yyyy-mm"), TEXT(Overheads!$A:$A,"yyyy-mm"),0)) / MAX(SUMIFS($H:$H,$B:$B,"&gt;="&amp;EOMONTH(B290,-1)+1,$B:$B,"&lt;="&amp;EOMONTH(B290,0)),1)) * H290,0)</f>
        <v>0</v>
      </c>
      <c r="K290" s="16">
        <f t="shared" ca="1" si="13"/>
        <v>0</v>
      </c>
      <c r="L290" s="16">
        <f t="shared" ca="1" si="14"/>
        <v>0</v>
      </c>
      <c r="M290" s="11"/>
    </row>
    <row r="291" spans="2:13">
      <c r="B291" s="30"/>
      <c r="C291" s="11"/>
      <c r="D291" t="str">
        <f>IFERROR(VLOOKUP(C291,'Products Index'!$A:$B,2,FALSE),"")</f>
        <v/>
      </c>
      <c r="E291" s="25"/>
      <c r="F291" s="25"/>
      <c r="G291" s="25"/>
      <c r="H291">
        <f t="shared" si="12"/>
        <v>0</v>
      </c>
      <c r="I291" s="16">
        <f ca="1">IFERROR(INDIRECT("'"&amp;D291&amp;"'!$B$18")*(E291/VLOOKUP(C291,'Products Index'!$A:$E,5,FALSE)),0)</f>
        <v>0</v>
      </c>
      <c r="J291" s="16">
        <f>IFERROR((INDEX(Overheads!$H:$H, MATCH(TEXT(B291,"yyyy-mm"), TEXT(Overheads!$A:$A,"yyyy-mm"),0)) / MAX(SUMIFS($H:$H,$B:$B,"&gt;="&amp;EOMONTH(B291,-1)+1,$B:$B,"&lt;="&amp;EOMONTH(B291,0)),1)) * H291,0)</f>
        <v>0</v>
      </c>
      <c r="K291" s="16">
        <f t="shared" ca="1" si="13"/>
        <v>0</v>
      </c>
      <c r="L291" s="16">
        <f t="shared" ca="1" si="14"/>
        <v>0</v>
      </c>
      <c r="M291" s="11"/>
    </row>
    <row r="292" spans="2:13">
      <c r="B292" s="30"/>
      <c r="C292" s="11"/>
      <c r="D292" t="str">
        <f>IFERROR(VLOOKUP(C292,'Products Index'!$A:$B,2,FALSE),"")</f>
        <v/>
      </c>
      <c r="E292" s="25"/>
      <c r="F292" s="25"/>
      <c r="G292" s="25"/>
      <c r="H292">
        <f t="shared" si="12"/>
        <v>0</v>
      </c>
      <c r="I292" s="16">
        <f ca="1">IFERROR(INDIRECT("'"&amp;D292&amp;"'!$B$18")*(E292/VLOOKUP(C292,'Products Index'!$A:$E,5,FALSE)),0)</f>
        <v>0</v>
      </c>
      <c r="J292" s="16">
        <f>IFERROR((INDEX(Overheads!$H:$H, MATCH(TEXT(B292,"yyyy-mm"), TEXT(Overheads!$A:$A,"yyyy-mm"),0)) / MAX(SUMIFS($H:$H,$B:$B,"&gt;="&amp;EOMONTH(B292,-1)+1,$B:$B,"&lt;="&amp;EOMONTH(B292,0)),1)) * H292,0)</f>
        <v>0</v>
      </c>
      <c r="K292" s="16">
        <f t="shared" ca="1" si="13"/>
        <v>0</v>
      </c>
      <c r="L292" s="16">
        <f t="shared" ca="1" si="14"/>
        <v>0</v>
      </c>
      <c r="M292" s="11"/>
    </row>
    <row r="293" spans="2:13">
      <c r="B293" s="30"/>
      <c r="C293" s="11"/>
      <c r="D293" t="str">
        <f>IFERROR(VLOOKUP(C293,'Products Index'!$A:$B,2,FALSE),"")</f>
        <v/>
      </c>
      <c r="E293" s="25"/>
      <c r="F293" s="25"/>
      <c r="G293" s="25"/>
      <c r="H293">
        <f t="shared" si="12"/>
        <v>0</v>
      </c>
      <c r="I293" s="16">
        <f ca="1">IFERROR(INDIRECT("'"&amp;D293&amp;"'!$B$18")*(E293/VLOOKUP(C293,'Products Index'!$A:$E,5,FALSE)),0)</f>
        <v>0</v>
      </c>
      <c r="J293" s="16">
        <f>IFERROR((INDEX(Overheads!$H:$H, MATCH(TEXT(B293,"yyyy-mm"), TEXT(Overheads!$A:$A,"yyyy-mm"),0)) / MAX(SUMIFS($H:$H,$B:$B,"&gt;="&amp;EOMONTH(B293,-1)+1,$B:$B,"&lt;="&amp;EOMONTH(B293,0)),1)) * H293,0)</f>
        <v>0</v>
      </c>
      <c r="K293" s="16">
        <f t="shared" ca="1" si="13"/>
        <v>0</v>
      </c>
      <c r="L293" s="16">
        <f t="shared" ca="1" si="14"/>
        <v>0</v>
      </c>
      <c r="M293" s="11"/>
    </row>
    <row r="294" spans="2:13">
      <c r="B294" s="30"/>
      <c r="C294" s="11"/>
      <c r="D294" t="str">
        <f>IFERROR(VLOOKUP(C294,'Products Index'!$A:$B,2,FALSE),"")</f>
        <v/>
      </c>
      <c r="E294" s="25"/>
      <c r="F294" s="25"/>
      <c r="G294" s="25"/>
      <c r="H294">
        <f t="shared" si="12"/>
        <v>0</v>
      </c>
      <c r="I294" s="16">
        <f ca="1">IFERROR(INDIRECT("'"&amp;D294&amp;"'!$B$18")*(E294/VLOOKUP(C294,'Products Index'!$A:$E,5,FALSE)),0)</f>
        <v>0</v>
      </c>
      <c r="J294" s="16">
        <f>IFERROR((INDEX(Overheads!$H:$H, MATCH(TEXT(B294,"yyyy-mm"), TEXT(Overheads!$A:$A,"yyyy-mm"),0)) / MAX(SUMIFS($H:$H,$B:$B,"&gt;="&amp;EOMONTH(B294,-1)+1,$B:$B,"&lt;="&amp;EOMONTH(B294,0)),1)) * H294,0)</f>
        <v>0</v>
      </c>
      <c r="K294" s="16">
        <f t="shared" ca="1" si="13"/>
        <v>0</v>
      </c>
      <c r="L294" s="16">
        <f t="shared" ca="1" si="14"/>
        <v>0</v>
      </c>
      <c r="M294" s="11"/>
    </row>
    <row r="295" spans="2:13">
      <c r="B295" s="30"/>
      <c r="C295" s="11"/>
      <c r="D295" t="str">
        <f>IFERROR(VLOOKUP(C295,'Products Index'!$A:$B,2,FALSE),"")</f>
        <v/>
      </c>
      <c r="E295" s="25"/>
      <c r="F295" s="25"/>
      <c r="G295" s="25"/>
      <c r="H295">
        <f t="shared" si="12"/>
        <v>0</v>
      </c>
      <c r="I295" s="16">
        <f ca="1">IFERROR(INDIRECT("'"&amp;D295&amp;"'!$B$18")*(E295/VLOOKUP(C295,'Products Index'!$A:$E,5,FALSE)),0)</f>
        <v>0</v>
      </c>
      <c r="J295" s="16">
        <f>IFERROR((INDEX(Overheads!$H:$H, MATCH(TEXT(B295,"yyyy-mm"), TEXT(Overheads!$A:$A,"yyyy-mm"),0)) / MAX(SUMIFS($H:$H,$B:$B,"&gt;="&amp;EOMONTH(B295,-1)+1,$B:$B,"&lt;="&amp;EOMONTH(B295,0)),1)) * H295,0)</f>
        <v>0</v>
      </c>
      <c r="K295" s="16">
        <f t="shared" ca="1" si="13"/>
        <v>0</v>
      </c>
      <c r="L295" s="16">
        <f t="shared" ca="1" si="14"/>
        <v>0</v>
      </c>
      <c r="M295" s="11"/>
    </row>
    <row r="296" spans="2:13">
      <c r="B296" s="30"/>
      <c r="C296" s="11"/>
      <c r="D296" t="str">
        <f>IFERROR(VLOOKUP(C296,'Products Index'!$A:$B,2,FALSE),"")</f>
        <v/>
      </c>
      <c r="E296" s="25"/>
      <c r="F296" s="25"/>
      <c r="G296" s="25"/>
      <c r="H296">
        <f t="shared" si="12"/>
        <v>0</v>
      </c>
      <c r="I296" s="16">
        <f ca="1">IFERROR(INDIRECT("'"&amp;D296&amp;"'!$B$18")*(E296/VLOOKUP(C296,'Products Index'!$A:$E,5,FALSE)),0)</f>
        <v>0</v>
      </c>
      <c r="J296" s="16">
        <f>IFERROR((INDEX(Overheads!$H:$H, MATCH(TEXT(B296,"yyyy-mm"), TEXT(Overheads!$A:$A,"yyyy-mm"),0)) / MAX(SUMIFS($H:$H,$B:$B,"&gt;="&amp;EOMONTH(B296,-1)+1,$B:$B,"&lt;="&amp;EOMONTH(B296,0)),1)) * H296,0)</f>
        <v>0</v>
      </c>
      <c r="K296" s="16">
        <f t="shared" ca="1" si="13"/>
        <v>0</v>
      </c>
      <c r="L296" s="16">
        <f t="shared" ca="1" si="14"/>
        <v>0</v>
      </c>
      <c r="M296" s="11"/>
    </row>
    <row r="297" spans="2:13">
      <c r="B297" s="30"/>
      <c r="C297" s="11"/>
      <c r="D297" t="str">
        <f>IFERROR(VLOOKUP(C297,'Products Index'!$A:$B,2,FALSE),"")</f>
        <v/>
      </c>
      <c r="E297" s="25"/>
      <c r="F297" s="25"/>
      <c r="G297" s="25"/>
      <c r="H297">
        <f t="shared" si="12"/>
        <v>0</v>
      </c>
      <c r="I297" s="16">
        <f ca="1">IFERROR(INDIRECT("'"&amp;D297&amp;"'!$B$18")*(E297/VLOOKUP(C297,'Products Index'!$A:$E,5,FALSE)),0)</f>
        <v>0</v>
      </c>
      <c r="J297" s="16">
        <f>IFERROR((INDEX(Overheads!$H:$H, MATCH(TEXT(B297,"yyyy-mm"), TEXT(Overheads!$A:$A,"yyyy-mm"),0)) / MAX(SUMIFS($H:$H,$B:$B,"&gt;="&amp;EOMONTH(B297,-1)+1,$B:$B,"&lt;="&amp;EOMONTH(B297,0)),1)) * H297,0)</f>
        <v>0</v>
      </c>
      <c r="K297" s="16">
        <f t="shared" ca="1" si="13"/>
        <v>0</v>
      </c>
      <c r="L297" s="16">
        <f t="shared" ca="1" si="14"/>
        <v>0</v>
      </c>
      <c r="M297" s="11"/>
    </row>
    <row r="298" spans="2:13">
      <c r="B298" s="30"/>
      <c r="C298" s="11"/>
      <c r="D298" t="str">
        <f>IFERROR(VLOOKUP(C298,'Products Index'!$A:$B,2,FALSE),"")</f>
        <v/>
      </c>
      <c r="E298" s="25"/>
      <c r="F298" s="25"/>
      <c r="G298" s="25"/>
      <c r="H298">
        <f t="shared" si="12"/>
        <v>0</v>
      </c>
      <c r="I298" s="16">
        <f ca="1">IFERROR(INDIRECT("'"&amp;D298&amp;"'!$B$18")*(E298/VLOOKUP(C298,'Products Index'!$A:$E,5,FALSE)),0)</f>
        <v>0</v>
      </c>
      <c r="J298" s="16">
        <f>IFERROR((INDEX(Overheads!$H:$H, MATCH(TEXT(B298,"yyyy-mm"), TEXT(Overheads!$A:$A,"yyyy-mm"),0)) / MAX(SUMIFS($H:$H,$B:$B,"&gt;="&amp;EOMONTH(B298,-1)+1,$B:$B,"&lt;="&amp;EOMONTH(B298,0)),1)) * H298,0)</f>
        <v>0</v>
      </c>
      <c r="K298" s="16">
        <f t="shared" ca="1" si="13"/>
        <v>0</v>
      </c>
      <c r="L298" s="16">
        <f t="shared" ca="1" si="14"/>
        <v>0</v>
      </c>
      <c r="M298" s="11"/>
    </row>
    <row r="299" spans="2:13">
      <c r="B299" s="30"/>
      <c r="C299" s="11"/>
      <c r="D299" t="str">
        <f>IFERROR(VLOOKUP(C299,'Products Index'!$A:$B,2,FALSE),"")</f>
        <v/>
      </c>
      <c r="E299" s="25"/>
      <c r="F299" s="25"/>
      <c r="G299" s="25"/>
      <c r="H299">
        <f t="shared" si="12"/>
        <v>0</v>
      </c>
      <c r="I299" s="16">
        <f ca="1">IFERROR(INDIRECT("'"&amp;D299&amp;"'!$B$18")*(E299/VLOOKUP(C299,'Products Index'!$A:$E,5,FALSE)),0)</f>
        <v>0</v>
      </c>
      <c r="J299" s="16">
        <f>IFERROR((INDEX(Overheads!$H:$H, MATCH(TEXT(B299,"yyyy-mm"), TEXT(Overheads!$A:$A,"yyyy-mm"),0)) / MAX(SUMIFS($H:$H,$B:$B,"&gt;="&amp;EOMONTH(B299,-1)+1,$B:$B,"&lt;="&amp;EOMONTH(B299,0)),1)) * H299,0)</f>
        <v>0</v>
      </c>
      <c r="K299" s="16">
        <f t="shared" ca="1" si="13"/>
        <v>0</v>
      </c>
      <c r="L299" s="16">
        <f t="shared" ca="1" si="14"/>
        <v>0</v>
      </c>
      <c r="M299" s="11"/>
    </row>
    <row r="300" spans="2:13">
      <c r="B300" s="30"/>
      <c r="C300" s="11"/>
      <c r="D300" t="str">
        <f>IFERROR(VLOOKUP(C300,'Products Index'!$A:$B,2,FALSE),"")</f>
        <v/>
      </c>
      <c r="E300" s="25"/>
      <c r="F300" s="25"/>
      <c r="G300" s="25"/>
      <c r="H300">
        <f t="shared" si="12"/>
        <v>0</v>
      </c>
      <c r="I300" s="16">
        <f ca="1">IFERROR(INDIRECT("'"&amp;D300&amp;"'!$B$18")*(E300/VLOOKUP(C300,'Products Index'!$A:$E,5,FALSE)),0)</f>
        <v>0</v>
      </c>
      <c r="J300" s="16">
        <f>IFERROR((INDEX(Overheads!$H:$H, MATCH(TEXT(B300,"yyyy-mm"), TEXT(Overheads!$A:$A,"yyyy-mm"),0)) / MAX(SUMIFS($H:$H,$B:$B,"&gt;="&amp;EOMONTH(B300,-1)+1,$B:$B,"&lt;="&amp;EOMONTH(B300,0)),1)) * H300,0)</f>
        <v>0</v>
      </c>
      <c r="K300" s="16">
        <f t="shared" ca="1" si="13"/>
        <v>0</v>
      </c>
      <c r="L300" s="16">
        <f t="shared" ca="1" si="14"/>
        <v>0</v>
      </c>
      <c r="M300" s="11"/>
    </row>
    <row r="301" spans="2:13">
      <c r="B301" s="30"/>
      <c r="C301" s="11"/>
      <c r="D301" t="str">
        <f>IFERROR(VLOOKUP(C301,'Products Index'!$A:$B,2,FALSE),"")</f>
        <v/>
      </c>
      <c r="E301" s="25"/>
      <c r="F301" s="25"/>
      <c r="G301" s="25"/>
      <c r="H301">
        <f t="shared" si="12"/>
        <v>0</v>
      </c>
      <c r="I301" s="16">
        <f ca="1">IFERROR(INDIRECT("'"&amp;D301&amp;"'!$B$18")*(E301/VLOOKUP(C301,'Products Index'!$A:$E,5,FALSE)),0)</f>
        <v>0</v>
      </c>
      <c r="J301" s="16">
        <f>IFERROR((INDEX(Overheads!$H:$H, MATCH(TEXT(B301,"yyyy-mm"), TEXT(Overheads!$A:$A,"yyyy-mm"),0)) / MAX(SUMIFS($H:$H,$B:$B,"&gt;="&amp;EOMONTH(B301,-1)+1,$B:$B,"&lt;="&amp;EOMONTH(B301,0)),1)) * H301,0)</f>
        <v>0</v>
      </c>
      <c r="K301" s="16">
        <f t="shared" ca="1" si="13"/>
        <v>0</v>
      </c>
      <c r="L301" s="16">
        <f t="shared" ca="1" si="14"/>
        <v>0</v>
      </c>
      <c r="M301" s="11"/>
    </row>
    <row r="302" spans="2:13">
      <c r="B302" s="30"/>
      <c r="C302" s="11"/>
      <c r="D302" t="str">
        <f>IFERROR(VLOOKUP(C302,'Products Index'!$A:$B,2,FALSE),"")</f>
        <v/>
      </c>
      <c r="E302" s="25"/>
      <c r="F302" s="25"/>
      <c r="G302" s="25"/>
      <c r="H302">
        <f t="shared" si="12"/>
        <v>0</v>
      </c>
      <c r="I302" s="16">
        <f ca="1">IFERROR(INDIRECT("'"&amp;D302&amp;"'!$B$18")*(E302/VLOOKUP(C302,'Products Index'!$A:$E,5,FALSE)),0)</f>
        <v>0</v>
      </c>
      <c r="J302" s="16">
        <f>IFERROR((INDEX(Overheads!$H:$H, MATCH(TEXT(B302,"yyyy-mm"), TEXT(Overheads!$A:$A,"yyyy-mm"),0)) / MAX(SUMIFS($H:$H,$B:$B,"&gt;="&amp;EOMONTH(B302,-1)+1,$B:$B,"&lt;="&amp;EOMONTH(B302,0)),1)) * H302,0)</f>
        <v>0</v>
      </c>
      <c r="K302" s="16">
        <f t="shared" ca="1" si="13"/>
        <v>0</v>
      </c>
      <c r="L302" s="16">
        <f t="shared" ca="1" si="14"/>
        <v>0</v>
      </c>
      <c r="M302" s="11"/>
    </row>
    <row r="303" spans="2:13">
      <c r="B303" s="30"/>
      <c r="C303" s="11"/>
      <c r="D303" t="str">
        <f>IFERROR(VLOOKUP(C303,'Products Index'!$A:$B,2,FALSE),"")</f>
        <v/>
      </c>
      <c r="E303" s="25"/>
      <c r="F303" s="25"/>
      <c r="G303" s="25"/>
      <c r="H303">
        <f t="shared" si="12"/>
        <v>0</v>
      </c>
      <c r="I303" s="16">
        <f ca="1">IFERROR(INDIRECT("'"&amp;D303&amp;"'!$B$18")*(E303/VLOOKUP(C303,'Products Index'!$A:$E,5,FALSE)),0)</f>
        <v>0</v>
      </c>
      <c r="J303" s="16">
        <f>IFERROR((INDEX(Overheads!$H:$H, MATCH(TEXT(B303,"yyyy-mm"), TEXT(Overheads!$A:$A,"yyyy-mm"),0)) / MAX(SUMIFS($H:$H,$B:$B,"&gt;="&amp;EOMONTH(B303,-1)+1,$B:$B,"&lt;="&amp;EOMONTH(B303,0)),1)) * H303,0)</f>
        <v>0</v>
      </c>
      <c r="K303" s="16">
        <f t="shared" ca="1" si="13"/>
        <v>0</v>
      </c>
      <c r="L303" s="16">
        <f t="shared" ca="1" si="14"/>
        <v>0</v>
      </c>
      <c r="M303" s="11"/>
    </row>
    <row r="304" spans="2:13">
      <c r="B304" s="30"/>
      <c r="C304" s="11"/>
      <c r="D304" t="str">
        <f>IFERROR(VLOOKUP(C304,'Products Index'!$A:$B,2,FALSE),"")</f>
        <v/>
      </c>
      <c r="E304" s="25"/>
      <c r="F304" s="25"/>
      <c r="G304" s="25"/>
      <c r="H304">
        <f t="shared" si="12"/>
        <v>0</v>
      </c>
      <c r="I304" s="16">
        <f ca="1">IFERROR(INDIRECT("'"&amp;D304&amp;"'!$B$18")*(E304/VLOOKUP(C304,'Products Index'!$A:$E,5,FALSE)),0)</f>
        <v>0</v>
      </c>
      <c r="J304" s="16">
        <f>IFERROR((INDEX(Overheads!$H:$H, MATCH(TEXT(B304,"yyyy-mm"), TEXT(Overheads!$A:$A,"yyyy-mm"),0)) / MAX(SUMIFS($H:$H,$B:$B,"&gt;="&amp;EOMONTH(B304,-1)+1,$B:$B,"&lt;="&amp;EOMONTH(B304,0)),1)) * H304,0)</f>
        <v>0</v>
      </c>
      <c r="K304" s="16">
        <f t="shared" ca="1" si="13"/>
        <v>0</v>
      </c>
      <c r="L304" s="16">
        <f t="shared" ca="1" si="14"/>
        <v>0</v>
      </c>
      <c r="M304" s="11"/>
    </row>
    <row r="305" spans="2:13">
      <c r="B305" s="30"/>
      <c r="C305" s="11"/>
      <c r="D305" t="str">
        <f>IFERROR(VLOOKUP(C305,'Products Index'!$A:$B,2,FALSE),"")</f>
        <v/>
      </c>
      <c r="E305" s="25"/>
      <c r="F305" s="25"/>
      <c r="G305" s="25"/>
      <c r="H305">
        <f t="shared" si="12"/>
        <v>0</v>
      </c>
      <c r="I305" s="16">
        <f ca="1">IFERROR(INDIRECT("'"&amp;D305&amp;"'!$B$18")*(E305/VLOOKUP(C305,'Products Index'!$A:$E,5,FALSE)),0)</f>
        <v>0</v>
      </c>
      <c r="J305" s="16">
        <f>IFERROR((INDEX(Overheads!$H:$H, MATCH(TEXT(B305,"yyyy-mm"), TEXT(Overheads!$A:$A,"yyyy-mm"),0)) / MAX(SUMIFS($H:$H,$B:$B,"&gt;="&amp;EOMONTH(B305,-1)+1,$B:$B,"&lt;="&amp;EOMONTH(B305,0)),1)) * H305,0)</f>
        <v>0</v>
      </c>
      <c r="K305" s="16">
        <f t="shared" ca="1" si="13"/>
        <v>0</v>
      </c>
      <c r="L305" s="16">
        <f t="shared" ca="1" si="14"/>
        <v>0</v>
      </c>
      <c r="M305" s="11"/>
    </row>
    <row r="306" spans="2:13">
      <c r="B306" s="30"/>
      <c r="C306" s="11"/>
      <c r="D306" t="str">
        <f>IFERROR(VLOOKUP(C306,'Products Index'!$A:$B,2,FALSE),"")</f>
        <v/>
      </c>
      <c r="E306" s="25"/>
      <c r="F306" s="25"/>
      <c r="G306" s="25"/>
      <c r="H306">
        <f t="shared" si="12"/>
        <v>0</v>
      </c>
      <c r="I306" s="16">
        <f ca="1">IFERROR(INDIRECT("'"&amp;D306&amp;"'!$B$18")*(E306/VLOOKUP(C306,'Products Index'!$A:$E,5,FALSE)),0)</f>
        <v>0</v>
      </c>
      <c r="J306" s="16">
        <f>IFERROR((INDEX(Overheads!$H:$H, MATCH(TEXT(B306,"yyyy-mm"), TEXT(Overheads!$A:$A,"yyyy-mm"),0)) / MAX(SUMIFS($H:$H,$B:$B,"&gt;="&amp;EOMONTH(B306,-1)+1,$B:$B,"&lt;="&amp;EOMONTH(B306,0)),1)) * H306,0)</f>
        <v>0</v>
      </c>
      <c r="K306" s="16">
        <f t="shared" ca="1" si="13"/>
        <v>0</v>
      </c>
      <c r="L306" s="16">
        <f t="shared" ca="1" si="14"/>
        <v>0</v>
      </c>
      <c r="M306" s="11"/>
    </row>
    <row r="307" spans="2:13">
      <c r="B307" s="30"/>
      <c r="C307" s="11"/>
      <c r="D307" t="str">
        <f>IFERROR(VLOOKUP(C307,'Products Index'!$A:$B,2,FALSE),"")</f>
        <v/>
      </c>
      <c r="E307" s="25"/>
      <c r="F307" s="25"/>
      <c r="G307" s="25"/>
      <c r="H307">
        <f t="shared" si="12"/>
        <v>0</v>
      </c>
      <c r="I307" s="16">
        <f ca="1">IFERROR(INDIRECT("'"&amp;D307&amp;"'!$B$18")*(E307/VLOOKUP(C307,'Products Index'!$A:$E,5,FALSE)),0)</f>
        <v>0</v>
      </c>
      <c r="J307" s="16">
        <f>IFERROR((INDEX(Overheads!$H:$H, MATCH(TEXT(B307,"yyyy-mm"), TEXT(Overheads!$A:$A,"yyyy-mm"),0)) / MAX(SUMIFS($H:$H,$B:$B,"&gt;="&amp;EOMONTH(B307,-1)+1,$B:$B,"&lt;="&amp;EOMONTH(B307,0)),1)) * H307,0)</f>
        <v>0</v>
      </c>
      <c r="K307" s="16">
        <f t="shared" ca="1" si="13"/>
        <v>0</v>
      </c>
      <c r="L307" s="16">
        <f t="shared" ca="1" si="14"/>
        <v>0</v>
      </c>
      <c r="M307" s="11"/>
    </row>
    <row r="308" spans="2:13">
      <c r="B308" s="30"/>
      <c r="C308" s="11"/>
      <c r="D308" t="str">
        <f>IFERROR(VLOOKUP(C308,'Products Index'!$A:$B,2,FALSE),"")</f>
        <v/>
      </c>
      <c r="E308" s="25"/>
      <c r="F308" s="25"/>
      <c r="G308" s="25"/>
      <c r="H308">
        <f t="shared" si="12"/>
        <v>0</v>
      </c>
      <c r="I308" s="16">
        <f ca="1">IFERROR(INDIRECT("'"&amp;D308&amp;"'!$B$18")*(E308/VLOOKUP(C308,'Products Index'!$A:$E,5,FALSE)),0)</f>
        <v>0</v>
      </c>
      <c r="J308" s="16">
        <f>IFERROR((INDEX(Overheads!$H:$H, MATCH(TEXT(B308,"yyyy-mm"), TEXT(Overheads!$A:$A,"yyyy-mm"),0)) / MAX(SUMIFS($H:$H,$B:$B,"&gt;="&amp;EOMONTH(B308,-1)+1,$B:$B,"&lt;="&amp;EOMONTH(B308,0)),1)) * H308,0)</f>
        <v>0</v>
      </c>
      <c r="K308" s="16">
        <f t="shared" ca="1" si="13"/>
        <v>0</v>
      </c>
      <c r="L308" s="16">
        <f t="shared" ca="1" si="14"/>
        <v>0</v>
      </c>
      <c r="M308" s="11"/>
    </row>
    <row r="309" spans="2:13">
      <c r="B309" s="30"/>
      <c r="C309" s="11"/>
      <c r="D309" t="str">
        <f>IFERROR(VLOOKUP(C309,'Products Index'!$A:$B,2,FALSE),"")</f>
        <v/>
      </c>
      <c r="E309" s="25"/>
      <c r="F309" s="25"/>
      <c r="G309" s="25"/>
      <c r="H309">
        <f t="shared" si="12"/>
        <v>0</v>
      </c>
      <c r="I309" s="16">
        <f ca="1">IFERROR(INDIRECT("'"&amp;D309&amp;"'!$B$18")*(E309/VLOOKUP(C309,'Products Index'!$A:$E,5,FALSE)),0)</f>
        <v>0</v>
      </c>
      <c r="J309" s="16">
        <f>IFERROR((INDEX(Overheads!$H:$H, MATCH(TEXT(B309,"yyyy-mm"), TEXT(Overheads!$A:$A,"yyyy-mm"),0)) / MAX(SUMIFS($H:$H,$B:$B,"&gt;="&amp;EOMONTH(B309,-1)+1,$B:$B,"&lt;="&amp;EOMONTH(B309,0)),1)) * H309,0)</f>
        <v>0</v>
      </c>
      <c r="K309" s="16">
        <f t="shared" ca="1" si="13"/>
        <v>0</v>
      </c>
      <c r="L309" s="16">
        <f t="shared" ca="1" si="14"/>
        <v>0</v>
      </c>
      <c r="M309" s="11"/>
    </row>
    <row r="310" spans="2:13">
      <c r="B310" s="30"/>
      <c r="C310" s="11"/>
      <c r="D310" t="str">
        <f>IFERROR(VLOOKUP(C310,'Products Index'!$A:$B,2,FALSE),"")</f>
        <v/>
      </c>
      <c r="E310" s="25"/>
      <c r="F310" s="25"/>
      <c r="G310" s="25"/>
      <c r="H310">
        <f t="shared" si="12"/>
        <v>0</v>
      </c>
      <c r="I310" s="16">
        <f ca="1">IFERROR(INDIRECT("'"&amp;D310&amp;"'!$B$18")*(E310/VLOOKUP(C310,'Products Index'!$A:$E,5,FALSE)),0)</f>
        <v>0</v>
      </c>
      <c r="J310" s="16">
        <f>IFERROR((INDEX(Overheads!$H:$H, MATCH(TEXT(B310,"yyyy-mm"), TEXT(Overheads!$A:$A,"yyyy-mm"),0)) / MAX(SUMIFS($H:$H,$B:$B,"&gt;="&amp;EOMONTH(B310,-1)+1,$B:$B,"&lt;="&amp;EOMONTH(B310,0)),1)) * H310,0)</f>
        <v>0</v>
      </c>
      <c r="K310" s="16">
        <f t="shared" ca="1" si="13"/>
        <v>0</v>
      </c>
      <c r="L310" s="16">
        <f t="shared" ca="1" si="14"/>
        <v>0</v>
      </c>
      <c r="M310" s="11"/>
    </row>
    <row r="311" spans="2:13">
      <c r="B311" s="30"/>
      <c r="C311" s="11"/>
      <c r="D311" t="str">
        <f>IFERROR(VLOOKUP(C311,'Products Index'!$A:$B,2,FALSE),"")</f>
        <v/>
      </c>
      <c r="E311" s="25"/>
      <c r="F311" s="25"/>
      <c r="G311" s="25"/>
      <c r="H311">
        <f t="shared" si="12"/>
        <v>0</v>
      </c>
      <c r="I311" s="16">
        <f ca="1">IFERROR(INDIRECT("'"&amp;D311&amp;"'!$B$18")*(E311/VLOOKUP(C311,'Products Index'!$A:$E,5,FALSE)),0)</f>
        <v>0</v>
      </c>
      <c r="J311" s="16">
        <f>IFERROR((INDEX(Overheads!$H:$H, MATCH(TEXT(B311,"yyyy-mm"), TEXT(Overheads!$A:$A,"yyyy-mm"),0)) / MAX(SUMIFS($H:$H,$B:$B,"&gt;="&amp;EOMONTH(B311,-1)+1,$B:$B,"&lt;="&amp;EOMONTH(B311,0)),1)) * H311,0)</f>
        <v>0</v>
      </c>
      <c r="K311" s="16">
        <f t="shared" ca="1" si="13"/>
        <v>0</v>
      </c>
      <c r="L311" s="16">
        <f t="shared" ca="1" si="14"/>
        <v>0</v>
      </c>
      <c r="M311" s="11"/>
    </row>
    <row r="312" spans="2:13">
      <c r="B312" s="30"/>
      <c r="C312" s="11"/>
      <c r="D312" t="str">
        <f>IFERROR(VLOOKUP(C312,'Products Index'!$A:$B,2,FALSE),"")</f>
        <v/>
      </c>
      <c r="E312" s="25"/>
      <c r="F312" s="25"/>
      <c r="G312" s="25"/>
      <c r="H312">
        <f t="shared" si="12"/>
        <v>0</v>
      </c>
      <c r="I312" s="16">
        <f ca="1">IFERROR(INDIRECT("'"&amp;D312&amp;"'!$B$18")*(E312/VLOOKUP(C312,'Products Index'!$A:$E,5,FALSE)),0)</f>
        <v>0</v>
      </c>
      <c r="J312" s="16">
        <f>IFERROR((INDEX(Overheads!$H:$H, MATCH(TEXT(B312,"yyyy-mm"), TEXT(Overheads!$A:$A,"yyyy-mm"),0)) / MAX(SUMIFS($H:$H,$B:$B,"&gt;="&amp;EOMONTH(B312,-1)+1,$B:$B,"&lt;="&amp;EOMONTH(B312,0)),1)) * H312,0)</f>
        <v>0</v>
      </c>
      <c r="K312" s="16">
        <f t="shared" ca="1" si="13"/>
        <v>0</v>
      </c>
      <c r="L312" s="16">
        <f t="shared" ca="1" si="14"/>
        <v>0</v>
      </c>
      <c r="M312" s="11"/>
    </row>
    <row r="313" spans="2:13">
      <c r="B313" s="30"/>
      <c r="C313" s="11"/>
      <c r="D313" t="str">
        <f>IFERROR(VLOOKUP(C313,'Products Index'!$A:$B,2,FALSE),"")</f>
        <v/>
      </c>
      <c r="E313" s="25"/>
      <c r="F313" s="25"/>
      <c r="G313" s="25"/>
      <c r="H313">
        <f t="shared" si="12"/>
        <v>0</v>
      </c>
      <c r="I313" s="16">
        <f ca="1">IFERROR(INDIRECT("'"&amp;D313&amp;"'!$B$18")*(E313/VLOOKUP(C313,'Products Index'!$A:$E,5,FALSE)),0)</f>
        <v>0</v>
      </c>
      <c r="J313" s="16">
        <f>IFERROR((INDEX(Overheads!$H:$H, MATCH(TEXT(B313,"yyyy-mm"), TEXT(Overheads!$A:$A,"yyyy-mm"),0)) / MAX(SUMIFS($H:$H,$B:$B,"&gt;="&amp;EOMONTH(B313,-1)+1,$B:$B,"&lt;="&amp;EOMONTH(B313,0)),1)) * H313,0)</f>
        <v>0</v>
      </c>
      <c r="K313" s="16">
        <f t="shared" ca="1" si="13"/>
        <v>0</v>
      </c>
      <c r="L313" s="16">
        <f t="shared" ca="1" si="14"/>
        <v>0</v>
      </c>
      <c r="M313" s="11"/>
    </row>
    <row r="314" spans="2:13">
      <c r="B314" s="30"/>
      <c r="C314" s="11"/>
      <c r="D314" t="str">
        <f>IFERROR(VLOOKUP(C314,'Products Index'!$A:$B,2,FALSE),"")</f>
        <v/>
      </c>
      <c r="E314" s="25"/>
      <c r="F314" s="25"/>
      <c r="G314" s="25"/>
      <c r="H314">
        <f t="shared" si="12"/>
        <v>0</v>
      </c>
      <c r="I314" s="16">
        <f ca="1">IFERROR(INDIRECT("'"&amp;D314&amp;"'!$B$18")*(E314/VLOOKUP(C314,'Products Index'!$A:$E,5,FALSE)),0)</f>
        <v>0</v>
      </c>
      <c r="J314" s="16">
        <f>IFERROR((INDEX(Overheads!$H:$H, MATCH(TEXT(B314,"yyyy-mm"), TEXT(Overheads!$A:$A,"yyyy-mm"),0)) / MAX(SUMIFS($H:$H,$B:$B,"&gt;="&amp;EOMONTH(B314,-1)+1,$B:$B,"&lt;="&amp;EOMONTH(B314,0)),1)) * H314,0)</f>
        <v>0</v>
      </c>
      <c r="K314" s="16">
        <f t="shared" ca="1" si="13"/>
        <v>0</v>
      </c>
      <c r="L314" s="16">
        <f t="shared" ca="1" si="14"/>
        <v>0</v>
      </c>
      <c r="M314" s="11"/>
    </row>
    <row r="315" spans="2:13">
      <c r="B315" s="30"/>
      <c r="C315" s="11"/>
      <c r="D315" t="str">
        <f>IFERROR(VLOOKUP(C315,'Products Index'!$A:$B,2,FALSE),"")</f>
        <v/>
      </c>
      <c r="E315" s="25"/>
      <c r="F315" s="25"/>
      <c r="G315" s="25"/>
      <c r="H315">
        <f t="shared" si="12"/>
        <v>0</v>
      </c>
      <c r="I315" s="16">
        <f ca="1">IFERROR(INDIRECT("'"&amp;D315&amp;"'!$B$18")*(E315/VLOOKUP(C315,'Products Index'!$A:$E,5,FALSE)),0)</f>
        <v>0</v>
      </c>
      <c r="J315" s="16">
        <f>IFERROR((INDEX(Overheads!$H:$H, MATCH(TEXT(B315,"yyyy-mm"), TEXT(Overheads!$A:$A,"yyyy-mm"),0)) / MAX(SUMIFS($H:$H,$B:$B,"&gt;="&amp;EOMONTH(B315,-1)+1,$B:$B,"&lt;="&amp;EOMONTH(B315,0)),1)) * H315,0)</f>
        <v>0</v>
      </c>
      <c r="K315" s="16">
        <f t="shared" ca="1" si="13"/>
        <v>0</v>
      </c>
      <c r="L315" s="16">
        <f t="shared" ca="1" si="14"/>
        <v>0</v>
      </c>
      <c r="M315" s="11"/>
    </row>
    <row r="316" spans="2:13">
      <c r="B316" s="30"/>
      <c r="C316" s="11"/>
      <c r="D316" t="str">
        <f>IFERROR(VLOOKUP(C316,'Products Index'!$A:$B,2,FALSE),"")</f>
        <v/>
      </c>
      <c r="E316" s="25"/>
      <c r="F316" s="25"/>
      <c r="G316" s="25"/>
      <c r="H316">
        <f t="shared" si="12"/>
        <v>0</v>
      </c>
      <c r="I316" s="16">
        <f ca="1">IFERROR(INDIRECT("'"&amp;D316&amp;"'!$B$18")*(E316/VLOOKUP(C316,'Products Index'!$A:$E,5,FALSE)),0)</f>
        <v>0</v>
      </c>
      <c r="J316" s="16">
        <f>IFERROR((INDEX(Overheads!$H:$H, MATCH(TEXT(B316,"yyyy-mm"), TEXT(Overheads!$A:$A,"yyyy-mm"),0)) / MAX(SUMIFS($H:$H,$B:$B,"&gt;="&amp;EOMONTH(B316,-1)+1,$B:$B,"&lt;="&amp;EOMONTH(B316,0)),1)) * H316,0)</f>
        <v>0</v>
      </c>
      <c r="K316" s="16">
        <f t="shared" ca="1" si="13"/>
        <v>0</v>
      </c>
      <c r="L316" s="16">
        <f t="shared" ca="1" si="14"/>
        <v>0</v>
      </c>
      <c r="M316" s="11"/>
    </row>
    <row r="317" spans="2:13">
      <c r="B317" s="30"/>
      <c r="C317" s="11"/>
      <c r="D317" t="str">
        <f>IFERROR(VLOOKUP(C317,'Products Index'!$A:$B,2,FALSE),"")</f>
        <v/>
      </c>
      <c r="E317" s="25"/>
      <c r="F317" s="25"/>
      <c r="G317" s="25"/>
      <c r="H317">
        <f t="shared" si="12"/>
        <v>0</v>
      </c>
      <c r="I317" s="16">
        <f ca="1">IFERROR(INDIRECT("'"&amp;D317&amp;"'!$B$18")*(E317/VLOOKUP(C317,'Products Index'!$A:$E,5,FALSE)),0)</f>
        <v>0</v>
      </c>
      <c r="J317" s="16">
        <f>IFERROR((INDEX(Overheads!$H:$H, MATCH(TEXT(B317,"yyyy-mm"), TEXT(Overheads!$A:$A,"yyyy-mm"),0)) / MAX(SUMIFS($H:$H,$B:$B,"&gt;="&amp;EOMONTH(B317,-1)+1,$B:$B,"&lt;="&amp;EOMONTH(B317,0)),1)) * H317,0)</f>
        <v>0</v>
      </c>
      <c r="K317" s="16">
        <f t="shared" ca="1" si="13"/>
        <v>0</v>
      </c>
      <c r="L317" s="16">
        <f t="shared" ca="1" si="14"/>
        <v>0</v>
      </c>
      <c r="M317" s="11"/>
    </row>
    <row r="318" spans="2:13">
      <c r="B318" s="30"/>
      <c r="C318" s="11"/>
      <c r="D318" t="str">
        <f>IFERROR(VLOOKUP(C318,'Products Index'!$A:$B,2,FALSE),"")</f>
        <v/>
      </c>
      <c r="E318" s="25"/>
      <c r="F318" s="25"/>
      <c r="G318" s="25"/>
      <c r="H318">
        <f t="shared" si="12"/>
        <v>0</v>
      </c>
      <c r="I318" s="16">
        <f ca="1">IFERROR(INDIRECT("'"&amp;D318&amp;"'!$B$18")*(E318/VLOOKUP(C318,'Products Index'!$A:$E,5,FALSE)),0)</f>
        <v>0</v>
      </c>
      <c r="J318" s="16">
        <f>IFERROR((INDEX(Overheads!$H:$H, MATCH(TEXT(B318,"yyyy-mm"), TEXT(Overheads!$A:$A,"yyyy-mm"),0)) / MAX(SUMIFS($H:$H,$B:$B,"&gt;="&amp;EOMONTH(B318,-1)+1,$B:$B,"&lt;="&amp;EOMONTH(B318,0)),1)) * H318,0)</f>
        <v>0</v>
      </c>
      <c r="K318" s="16">
        <f t="shared" ca="1" si="13"/>
        <v>0</v>
      </c>
      <c r="L318" s="16">
        <f t="shared" ca="1" si="14"/>
        <v>0</v>
      </c>
      <c r="M318" s="11"/>
    </row>
    <row r="319" spans="2:13">
      <c r="B319" s="30"/>
      <c r="C319" s="11"/>
      <c r="D319" t="str">
        <f>IFERROR(VLOOKUP(C319,'Products Index'!$A:$B,2,FALSE),"")</f>
        <v/>
      </c>
      <c r="E319" s="25"/>
      <c r="F319" s="25"/>
      <c r="G319" s="25"/>
      <c r="H319">
        <f t="shared" si="12"/>
        <v>0</v>
      </c>
      <c r="I319" s="16">
        <f ca="1">IFERROR(INDIRECT("'"&amp;D319&amp;"'!$B$18")*(E319/VLOOKUP(C319,'Products Index'!$A:$E,5,FALSE)),0)</f>
        <v>0</v>
      </c>
      <c r="J319" s="16">
        <f>IFERROR((INDEX(Overheads!$H:$H, MATCH(TEXT(B319,"yyyy-mm"), TEXT(Overheads!$A:$A,"yyyy-mm"),0)) / MAX(SUMIFS($H:$H,$B:$B,"&gt;="&amp;EOMONTH(B319,-1)+1,$B:$B,"&lt;="&amp;EOMONTH(B319,0)),1)) * H319,0)</f>
        <v>0</v>
      </c>
      <c r="K319" s="16">
        <f t="shared" ca="1" si="13"/>
        <v>0</v>
      </c>
      <c r="L319" s="16">
        <f t="shared" ca="1" si="14"/>
        <v>0</v>
      </c>
      <c r="M319" s="11"/>
    </row>
    <row r="320" spans="2:13">
      <c r="B320" s="30"/>
      <c r="C320" s="11"/>
      <c r="D320" t="str">
        <f>IFERROR(VLOOKUP(C320,'Products Index'!$A:$B,2,FALSE),"")</f>
        <v/>
      </c>
      <c r="E320" s="25"/>
      <c r="F320" s="25"/>
      <c r="G320" s="25"/>
      <c r="H320">
        <f t="shared" si="12"/>
        <v>0</v>
      </c>
      <c r="I320" s="16">
        <f ca="1">IFERROR(INDIRECT("'"&amp;D320&amp;"'!$B$18")*(E320/VLOOKUP(C320,'Products Index'!$A:$E,5,FALSE)),0)</f>
        <v>0</v>
      </c>
      <c r="J320" s="16">
        <f>IFERROR((INDEX(Overheads!$H:$H, MATCH(TEXT(B320,"yyyy-mm"), TEXT(Overheads!$A:$A,"yyyy-mm"),0)) / MAX(SUMIFS($H:$H,$B:$B,"&gt;="&amp;EOMONTH(B320,-1)+1,$B:$B,"&lt;="&amp;EOMONTH(B320,0)),1)) * H320,0)</f>
        <v>0</v>
      </c>
      <c r="K320" s="16">
        <f t="shared" ca="1" si="13"/>
        <v>0</v>
      </c>
      <c r="L320" s="16">
        <f t="shared" ca="1" si="14"/>
        <v>0</v>
      </c>
      <c r="M320" s="11"/>
    </row>
    <row r="321" spans="2:13">
      <c r="B321" s="30"/>
      <c r="C321" s="11"/>
      <c r="D321" t="str">
        <f>IFERROR(VLOOKUP(C321,'Products Index'!$A:$B,2,FALSE),"")</f>
        <v/>
      </c>
      <c r="E321" s="25"/>
      <c r="F321" s="25"/>
      <c r="G321" s="25"/>
      <c r="H321">
        <f t="shared" si="12"/>
        <v>0</v>
      </c>
      <c r="I321" s="16">
        <f ca="1">IFERROR(INDIRECT("'"&amp;D321&amp;"'!$B$18")*(E321/VLOOKUP(C321,'Products Index'!$A:$E,5,FALSE)),0)</f>
        <v>0</v>
      </c>
      <c r="J321" s="16">
        <f>IFERROR((INDEX(Overheads!$H:$H, MATCH(TEXT(B321,"yyyy-mm"), TEXT(Overheads!$A:$A,"yyyy-mm"),0)) / MAX(SUMIFS($H:$H,$B:$B,"&gt;="&amp;EOMONTH(B321,-1)+1,$B:$B,"&lt;="&amp;EOMONTH(B321,0)),1)) * H321,0)</f>
        <v>0</v>
      </c>
      <c r="K321" s="16">
        <f t="shared" ca="1" si="13"/>
        <v>0</v>
      </c>
      <c r="L321" s="16">
        <f t="shared" ca="1" si="14"/>
        <v>0</v>
      </c>
      <c r="M321" s="11"/>
    </row>
    <row r="322" spans="2:13">
      <c r="B322" s="30"/>
      <c r="C322" s="11"/>
      <c r="D322" t="str">
        <f>IFERROR(VLOOKUP(C322,'Products Index'!$A:$B,2,FALSE),"")</f>
        <v/>
      </c>
      <c r="E322" s="25"/>
      <c r="F322" s="25"/>
      <c r="G322" s="25"/>
      <c r="H322">
        <f t="shared" ref="H322:H385" si="15">MAX(F322-G322,0)</f>
        <v>0</v>
      </c>
      <c r="I322" s="16">
        <f ca="1">IFERROR(INDIRECT("'"&amp;D322&amp;"'!$B$18")*(E322/VLOOKUP(C322,'Products Index'!$A:$E,5,FALSE)),0)</f>
        <v>0</v>
      </c>
      <c r="J322" s="16">
        <f>IFERROR((INDEX(Overheads!$H:$H, MATCH(TEXT(B322,"yyyy-mm"), TEXT(Overheads!$A:$A,"yyyy-mm"),0)) / MAX(SUMIFS($H:$H,$B:$B,"&gt;="&amp;EOMONTH(B322,-1)+1,$B:$B,"&lt;="&amp;EOMONTH(B322,0)),1)) * H322,0)</f>
        <v>0</v>
      </c>
      <c r="K322" s="16">
        <f t="shared" ref="K322:K385" ca="1" si="16">I322+J322</f>
        <v>0</v>
      </c>
      <c r="L322" s="16">
        <f t="shared" ref="L322:L385" ca="1" si="17">IFERROR(K322/MAX(H322,1),0)</f>
        <v>0</v>
      </c>
      <c r="M322" s="11"/>
    </row>
    <row r="323" spans="2:13">
      <c r="B323" s="30"/>
      <c r="C323" s="11"/>
      <c r="D323" t="str">
        <f>IFERROR(VLOOKUP(C323,'Products Index'!$A:$B,2,FALSE),"")</f>
        <v/>
      </c>
      <c r="E323" s="25"/>
      <c r="F323" s="25"/>
      <c r="G323" s="25"/>
      <c r="H323">
        <f t="shared" si="15"/>
        <v>0</v>
      </c>
      <c r="I323" s="16">
        <f ca="1">IFERROR(INDIRECT("'"&amp;D323&amp;"'!$B$18")*(E323/VLOOKUP(C323,'Products Index'!$A:$E,5,FALSE)),0)</f>
        <v>0</v>
      </c>
      <c r="J323" s="16">
        <f>IFERROR((INDEX(Overheads!$H:$H, MATCH(TEXT(B323,"yyyy-mm"), TEXT(Overheads!$A:$A,"yyyy-mm"),0)) / MAX(SUMIFS($H:$H,$B:$B,"&gt;="&amp;EOMONTH(B323,-1)+1,$B:$B,"&lt;="&amp;EOMONTH(B323,0)),1)) * H323,0)</f>
        <v>0</v>
      </c>
      <c r="K323" s="16">
        <f t="shared" ca="1" si="16"/>
        <v>0</v>
      </c>
      <c r="L323" s="16">
        <f t="shared" ca="1" si="17"/>
        <v>0</v>
      </c>
      <c r="M323" s="11"/>
    </row>
    <row r="324" spans="2:13">
      <c r="B324" s="30"/>
      <c r="C324" s="11"/>
      <c r="D324" t="str">
        <f>IFERROR(VLOOKUP(C324,'Products Index'!$A:$B,2,FALSE),"")</f>
        <v/>
      </c>
      <c r="E324" s="25"/>
      <c r="F324" s="25"/>
      <c r="G324" s="25"/>
      <c r="H324">
        <f t="shared" si="15"/>
        <v>0</v>
      </c>
      <c r="I324" s="16">
        <f ca="1">IFERROR(INDIRECT("'"&amp;D324&amp;"'!$B$18")*(E324/VLOOKUP(C324,'Products Index'!$A:$E,5,FALSE)),0)</f>
        <v>0</v>
      </c>
      <c r="J324" s="16">
        <f>IFERROR((INDEX(Overheads!$H:$H, MATCH(TEXT(B324,"yyyy-mm"), TEXT(Overheads!$A:$A,"yyyy-mm"),0)) / MAX(SUMIFS($H:$H,$B:$B,"&gt;="&amp;EOMONTH(B324,-1)+1,$B:$B,"&lt;="&amp;EOMONTH(B324,0)),1)) * H324,0)</f>
        <v>0</v>
      </c>
      <c r="K324" s="16">
        <f t="shared" ca="1" si="16"/>
        <v>0</v>
      </c>
      <c r="L324" s="16">
        <f t="shared" ca="1" si="17"/>
        <v>0</v>
      </c>
      <c r="M324" s="11"/>
    </row>
    <row r="325" spans="2:13">
      <c r="B325" s="30"/>
      <c r="C325" s="11"/>
      <c r="D325" t="str">
        <f>IFERROR(VLOOKUP(C325,'Products Index'!$A:$B,2,FALSE),"")</f>
        <v/>
      </c>
      <c r="E325" s="25"/>
      <c r="F325" s="25"/>
      <c r="G325" s="25"/>
      <c r="H325">
        <f t="shared" si="15"/>
        <v>0</v>
      </c>
      <c r="I325" s="16">
        <f ca="1">IFERROR(INDIRECT("'"&amp;D325&amp;"'!$B$18")*(E325/VLOOKUP(C325,'Products Index'!$A:$E,5,FALSE)),0)</f>
        <v>0</v>
      </c>
      <c r="J325" s="16">
        <f>IFERROR((INDEX(Overheads!$H:$H, MATCH(TEXT(B325,"yyyy-mm"), TEXT(Overheads!$A:$A,"yyyy-mm"),0)) / MAX(SUMIFS($H:$H,$B:$B,"&gt;="&amp;EOMONTH(B325,-1)+1,$B:$B,"&lt;="&amp;EOMONTH(B325,0)),1)) * H325,0)</f>
        <v>0</v>
      </c>
      <c r="K325" s="16">
        <f t="shared" ca="1" si="16"/>
        <v>0</v>
      </c>
      <c r="L325" s="16">
        <f t="shared" ca="1" si="17"/>
        <v>0</v>
      </c>
      <c r="M325" s="11"/>
    </row>
    <row r="326" spans="2:13">
      <c r="B326" s="30"/>
      <c r="C326" s="11"/>
      <c r="D326" t="str">
        <f>IFERROR(VLOOKUP(C326,'Products Index'!$A:$B,2,FALSE),"")</f>
        <v/>
      </c>
      <c r="E326" s="25"/>
      <c r="F326" s="25"/>
      <c r="G326" s="25"/>
      <c r="H326">
        <f t="shared" si="15"/>
        <v>0</v>
      </c>
      <c r="I326" s="16">
        <f ca="1">IFERROR(INDIRECT("'"&amp;D326&amp;"'!$B$18")*(E326/VLOOKUP(C326,'Products Index'!$A:$E,5,FALSE)),0)</f>
        <v>0</v>
      </c>
      <c r="J326" s="16">
        <f>IFERROR((INDEX(Overheads!$H:$H, MATCH(TEXT(B326,"yyyy-mm"), TEXT(Overheads!$A:$A,"yyyy-mm"),0)) / MAX(SUMIFS($H:$H,$B:$B,"&gt;="&amp;EOMONTH(B326,-1)+1,$B:$B,"&lt;="&amp;EOMONTH(B326,0)),1)) * H326,0)</f>
        <v>0</v>
      </c>
      <c r="K326" s="16">
        <f t="shared" ca="1" si="16"/>
        <v>0</v>
      </c>
      <c r="L326" s="16">
        <f t="shared" ca="1" si="17"/>
        <v>0</v>
      </c>
      <c r="M326" s="11"/>
    </row>
    <row r="327" spans="2:13">
      <c r="B327" s="30"/>
      <c r="C327" s="11"/>
      <c r="D327" t="str">
        <f>IFERROR(VLOOKUP(C327,'Products Index'!$A:$B,2,FALSE),"")</f>
        <v/>
      </c>
      <c r="E327" s="25"/>
      <c r="F327" s="25"/>
      <c r="G327" s="25"/>
      <c r="H327">
        <f t="shared" si="15"/>
        <v>0</v>
      </c>
      <c r="I327" s="16">
        <f ca="1">IFERROR(INDIRECT("'"&amp;D327&amp;"'!$B$18")*(E327/VLOOKUP(C327,'Products Index'!$A:$E,5,FALSE)),0)</f>
        <v>0</v>
      </c>
      <c r="J327" s="16">
        <f>IFERROR((INDEX(Overheads!$H:$H, MATCH(TEXT(B327,"yyyy-mm"), TEXT(Overheads!$A:$A,"yyyy-mm"),0)) / MAX(SUMIFS($H:$H,$B:$B,"&gt;="&amp;EOMONTH(B327,-1)+1,$B:$B,"&lt;="&amp;EOMONTH(B327,0)),1)) * H327,0)</f>
        <v>0</v>
      </c>
      <c r="K327" s="16">
        <f t="shared" ca="1" si="16"/>
        <v>0</v>
      </c>
      <c r="L327" s="16">
        <f t="shared" ca="1" si="17"/>
        <v>0</v>
      </c>
      <c r="M327" s="11"/>
    </row>
    <row r="328" spans="2:13">
      <c r="B328" s="30"/>
      <c r="C328" s="11"/>
      <c r="D328" t="str">
        <f>IFERROR(VLOOKUP(C328,'Products Index'!$A:$B,2,FALSE),"")</f>
        <v/>
      </c>
      <c r="E328" s="25"/>
      <c r="F328" s="25"/>
      <c r="G328" s="25"/>
      <c r="H328">
        <f t="shared" si="15"/>
        <v>0</v>
      </c>
      <c r="I328" s="16">
        <f ca="1">IFERROR(INDIRECT("'"&amp;D328&amp;"'!$B$18")*(E328/VLOOKUP(C328,'Products Index'!$A:$E,5,FALSE)),0)</f>
        <v>0</v>
      </c>
      <c r="J328" s="16">
        <f>IFERROR((INDEX(Overheads!$H:$H, MATCH(TEXT(B328,"yyyy-mm"), TEXT(Overheads!$A:$A,"yyyy-mm"),0)) / MAX(SUMIFS($H:$H,$B:$B,"&gt;="&amp;EOMONTH(B328,-1)+1,$B:$B,"&lt;="&amp;EOMONTH(B328,0)),1)) * H328,0)</f>
        <v>0</v>
      </c>
      <c r="K328" s="16">
        <f t="shared" ca="1" si="16"/>
        <v>0</v>
      </c>
      <c r="L328" s="16">
        <f t="shared" ca="1" si="17"/>
        <v>0</v>
      </c>
      <c r="M328" s="11"/>
    </row>
    <row r="329" spans="2:13">
      <c r="B329" s="30"/>
      <c r="C329" s="11"/>
      <c r="D329" t="str">
        <f>IFERROR(VLOOKUP(C329,'Products Index'!$A:$B,2,FALSE),"")</f>
        <v/>
      </c>
      <c r="E329" s="25"/>
      <c r="F329" s="25"/>
      <c r="G329" s="25"/>
      <c r="H329">
        <f t="shared" si="15"/>
        <v>0</v>
      </c>
      <c r="I329" s="16">
        <f ca="1">IFERROR(INDIRECT("'"&amp;D329&amp;"'!$B$18")*(E329/VLOOKUP(C329,'Products Index'!$A:$E,5,FALSE)),0)</f>
        <v>0</v>
      </c>
      <c r="J329" s="16">
        <f>IFERROR((INDEX(Overheads!$H:$H, MATCH(TEXT(B329,"yyyy-mm"), TEXT(Overheads!$A:$A,"yyyy-mm"),0)) / MAX(SUMIFS($H:$H,$B:$B,"&gt;="&amp;EOMONTH(B329,-1)+1,$B:$B,"&lt;="&amp;EOMONTH(B329,0)),1)) * H329,0)</f>
        <v>0</v>
      </c>
      <c r="K329" s="16">
        <f t="shared" ca="1" si="16"/>
        <v>0</v>
      </c>
      <c r="L329" s="16">
        <f t="shared" ca="1" si="17"/>
        <v>0</v>
      </c>
      <c r="M329" s="11"/>
    </row>
    <row r="330" spans="2:13">
      <c r="B330" s="30"/>
      <c r="C330" s="11"/>
      <c r="D330" t="str">
        <f>IFERROR(VLOOKUP(C330,'Products Index'!$A:$B,2,FALSE),"")</f>
        <v/>
      </c>
      <c r="E330" s="25"/>
      <c r="F330" s="25"/>
      <c r="G330" s="25"/>
      <c r="H330">
        <f t="shared" si="15"/>
        <v>0</v>
      </c>
      <c r="I330" s="16">
        <f ca="1">IFERROR(INDIRECT("'"&amp;D330&amp;"'!$B$18")*(E330/VLOOKUP(C330,'Products Index'!$A:$E,5,FALSE)),0)</f>
        <v>0</v>
      </c>
      <c r="J330" s="16">
        <f>IFERROR((INDEX(Overheads!$H:$H, MATCH(TEXT(B330,"yyyy-mm"), TEXT(Overheads!$A:$A,"yyyy-mm"),0)) / MAX(SUMIFS($H:$H,$B:$B,"&gt;="&amp;EOMONTH(B330,-1)+1,$B:$B,"&lt;="&amp;EOMONTH(B330,0)),1)) * H330,0)</f>
        <v>0</v>
      </c>
      <c r="K330" s="16">
        <f t="shared" ca="1" si="16"/>
        <v>0</v>
      </c>
      <c r="L330" s="16">
        <f t="shared" ca="1" si="17"/>
        <v>0</v>
      </c>
      <c r="M330" s="11"/>
    </row>
    <row r="331" spans="2:13">
      <c r="B331" s="30"/>
      <c r="C331" s="11"/>
      <c r="D331" t="str">
        <f>IFERROR(VLOOKUP(C331,'Products Index'!$A:$B,2,FALSE),"")</f>
        <v/>
      </c>
      <c r="E331" s="25"/>
      <c r="F331" s="25"/>
      <c r="G331" s="25"/>
      <c r="H331">
        <f t="shared" si="15"/>
        <v>0</v>
      </c>
      <c r="I331" s="16">
        <f ca="1">IFERROR(INDIRECT("'"&amp;D331&amp;"'!$B$18")*(E331/VLOOKUP(C331,'Products Index'!$A:$E,5,FALSE)),0)</f>
        <v>0</v>
      </c>
      <c r="J331" s="16">
        <f>IFERROR((INDEX(Overheads!$H:$H, MATCH(TEXT(B331,"yyyy-mm"), TEXT(Overheads!$A:$A,"yyyy-mm"),0)) / MAX(SUMIFS($H:$H,$B:$B,"&gt;="&amp;EOMONTH(B331,-1)+1,$B:$B,"&lt;="&amp;EOMONTH(B331,0)),1)) * H331,0)</f>
        <v>0</v>
      </c>
      <c r="K331" s="16">
        <f t="shared" ca="1" si="16"/>
        <v>0</v>
      </c>
      <c r="L331" s="16">
        <f t="shared" ca="1" si="17"/>
        <v>0</v>
      </c>
      <c r="M331" s="11"/>
    </row>
    <row r="332" spans="2:13">
      <c r="B332" s="30"/>
      <c r="C332" s="11"/>
      <c r="D332" t="str">
        <f>IFERROR(VLOOKUP(C332,'Products Index'!$A:$B,2,FALSE),"")</f>
        <v/>
      </c>
      <c r="E332" s="25"/>
      <c r="F332" s="25"/>
      <c r="G332" s="25"/>
      <c r="H332">
        <f t="shared" si="15"/>
        <v>0</v>
      </c>
      <c r="I332" s="16">
        <f ca="1">IFERROR(INDIRECT("'"&amp;D332&amp;"'!$B$18")*(E332/VLOOKUP(C332,'Products Index'!$A:$E,5,FALSE)),0)</f>
        <v>0</v>
      </c>
      <c r="J332" s="16">
        <f>IFERROR((INDEX(Overheads!$H:$H, MATCH(TEXT(B332,"yyyy-mm"), TEXT(Overheads!$A:$A,"yyyy-mm"),0)) / MAX(SUMIFS($H:$H,$B:$B,"&gt;="&amp;EOMONTH(B332,-1)+1,$B:$B,"&lt;="&amp;EOMONTH(B332,0)),1)) * H332,0)</f>
        <v>0</v>
      </c>
      <c r="K332" s="16">
        <f t="shared" ca="1" si="16"/>
        <v>0</v>
      </c>
      <c r="L332" s="16">
        <f t="shared" ca="1" si="17"/>
        <v>0</v>
      </c>
      <c r="M332" s="11"/>
    </row>
    <row r="333" spans="2:13">
      <c r="B333" s="30"/>
      <c r="C333" s="11"/>
      <c r="D333" t="str">
        <f>IFERROR(VLOOKUP(C333,'Products Index'!$A:$B,2,FALSE),"")</f>
        <v/>
      </c>
      <c r="E333" s="25"/>
      <c r="F333" s="25"/>
      <c r="G333" s="25"/>
      <c r="H333">
        <f t="shared" si="15"/>
        <v>0</v>
      </c>
      <c r="I333" s="16">
        <f ca="1">IFERROR(INDIRECT("'"&amp;D333&amp;"'!$B$18")*(E333/VLOOKUP(C333,'Products Index'!$A:$E,5,FALSE)),0)</f>
        <v>0</v>
      </c>
      <c r="J333" s="16">
        <f>IFERROR((INDEX(Overheads!$H:$H, MATCH(TEXT(B333,"yyyy-mm"), TEXT(Overheads!$A:$A,"yyyy-mm"),0)) / MAX(SUMIFS($H:$H,$B:$B,"&gt;="&amp;EOMONTH(B333,-1)+1,$B:$B,"&lt;="&amp;EOMONTH(B333,0)),1)) * H333,0)</f>
        <v>0</v>
      </c>
      <c r="K333" s="16">
        <f t="shared" ca="1" si="16"/>
        <v>0</v>
      </c>
      <c r="L333" s="16">
        <f t="shared" ca="1" si="17"/>
        <v>0</v>
      </c>
      <c r="M333" s="11"/>
    </row>
    <row r="334" spans="2:13">
      <c r="B334" s="30"/>
      <c r="C334" s="11"/>
      <c r="D334" t="str">
        <f>IFERROR(VLOOKUP(C334,'Products Index'!$A:$B,2,FALSE),"")</f>
        <v/>
      </c>
      <c r="E334" s="25"/>
      <c r="F334" s="25"/>
      <c r="G334" s="25"/>
      <c r="H334">
        <f t="shared" si="15"/>
        <v>0</v>
      </c>
      <c r="I334" s="16">
        <f ca="1">IFERROR(INDIRECT("'"&amp;D334&amp;"'!$B$18")*(E334/VLOOKUP(C334,'Products Index'!$A:$E,5,FALSE)),0)</f>
        <v>0</v>
      </c>
      <c r="J334" s="16">
        <f>IFERROR((INDEX(Overheads!$H:$H, MATCH(TEXT(B334,"yyyy-mm"), TEXT(Overheads!$A:$A,"yyyy-mm"),0)) / MAX(SUMIFS($H:$H,$B:$B,"&gt;="&amp;EOMONTH(B334,-1)+1,$B:$B,"&lt;="&amp;EOMONTH(B334,0)),1)) * H334,0)</f>
        <v>0</v>
      </c>
      <c r="K334" s="16">
        <f t="shared" ca="1" si="16"/>
        <v>0</v>
      </c>
      <c r="L334" s="16">
        <f t="shared" ca="1" si="17"/>
        <v>0</v>
      </c>
      <c r="M334" s="11"/>
    </row>
    <row r="335" spans="2:13">
      <c r="B335" s="30"/>
      <c r="C335" s="11"/>
      <c r="D335" t="str">
        <f>IFERROR(VLOOKUP(C335,'Products Index'!$A:$B,2,FALSE),"")</f>
        <v/>
      </c>
      <c r="E335" s="25"/>
      <c r="F335" s="25"/>
      <c r="G335" s="25"/>
      <c r="H335">
        <f t="shared" si="15"/>
        <v>0</v>
      </c>
      <c r="I335" s="16">
        <f ca="1">IFERROR(INDIRECT("'"&amp;D335&amp;"'!$B$18")*(E335/VLOOKUP(C335,'Products Index'!$A:$E,5,FALSE)),0)</f>
        <v>0</v>
      </c>
      <c r="J335" s="16">
        <f>IFERROR((INDEX(Overheads!$H:$H, MATCH(TEXT(B335,"yyyy-mm"), TEXT(Overheads!$A:$A,"yyyy-mm"),0)) / MAX(SUMIFS($H:$H,$B:$B,"&gt;="&amp;EOMONTH(B335,-1)+1,$B:$B,"&lt;="&amp;EOMONTH(B335,0)),1)) * H335,0)</f>
        <v>0</v>
      </c>
      <c r="K335" s="16">
        <f t="shared" ca="1" si="16"/>
        <v>0</v>
      </c>
      <c r="L335" s="16">
        <f t="shared" ca="1" si="17"/>
        <v>0</v>
      </c>
      <c r="M335" s="11"/>
    </row>
    <row r="336" spans="2:13">
      <c r="B336" s="30"/>
      <c r="C336" s="11"/>
      <c r="D336" t="str">
        <f>IFERROR(VLOOKUP(C336,'Products Index'!$A:$B,2,FALSE),"")</f>
        <v/>
      </c>
      <c r="E336" s="25"/>
      <c r="F336" s="25"/>
      <c r="G336" s="25"/>
      <c r="H336">
        <f t="shared" si="15"/>
        <v>0</v>
      </c>
      <c r="I336" s="16">
        <f ca="1">IFERROR(INDIRECT("'"&amp;D336&amp;"'!$B$18")*(E336/VLOOKUP(C336,'Products Index'!$A:$E,5,FALSE)),0)</f>
        <v>0</v>
      </c>
      <c r="J336" s="16">
        <f>IFERROR((INDEX(Overheads!$H:$H, MATCH(TEXT(B336,"yyyy-mm"), TEXT(Overheads!$A:$A,"yyyy-mm"),0)) / MAX(SUMIFS($H:$H,$B:$B,"&gt;="&amp;EOMONTH(B336,-1)+1,$B:$B,"&lt;="&amp;EOMONTH(B336,0)),1)) * H336,0)</f>
        <v>0</v>
      </c>
      <c r="K336" s="16">
        <f t="shared" ca="1" si="16"/>
        <v>0</v>
      </c>
      <c r="L336" s="16">
        <f t="shared" ca="1" si="17"/>
        <v>0</v>
      </c>
      <c r="M336" s="11"/>
    </row>
    <row r="337" spans="2:13">
      <c r="B337" s="30"/>
      <c r="C337" s="11"/>
      <c r="D337" t="str">
        <f>IFERROR(VLOOKUP(C337,'Products Index'!$A:$B,2,FALSE),"")</f>
        <v/>
      </c>
      <c r="E337" s="25"/>
      <c r="F337" s="25"/>
      <c r="G337" s="25"/>
      <c r="H337">
        <f t="shared" si="15"/>
        <v>0</v>
      </c>
      <c r="I337" s="16">
        <f ca="1">IFERROR(INDIRECT("'"&amp;D337&amp;"'!$B$18")*(E337/VLOOKUP(C337,'Products Index'!$A:$E,5,FALSE)),0)</f>
        <v>0</v>
      </c>
      <c r="J337" s="16">
        <f>IFERROR((INDEX(Overheads!$H:$H, MATCH(TEXT(B337,"yyyy-mm"), TEXT(Overheads!$A:$A,"yyyy-mm"),0)) / MAX(SUMIFS($H:$H,$B:$B,"&gt;="&amp;EOMONTH(B337,-1)+1,$B:$B,"&lt;="&amp;EOMONTH(B337,0)),1)) * H337,0)</f>
        <v>0</v>
      </c>
      <c r="K337" s="16">
        <f t="shared" ca="1" si="16"/>
        <v>0</v>
      </c>
      <c r="L337" s="16">
        <f t="shared" ca="1" si="17"/>
        <v>0</v>
      </c>
      <c r="M337" s="11"/>
    </row>
    <row r="338" spans="2:13">
      <c r="B338" s="30"/>
      <c r="C338" s="11"/>
      <c r="D338" t="str">
        <f>IFERROR(VLOOKUP(C338,'Products Index'!$A:$B,2,FALSE),"")</f>
        <v/>
      </c>
      <c r="E338" s="25"/>
      <c r="F338" s="25"/>
      <c r="G338" s="25"/>
      <c r="H338">
        <f t="shared" si="15"/>
        <v>0</v>
      </c>
      <c r="I338" s="16">
        <f ca="1">IFERROR(INDIRECT("'"&amp;D338&amp;"'!$B$18")*(E338/VLOOKUP(C338,'Products Index'!$A:$E,5,FALSE)),0)</f>
        <v>0</v>
      </c>
      <c r="J338" s="16">
        <f>IFERROR((INDEX(Overheads!$H:$H, MATCH(TEXT(B338,"yyyy-mm"), TEXT(Overheads!$A:$A,"yyyy-mm"),0)) / MAX(SUMIFS($H:$H,$B:$B,"&gt;="&amp;EOMONTH(B338,-1)+1,$B:$B,"&lt;="&amp;EOMONTH(B338,0)),1)) * H338,0)</f>
        <v>0</v>
      </c>
      <c r="K338" s="16">
        <f t="shared" ca="1" si="16"/>
        <v>0</v>
      </c>
      <c r="L338" s="16">
        <f t="shared" ca="1" si="17"/>
        <v>0</v>
      </c>
      <c r="M338" s="11"/>
    </row>
    <row r="339" spans="2:13">
      <c r="B339" s="30"/>
      <c r="C339" s="11"/>
      <c r="D339" t="str">
        <f>IFERROR(VLOOKUP(C339,'Products Index'!$A:$B,2,FALSE),"")</f>
        <v/>
      </c>
      <c r="E339" s="25"/>
      <c r="F339" s="25"/>
      <c r="G339" s="25"/>
      <c r="H339">
        <f t="shared" si="15"/>
        <v>0</v>
      </c>
      <c r="I339" s="16">
        <f ca="1">IFERROR(INDIRECT("'"&amp;D339&amp;"'!$B$18")*(E339/VLOOKUP(C339,'Products Index'!$A:$E,5,FALSE)),0)</f>
        <v>0</v>
      </c>
      <c r="J339" s="16">
        <f>IFERROR((INDEX(Overheads!$H:$H, MATCH(TEXT(B339,"yyyy-mm"), TEXT(Overheads!$A:$A,"yyyy-mm"),0)) / MAX(SUMIFS($H:$H,$B:$B,"&gt;="&amp;EOMONTH(B339,-1)+1,$B:$B,"&lt;="&amp;EOMONTH(B339,0)),1)) * H339,0)</f>
        <v>0</v>
      </c>
      <c r="K339" s="16">
        <f t="shared" ca="1" si="16"/>
        <v>0</v>
      </c>
      <c r="L339" s="16">
        <f t="shared" ca="1" si="17"/>
        <v>0</v>
      </c>
      <c r="M339" s="11"/>
    </row>
    <row r="340" spans="2:13">
      <c r="B340" s="30"/>
      <c r="C340" s="11"/>
      <c r="D340" t="str">
        <f>IFERROR(VLOOKUP(C340,'Products Index'!$A:$B,2,FALSE),"")</f>
        <v/>
      </c>
      <c r="E340" s="25"/>
      <c r="F340" s="25"/>
      <c r="G340" s="25"/>
      <c r="H340">
        <f t="shared" si="15"/>
        <v>0</v>
      </c>
      <c r="I340" s="16">
        <f ca="1">IFERROR(INDIRECT("'"&amp;D340&amp;"'!$B$18")*(E340/VLOOKUP(C340,'Products Index'!$A:$E,5,FALSE)),0)</f>
        <v>0</v>
      </c>
      <c r="J340" s="16">
        <f>IFERROR((INDEX(Overheads!$H:$H, MATCH(TEXT(B340,"yyyy-mm"), TEXT(Overheads!$A:$A,"yyyy-mm"),0)) / MAX(SUMIFS($H:$H,$B:$B,"&gt;="&amp;EOMONTH(B340,-1)+1,$B:$B,"&lt;="&amp;EOMONTH(B340,0)),1)) * H340,0)</f>
        <v>0</v>
      </c>
      <c r="K340" s="16">
        <f t="shared" ca="1" si="16"/>
        <v>0</v>
      </c>
      <c r="L340" s="16">
        <f t="shared" ca="1" si="17"/>
        <v>0</v>
      </c>
      <c r="M340" s="11"/>
    </row>
    <row r="341" spans="2:13">
      <c r="B341" s="30"/>
      <c r="C341" s="11"/>
      <c r="D341" t="str">
        <f>IFERROR(VLOOKUP(C341,'Products Index'!$A:$B,2,FALSE),"")</f>
        <v/>
      </c>
      <c r="E341" s="25"/>
      <c r="F341" s="25"/>
      <c r="G341" s="25"/>
      <c r="H341">
        <f t="shared" si="15"/>
        <v>0</v>
      </c>
      <c r="I341" s="16">
        <f ca="1">IFERROR(INDIRECT("'"&amp;D341&amp;"'!$B$18")*(E341/VLOOKUP(C341,'Products Index'!$A:$E,5,FALSE)),0)</f>
        <v>0</v>
      </c>
      <c r="J341" s="16">
        <f>IFERROR((INDEX(Overheads!$H:$H, MATCH(TEXT(B341,"yyyy-mm"), TEXT(Overheads!$A:$A,"yyyy-mm"),0)) / MAX(SUMIFS($H:$H,$B:$B,"&gt;="&amp;EOMONTH(B341,-1)+1,$B:$B,"&lt;="&amp;EOMONTH(B341,0)),1)) * H341,0)</f>
        <v>0</v>
      </c>
      <c r="K341" s="16">
        <f t="shared" ca="1" si="16"/>
        <v>0</v>
      </c>
      <c r="L341" s="16">
        <f t="shared" ca="1" si="17"/>
        <v>0</v>
      </c>
      <c r="M341" s="11"/>
    </row>
    <row r="342" spans="2:13">
      <c r="B342" s="30"/>
      <c r="C342" s="11"/>
      <c r="D342" t="str">
        <f>IFERROR(VLOOKUP(C342,'Products Index'!$A:$B,2,FALSE),"")</f>
        <v/>
      </c>
      <c r="E342" s="25"/>
      <c r="F342" s="25"/>
      <c r="G342" s="25"/>
      <c r="H342">
        <f t="shared" si="15"/>
        <v>0</v>
      </c>
      <c r="I342" s="16">
        <f ca="1">IFERROR(INDIRECT("'"&amp;D342&amp;"'!$B$18")*(E342/VLOOKUP(C342,'Products Index'!$A:$E,5,FALSE)),0)</f>
        <v>0</v>
      </c>
      <c r="J342" s="16">
        <f>IFERROR((INDEX(Overheads!$H:$H, MATCH(TEXT(B342,"yyyy-mm"), TEXT(Overheads!$A:$A,"yyyy-mm"),0)) / MAX(SUMIFS($H:$H,$B:$B,"&gt;="&amp;EOMONTH(B342,-1)+1,$B:$B,"&lt;="&amp;EOMONTH(B342,0)),1)) * H342,0)</f>
        <v>0</v>
      </c>
      <c r="K342" s="16">
        <f t="shared" ca="1" si="16"/>
        <v>0</v>
      </c>
      <c r="L342" s="16">
        <f t="shared" ca="1" si="17"/>
        <v>0</v>
      </c>
      <c r="M342" s="11"/>
    </row>
    <row r="343" spans="2:13">
      <c r="B343" s="30"/>
      <c r="C343" s="11"/>
      <c r="D343" t="str">
        <f>IFERROR(VLOOKUP(C343,'Products Index'!$A:$B,2,FALSE),"")</f>
        <v/>
      </c>
      <c r="E343" s="25"/>
      <c r="F343" s="25"/>
      <c r="G343" s="25"/>
      <c r="H343">
        <f t="shared" si="15"/>
        <v>0</v>
      </c>
      <c r="I343" s="16">
        <f ca="1">IFERROR(INDIRECT("'"&amp;D343&amp;"'!$B$18")*(E343/VLOOKUP(C343,'Products Index'!$A:$E,5,FALSE)),0)</f>
        <v>0</v>
      </c>
      <c r="J343" s="16">
        <f>IFERROR((INDEX(Overheads!$H:$H, MATCH(TEXT(B343,"yyyy-mm"), TEXT(Overheads!$A:$A,"yyyy-mm"),0)) / MAX(SUMIFS($H:$H,$B:$B,"&gt;="&amp;EOMONTH(B343,-1)+1,$B:$B,"&lt;="&amp;EOMONTH(B343,0)),1)) * H343,0)</f>
        <v>0</v>
      </c>
      <c r="K343" s="16">
        <f t="shared" ca="1" si="16"/>
        <v>0</v>
      </c>
      <c r="L343" s="16">
        <f t="shared" ca="1" si="17"/>
        <v>0</v>
      </c>
      <c r="M343" s="11"/>
    </row>
    <row r="344" spans="2:13">
      <c r="B344" s="30"/>
      <c r="C344" s="11"/>
      <c r="D344" t="str">
        <f>IFERROR(VLOOKUP(C344,'Products Index'!$A:$B,2,FALSE),"")</f>
        <v/>
      </c>
      <c r="E344" s="25"/>
      <c r="F344" s="25"/>
      <c r="G344" s="25"/>
      <c r="H344">
        <f t="shared" si="15"/>
        <v>0</v>
      </c>
      <c r="I344" s="16">
        <f ca="1">IFERROR(INDIRECT("'"&amp;D344&amp;"'!$B$18")*(E344/VLOOKUP(C344,'Products Index'!$A:$E,5,FALSE)),0)</f>
        <v>0</v>
      </c>
      <c r="J344" s="16">
        <f>IFERROR((INDEX(Overheads!$H:$H, MATCH(TEXT(B344,"yyyy-mm"), TEXT(Overheads!$A:$A,"yyyy-mm"),0)) / MAX(SUMIFS($H:$H,$B:$B,"&gt;="&amp;EOMONTH(B344,-1)+1,$B:$B,"&lt;="&amp;EOMONTH(B344,0)),1)) * H344,0)</f>
        <v>0</v>
      </c>
      <c r="K344" s="16">
        <f t="shared" ca="1" si="16"/>
        <v>0</v>
      </c>
      <c r="L344" s="16">
        <f t="shared" ca="1" si="17"/>
        <v>0</v>
      </c>
      <c r="M344" s="11"/>
    </row>
    <row r="345" spans="2:13">
      <c r="B345" s="30"/>
      <c r="C345" s="11"/>
      <c r="D345" t="str">
        <f>IFERROR(VLOOKUP(C345,'Products Index'!$A:$B,2,FALSE),"")</f>
        <v/>
      </c>
      <c r="E345" s="25"/>
      <c r="F345" s="25"/>
      <c r="G345" s="25"/>
      <c r="H345">
        <f t="shared" si="15"/>
        <v>0</v>
      </c>
      <c r="I345" s="16">
        <f ca="1">IFERROR(INDIRECT("'"&amp;D345&amp;"'!$B$18")*(E345/VLOOKUP(C345,'Products Index'!$A:$E,5,FALSE)),0)</f>
        <v>0</v>
      </c>
      <c r="J345" s="16">
        <f>IFERROR((INDEX(Overheads!$H:$H, MATCH(TEXT(B345,"yyyy-mm"), TEXT(Overheads!$A:$A,"yyyy-mm"),0)) / MAX(SUMIFS($H:$H,$B:$B,"&gt;="&amp;EOMONTH(B345,-1)+1,$B:$B,"&lt;="&amp;EOMONTH(B345,0)),1)) * H345,0)</f>
        <v>0</v>
      </c>
      <c r="K345" s="16">
        <f t="shared" ca="1" si="16"/>
        <v>0</v>
      </c>
      <c r="L345" s="16">
        <f t="shared" ca="1" si="17"/>
        <v>0</v>
      </c>
      <c r="M345" s="11"/>
    </row>
    <row r="346" spans="2:13">
      <c r="B346" s="30"/>
      <c r="C346" s="11"/>
      <c r="D346" t="str">
        <f>IFERROR(VLOOKUP(C346,'Products Index'!$A:$B,2,FALSE),"")</f>
        <v/>
      </c>
      <c r="E346" s="25"/>
      <c r="F346" s="25"/>
      <c r="G346" s="25"/>
      <c r="H346">
        <f t="shared" si="15"/>
        <v>0</v>
      </c>
      <c r="I346" s="16">
        <f ca="1">IFERROR(INDIRECT("'"&amp;D346&amp;"'!$B$18")*(E346/VLOOKUP(C346,'Products Index'!$A:$E,5,FALSE)),0)</f>
        <v>0</v>
      </c>
      <c r="J346" s="16">
        <f>IFERROR((INDEX(Overheads!$H:$H, MATCH(TEXT(B346,"yyyy-mm"), TEXT(Overheads!$A:$A,"yyyy-mm"),0)) / MAX(SUMIFS($H:$H,$B:$B,"&gt;="&amp;EOMONTH(B346,-1)+1,$B:$B,"&lt;="&amp;EOMONTH(B346,0)),1)) * H346,0)</f>
        <v>0</v>
      </c>
      <c r="K346" s="16">
        <f t="shared" ca="1" si="16"/>
        <v>0</v>
      </c>
      <c r="L346" s="16">
        <f t="shared" ca="1" si="17"/>
        <v>0</v>
      </c>
      <c r="M346" s="11"/>
    </row>
    <row r="347" spans="2:13">
      <c r="B347" s="30"/>
      <c r="C347" s="11"/>
      <c r="D347" t="str">
        <f>IFERROR(VLOOKUP(C347,'Products Index'!$A:$B,2,FALSE),"")</f>
        <v/>
      </c>
      <c r="E347" s="25"/>
      <c r="F347" s="25"/>
      <c r="G347" s="25"/>
      <c r="H347">
        <f t="shared" si="15"/>
        <v>0</v>
      </c>
      <c r="I347" s="16">
        <f ca="1">IFERROR(INDIRECT("'"&amp;D347&amp;"'!$B$18")*(E347/VLOOKUP(C347,'Products Index'!$A:$E,5,FALSE)),0)</f>
        <v>0</v>
      </c>
      <c r="J347" s="16">
        <f>IFERROR((INDEX(Overheads!$H:$H, MATCH(TEXT(B347,"yyyy-mm"), TEXT(Overheads!$A:$A,"yyyy-mm"),0)) / MAX(SUMIFS($H:$H,$B:$B,"&gt;="&amp;EOMONTH(B347,-1)+1,$B:$B,"&lt;="&amp;EOMONTH(B347,0)),1)) * H347,0)</f>
        <v>0</v>
      </c>
      <c r="K347" s="16">
        <f t="shared" ca="1" si="16"/>
        <v>0</v>
      </c>
      <c r="L347" s="16">
        <f t="shared" ca="1" si="17"/>
        <v>0</v>
      </c>
      <c r="M347" s="11"/>
    </row>
    <row r="348" spans="2:13">
      <c r="B348" s="30"/>
      <c r="C348" s="11"/>
      <c r="D348" t="str">
        <f>IFERROR(VLOOKUP(C348,'Products Index'!$A:$B,2,FALSE),"")</f>
        <v/>
      </c>
      <c r="E348" s="25"/>
      <c r="F348" s="25"/>
      <c r="G348" s="25"/>
      <c r="H348">
        <f t="shared" si="15"/>
        <v>0</v>
      </c>
      <c r="I348" s="16">
        <f ca="1">IFERROR(INDIRECT("'"&amp;D348&amp;"'!$B$18")*(E348/VLOOKUP(C348,'Products Index'!$A:$E,5,FALSE)),0)</f>
        <v>0</v>
      </c>
      <c r="J348" s="16">
        <f>IFERROR((INDEX(Overheads!$H:$H, MATCH(TEXT(B348,"yyyy-mm"), TEXT(Overheads!$A:$A,"yyyy-mm"),0)) / MAX(SUMIFS($H:$H,$B:$B,"&gt;="&amp;EOMONTH(B348,-1)+1,$B:$B,"&lt;="&amp;EOMONTH(B348,0)),1)) * H348,0)</f>
        <v>0</v>
      </c>
      <c r="K348" s="16">
        <f t="shared" ca="1" si="16"/>
        <v>0</v>
      </c>
      <c r="L348" s="16">
        <f t="shared" ca="1" si="17"/>
        <v>0</v>
      </c>
      <c r="M348" s="11"/>
    </row>
    <row r="349" spans="2:13">
      <c r="B349" s="30"/>
      <c r="C349" s="11"/>
      <c r="D349" t="str">
        <f>IFERROR(VLOOKUP(C349,'Products Index'!$A:$B,2,FALSE),"")</f>
        <v/>
      </c>
      <c r="E349" s="25"/>
      <c r="F349" s="25"/>
      <c r="G349" s="25"/>
      <c r="H349">
        <f t="shared" si="15"/>
        <v>0</v>
      </c>
      <c r="I349" s="16">
        <f ca="1">IFERROR(INDIRECT("'"&amp;D349&amp;"'!$B$18")*(E349/VLOOKUP(C349,'Products Index'!$A:$E,5,FALSE)),0)</f>
        <v>0</v>
      </c>
      <c r="J349" s="16">
        <f>IFERROR((INDEX(Overheads!$H:$H, MATCH(TEXT(B349,"yyyy-mm"), TEXT(Overheads!$A:$A,"yyyy-mm"),0)) / MAX(SUMIFS($H:$H,$B:$B,"&gt;="&amp;EOMONTH(B349,-1)+1,$B:$B,"&lt;="&amp;EOMONTH(B349,0)),1)) * H349,0)</f>
        <v>0</v>
      </c>
      <c r="K349" s="16">
        <f t="shared" ca="1" si="16"/>
        <v>0</v>
      </c>
      <c r="L349" s="16">
        <f t="shared" ca="1" si="17"/>
        <v>0</v>
      </c>
      <c r="M349" s="11"/>
    </row>
    <row r="350" spans="2:13">
      <c r="B350" s="30"/>
      <c r="C350" s="11"/>
      <c r="D350" t="str">
        <f>IFERROR(VLOOKUP(C350,'Products Index'!$A:$B,2,FALSE),"")</f>
        <v/>
      </c>
      <c r="E350" s="25"/>
      <c r="F350" s="25"/>
      <c r="G350" s="25"/>
      <c r="H350">
        <f t="shared" si="15"/>
        <v>0</v>
      </c>
      <c r="I350" s="16">
        <f ca="1">IFERROR(INDIRECT("'"&amp;D350&amp;"'!$B$18")*(E350/VLOOKUP(C350,'Products Index'!$A:$E,5,FALSE)),0)</f>
        <v>0</v>
      </c>
      <c r="J350" s="16">
        <f>IFERROR((INDEX(Overheads!$H:$H, MATCH(TEXT(B350,"yyyy-mm"), TEXT(Overheads!$A:$A,"yyyy-mm"),0)) / MAX(SUMIFS($H:$H,$B:$B,"&gt;="&amp;EOMONTH(B350,-1)+1,$B:$B,"&lt;="&amp;EOMONTH(B350,0)),1)) * H350,0)</f>
        <v>0</v>
      </c>
      <c r="K350" s="16">
        <f t="shared" ca="1" si="16"/>
        <v>0</v>
      </c>
      <c r="L350" s="16">
        <f t="shared" ca="1" si="17"/>
        <v>0</v>
      </c>
      <c r="M350" s="11"/>
    </row>
    <row r="351" spans="2:13">
      <c r="B351" s="30"/>
      <c r="C351" s="11"/>
      <c r="D351" t="str">
        <f>IFERROR(VLOOKUP(C351,'Products Index'!$A:$B,2,FALSE),"")</f>
        <v/>
      </c>
      <c r="E351" s="25"/>
      <c r="F351" s="25"/>
      <c r="G351" s="25"/>
      <c r="H351">
        <f t="shared" si="15"/>
        <v>0</v>
      </c>
      <c r="I351" s="16">
        <f ca="1">IFERROR(INDIRECT("'"&amp;D351&amp;"'!$B$18")*(E351/VLOOKUP(C351,'Products Index'!$A:$E,5,FALSE)),0)</f>
        <v>0</v>
      </c>
      <c r="J351" s="16">
        <f>IFERROR((INDEX(Overheads!$H:$H, MATCH(TEXT(B351,"yyyy-mm"), TEXT(Overheads!$A:$A,"yyyy-mm"),0)) / MAX(SUMIFS($H:$H,$B:$B,"&gt;="&amp;EOMONTH(B351,-1)+1,$B:$B,"&lt;="&amp;EOMONTH(B351,0)),1)) * H351,0)</f>
        <v>0</v>
      </c>
      <c r="K351" s="16">
        <f t="shared" ca="1" si="16"/>
        <v>0</v>
      </c>
      <c r="L351" s="16">
        <f t="shared" ca="1" si="17"/>
        <v>0</v>
      </c>
      <c r="M351" s="11"/>
    </row>
    <row r="352" spans="2:13">
      <c r="B352" s="30"/>
      <c r="C352" s="11"/>
      <c r="D352" t="str">
        <f>IFERROR(VLOOKUP(C352,'Products Index'!$A:$B,2,FALSE),"")</f>
        <v/>
      </c>
      <c r="E352" s="25"/>
      <c r="F352" s="25"/>
      <c r="G352" s="25"/>
      <c r="H352">
        <f t="shared" si="15"/>
        <v>0</v>
      </c>
      <c r="I352" s="16">
        <f ca="1">IFERROR(INDIRECT("'"&amp;D352&amp;"'!$B$18")*(E352/VLOOKUP(C352,'Products Index'!$A:$E,5,FALSE)),0)</f>
        <v>0</v>
      </c>
      <c r="J352" s="16">
        <f>IFERROR((INDEX(Overheads!$H:$H, MATCH(TEXT(B352,"yyyy-mm"), TEXT(Overheads!$A:$A,"yyyy-mm"),0)) / MAX(SUMIFS($H:$H,$B:$B,"&gt;="&amp;EOMONTH(B352,-1)+1,$B:$B,"&lt;="&amp;EOMONTH(B352,0)),1)) * H352,0)</f>
        <v>0</v>
      </c>
      <c r="K352" s="16">
        <f t="shared" ca="1" si="16"/>
        <v>0</v>
      </c>
      <c r="L352" s="16">
        <f t="shared" ca="1" si="17"/>
        <v>0</v>
      </c>
      <c r="M352" s="11"/>
    </row>
    <row r="353" spans="2:13">
      <c r="B353" s="30"/>
      <c r="C353" s="11"/>
      <c r="D353" t="str">
        <f>IFERROR(VLOOKUP(C353,'Products Index'!$A:$B,2,FALSE),"")</f>
        <v/>
      </c>
      <c r="E353" s="25"/>
      <c r="F353" s="25"/>
      <c r="G353" s="25"/>
      <c r="H353">
        <f t="shared" si="15"/>
        <v>0</v>
      </c>
      <c r="I353" s="16">
        <f ca="1">IFERROR(INDIRECT("'"&amp;D353&amp;"'!$B$18")*(E353/VLOOKUP(C353,'Products Index'!$A:$E,5,FALSE)),0)</f>
        <v>0</v>
      </c>
      <c r="J353" s="16">
        <f>IFERROR((INDEX(Overheads!$H:$H, MATCH(TEXT(B353,"yyyy-mm"), TEXT(Overheads!$A:$A,"yyyy-mm"),0)) / MAX(SUMIFS($H:$H,$B:$B,"&gt;="&amp;EOMONTH(B353,-1)+1,$B:$B,"&lt;="&amp;EOMONTH(B353,0)),1)) * H353,0)</f>
        <v>0</v>
      </c>
      <c r="K353" s="16">
        <f t="shared" ca="1" si="16"/>
        <v>0</v>
      </c>
      <c r="L353" s="16">
        <f t="shared" ca="1" si="17"/>
        <v>0</v>
      </c>
      <c r="M353" s="11"/>
    </row>
    <row r="354" spans="2:13">
      <c r="B354" s="30"/>
      <c r="C354" s="11"/>
      <c r="D354" t="str">
        <f>IFERROR(VLOOKUP(C354,'Products Index'!$A:$B,2,FALSE),"")</f>
        <v/>
      </c>
      <c r="E354" s="25"/>
      <c r="F354" s="25"/>
      <c r="G354" s="25"/>
      <c r="H354">
        <f t="shared" si="15"/>
        <v>0</v>
      </c>
      <c r="I354" s="16">
        <f ca="1">IFERROR(INDIRECT("'"&amp;D354&amp;"'!$B$18")*(E354/VLOOKUP(C354,'Products Index'!$A:$E,5,FALSE)),0)</f>
        <v>0</v>
      </c>
      <c r="J354" s="16">
        <f>IFERROR((INDEX(Overheads!$H:$H, MATCH(TEXT(B354,"yyyy-mm"), TEXT(Overheads!$A:$A,"yyyy-mm"),0)) / MAX(SUMIFS($H:$H,$B:$B,"&gt;="&amp;EOMONTH(B354,-1)+1,$B:$B,"&lt;="&amp;EOMONTH(B354,0)),1)) * H354,0)</f>
        <v>0</v>
      </c>
      <c r="K354" s="16">
        <f t="shared" ca="1" si="16"/>
        <v>0</v>
      </c>
      <c r="L354" s="16">
        <f t="shared" ca="1" si="17"/>
        <v>0</v>
      </c>
      <c r="M354" s="11"/>
    </row>
    <row r="355" spans="2:13">
      <c r="B355" s="30"/>
      <c r="C355" s="11"/>
      <c r="D355" t="str">
        <f>IFERROR(VLOOKUP(C355,'Products Index'!$A:$B,2,FALSE),"")</f>
        <v/>
      </c>
      <c r="E355" s="25"/>
      <c r="F355" s="25"/>
      <c r="G355" s="25"/>
      <c r="H355">
        <f t="shared" si="15"/>
        <v>0</v>
      </c>
      <c r="I355" s="16">
        <f ca="1">IFERROR(INDIRECT("'"&amp;D355&amp;"'!$B$18")*(E355/VLOOKUP(C355,'Products Index'!$A:$E,5,FALSE)),0)</f>
        <v>0</v>
      </c>
      <c r="J355" s="16">
        <f>IFERROR((INDEX(Overheads!$H:$H, MATCH(TEXT(B355,"yyyy-mm"), TEXT(Overheads!$A:$A,"yyyy-mm"),0)) / MAX(SUMIFS($H:$H,$B:$B,"&gt;="&amp;EOMONTH(B355,-1)+1,$B:$B,"&lt;="&amp;EOMONTH(B355,0)),1)) * H355,0)</f>
        <v>0</v>
      </c>
      <c r="K355" s="16">
        <f t="shared" ca="1" si="16"/>
        <v>0</v>
      </c>
      <c r="L355" s="16">
        <f t="shared" ca="1" si="17"/>
        <v>0</v>
      </c>
      <c r="M355" s="11"/>
    </row>
    <row r="356" spans="2:13">
      <c r="B356" s="30"/>
      <c r="C356" s="11"/>
      <c r="D356" t="str">
        <f>IFERROR(VLOOKUP(C356,'Products Index'!$A:$B,2,FALSE),"")</f>
        <v/>
      </c>
      <c r="E356" s="25"/>
      <c r="F356" s="25"/>
      <c r="G356" s="25"/>
      <c r="H356">
        <f t="shared" si="15"/>
        <v>0</v>
      </c>
      <c r="I356" s="16">
        <f ca="1">IFERROR(INDIRECT("'"&amp;D356&amp;"'!$B$18")*(E356/VLOOKUP(C356,'Products Index'!$A:$E,5,FALSE)),0)</f>
        <v>0</v>
      </c>
      <c r="J356" s="16">
        <f>IFERROR((INDEX(Overheads!$H:$H, MATCH(TEXT(B356,"yyyy-mm"), TEXT(Overheads!$A:$A,"yyyy-mm"),0)) / MAX(SUMIFS($H:$H,$B:$B,"&gt;="&amp;EOMONTH(B356,-1)+1,$B:$B,"&lt;="&amp;EOMONTH(B356,0)),1)) * H356,0)</f>
        <v>0</v>
      </c>
      <c r="K356" s="16">
        <f t="shared" ca="1" si="16"/>
        <v>0</v>
      </c>
      <c r="L356" s="16">
        <f t="shared" ca="1" si="17"/>
        <v>0</v>
      </c>
      <c r="M356" s="11"/>
    </row>
    <row r="357" spans="2:13">
      <c r="B357" s="30"/>
      <c r="C357" s="11"/>
      <c r="D357" t="str">
        <f>IFERROR(VLOOKUP(C357,'Products Index'!$A:$B,2,FALSE),"")</f>
        <v/>
      </c>
      <c r="E357" s="25"/>
      <c r="F357" s="25"/>
      <c r="G357" s="25"/>
      <c r="H357">
        <f t="shared" si="15"/>
        <v>0</v>
      </c>
      <c r="I357" s="16">
        <f ca="1">IFERROR(INDIRECT("'"&amp;D357&amp;"'!$B$18")*(E357/VLOOKUP(C357,'Products Index'!$A:$E,5,FALSE)),0)</f>
        <v>0</v>
      </c>
      <c r="J357" s="16">
        <f>IFERROR((INDEX(Overheads!$H:$H, MATCH(TEXT(B357,"yyyy-mm"), TEXT(Overheads!$A:$A,"yyyy-mm"),0)) / MAX(SUMIFS($H:$H,$B:$B,"&gt;="&amp;EOMONTH(B357,-1)+1,$B:$B,"&lt;="&amp;EOMONTH(B357,0)),1)) * H357,0)</f>
        <v>0</v>
      </c>
      <c r="K357" s="16">
        <f t="shared" ca="1" si="16"/>
        <v>0</v>
      </c>
      <c r="L357" s="16">
        <f t="shared" ca="1" si="17"/>
        <v>0</v>
      </c>
      <c r="M357" s="11"/>
    </row>
    <row r="358" spans="2:13">
      <c r="B358" s="30"/>
      <c r="C358" s="11"/>
      <c r="D358" t="str">
        <f>IFERROR(VLOOKUP(C358,'Products Index'!$A:$B,2,FALSE),"")</f>
        <v/>
      </c>
      <c r="E358" s="25"/>
      <c r="F358" s="25"/>
      <c r="G358" s="25"/>
      <c r="H358">
        <f t="shared" si="15"/>
        <v>0</v>
      </c>
      <c r="I358" s="16">
        <f ca="1">IFERROR(INDIRECT("'"&amp;D358&amp;"'!$B$18")*(E358/VLOOKUP(C358,'Products Index'!$A:$E,5,FALSE)),0)</f>
        <v>0</v>
      </c>
      <c r="J358" s="16">
        <f>IFERROR((INDEX(Overheads!$H:$H, MATCH(TEXT(B358,"yyyy-mm"), TEXT(Overheads!$A:$A,"yyyy-mm"),0)) / MAX(SUMIFS($H:$H,$B:$B,"&gt;="&amp;EOMONTH(B358,-1)+1,$B:$B,"&lt;="&amp;EOMONTH(B358,0)),1)) * H358,0)</f>
        <v>0</v>
      </c>
      <c r="K358" s="16">
        <f t="shared" ca="1" si="16"/>
        <v>0</v>
      </c>
      <c r="L358" s="16">
        <f t="shared" ca="1" si="17"/>
        <v>0</v>
      </c>
      <c r="M358" s="11"/>
    </row>
    <row r="359" spans="2:13">
      <c r="B359" s="30"/>
      <c r="C359" s="11"/>
      <c r="D359" t="str">
        <f>IFERROR(VLOOKUP(C359,'Products Index'!$A:$B,2,FALSE),"")</f>
        <v/>
      </c>
      <c r="E359" s="25"/>
      <c r="F359" s="25"/>
      <c r="G359" s="25"/>
      <c r="H359">
        <f t="shared" si="15"/>
        <v>0</v>
      </c>
      <c r="I359" s="16">
        <f ca="1">IFERROR(INDIRECT("'"&amp;D359&amp;"'!$B$18")*(E359/VLOOKUP(C359,'Products Index'!$A:$E,5,FALSE)),0)</f>
        <v>0</v>
      </c>
      <c r="J359" s="16">
        <f>IFERROR((INDEX(Overheads!$H:$H, MATCH(TEXT(B359,"yyyy-mm"), TEXT(Overheads!$A:$A,"yyyy-mm"),0)) / MAX(SUMIFS($H:$H,$B:$B,"&gt;="&amp;EOMONTH(B359,-1)+1,$B:$B,"&lt;="&amp;EOMONTH(B359,0)),1)) * H359,0)</f>
        <v>0</v>
      </c>
      <c r="K359" s="16">
        <f t="shared" ca="1" si="16"/>
        <v>0</v>
      </c>
      <c r="L359" s="16">
        <f t="shared" ca="1" si="17"/>
        <v>0</v>
      </c>
      <c r="M359" s="11"/>
    </row>
    <row r="360" spans="2:13">
      <c r="B360" s="30"/>
      <c r="C360" s="11"/>
      <c r="D360" t="str">
        <f>IFERROR(VLOOKUP(C360,'Products Index'!$A:$B,2,FALSE),"")</f>
        <v/>
      </c>
      <c r="E360" s="25"/>
      <c r="F360" s="25"/>
      <c r="G360" s="25"/>
      <c r="H360">
        <f t="shared" si="15"/>
        <v>0</v>
      </c>
      <c r="I360" s="16">
        <f ca="1">IFERROR(INDIRECT("'"&amp;D360&amp;"'!$B$18")*(E360/VLOOKUP(C360,'Products Index'!$A:$E,5,FALSE)),0)</f>
        <v>0</v>
      </c>
      <c r="J360" s="16">
        <f>IFERROR((INDEX(Overheads!$H:$H, MATCH(TEXT(B360,"yyyy-mm"), TEXT(Overheads!$A:$A,"yyyy-mm"),0)) / MAX(SUMIFS($H:$H,$B:$B,"&gt;="&amp;EOMONTH(B360,-1)+1,$B:$B,"&lt;="&amp;EOMONTH(B360,0)),1)) * H360,0)</f>
        <v>0</v>
      </c>
      <c r="K360" s="16">
        <f t="shared" ca="1" si="16"/>
        <v>0</v>
      </c>
      <c r="L360" s="16">
        <f t="shared" ca="1" si="17"/>
        <v>0</v>
      </c>
      <c r="M360" s="11"/>
    </row>
    <row r="361" spans="2:13">
      <c r="B361" s="30"/>
      <c r="C361" s="11"/>
      <c r="D361" t="str">
        <f>IFERROR(VLOOKUP(C361,'Products Index'!$A:$B,2,FALSE),"")</f>
        <v/>
      </c>
      <c r="E361" s="25"/>
      <c r="F361" s="25"/>
      <c r="G361" s="25"/>
      <c r="H361">
        <f t="shared" si="15"/>
        <v>0</v>
      </c>
      <c r="I361" s="16">
        <f ca="1">IFERROR(INDIRECT("'"&amp;D361&amp;"'!$B$18")*(E361/VLOOKUP(C361,'Products Index'!$A:$E,5,FALSE)),0)</f>
        <v>0</v>
      </c>
      <c r="J361" s="16">
        <f>IFERROR((INDEX(Overheads!$H:$H, MATCH(TEXT(B361,"yyyy-mm"), TEXT(Overheads!$A:$A,"yyyy-mm"),0)) / MAX(SUMIFS($H:$H,$B:$B,"&gt;="&amp;EOMONTH(B361,-1)+1,$B:$B,"&lt;="&amp;EOMONTH(B361,0)),1)) * H361,0)</f>
        <v>0</v>
      </c>
      <c r="K361" s="16">
        <f t="shared" ca="1" si="16"/>
        <v>0</v>
      </c>
      <c r="L361" s="16">
        <f t="shared" ca="1" si="17"/>
        <v>0</v>
      </c>
      <c r="M361" s="11"/>
    </row>
    <row r="362" spans="2:13">
      <c r="B362" s="30"/>
      <c r="C362" s="11"/>
      <c r="D362" t="str">
        <f>IFERROR(VLOOKUP(C362,'Products Index'!$A:$B,2,FALSE),"")</f>
        <v/>
      </c>
      <c r="E362" s="25"/>
      <c r="F362" s="25"/>
      <c r="G362" s="25"/>
      <c r="H362">
        <f t="shared" si="15"/>
        <v>0</v>
      </c>
      <c r="I362" s="16">
        <f ca="1">IFERROR(INDIRECT("'"&amp;D362&amp;"'!$B$18")*(E362/VLOOKUP(C362,'Products Index'!$A:$E,5,FALSE)),0)</f>
        <v>0</v>
      </c>
      <c r="J362" s="16">
        <f>IFERROR((INDEX(Overheads!$H:$H, MATCH(TEXT(B362,"yyyy-mm"), TEXT(Overheads!$A:$A,"yyyy-mm"),0)) / MAX(SUMIFS($H:$H,$B:$B,"&gt;="&amp;EOMONTH(B362,-1)+1,$B:$B,"&lt;="&amp;EOMONTH(B362,0)),1)) * H362,0)</f>
        <v>0</v>
      </c>
      <c r="K362" s="16">
        <f t="shared" ca="1" si="16"/>
        <v>0</v>
      </c>
      <c r="L362" s="16">
        <f t="shared" ca="1" si="17"/>
        <v>0</v>
      </c>
      <c r="M362" s="11"/>
    </row>
    <row r="363" spans="2:13">
      <c r="B363" s="30"/>
      <c r="C363" s="11"/>
      <c r="D363" t="str">
        <f>IFERROR(VLOOKUP(C363,'Products Index'!$A:$B,2,FALSE),"")</f>
        <v/>
      </c>
      <c r="E363" s="25"/>
      <c r="F363" s="25"/>
      <c r="G363" s="25"/>
      <c r="H363">
        <f t="shared" si="15"/>
        <v>0</v>
      </c>
      <c r="I363" s="16">
        <f ca="1">IFERROR(INDIRECT("'"&amp;D363&amp;"'!$B$18")*(E363/VLOOKUP(C363,'Products Index'!$A:$E,5,FALSE)),0)</f>
        <v>0</v>
      </c>
      <c r="J363" s="16">
        <f>IFERROR((INDEX(Overheads!$H:$H, MATCH(TEXT(B363,"yyyy-mm"), TEXT(Overheads!$A:$A,"yyyy-mm"),0)) / MAX(SUMIFS($H:$H,$B:$B,"&gt;="&amp;EOMONTH(B363,-1)+1,$B:$B,"&lt;="&amp;EOMONTH(B363,0)),1)) * H363,0)</f>
        <v>0</v>
      </c>
      <c r="K363" s="16">
        <f t="shared" ca="1" si="16"/>
        <v>0</v>
      </c>
      <c r="L363" s="16">
        <f t="shared" ca="1" si="17"/>
        <v>0</v>
      </c>
      <c r="M363" s="11"/>
    </row>
    <row r="364" spans="2:13">
      <c r="B364" s="30"/>
      <c r="C364" s="11"/>
      <c r="D364" t="str">
        <f>IFERROR(VLOOKUP(C364,'Products Index'!$A:$B,2,FALSE),"")</f>
        <v/>
      </c>
      <c r="E364" s="25"/>
      <c r="F364" s="25"/>
      <c r="G364" s="25"/>
      <c r="H364">
        <f t="shared" si="15"/>
        <v>0</v>
      </c>
      <c r="I364" s="16">
        <f ca="1">IFERROR(INDIRECT("'"&amp;D364&amp;"'!$B$18")*(E364/VLOOKUP(C364,'Products Index'!$A:$E,5,FALSE)),0)</f>
        <v>0</v>
      </c>
      <c r="J364" s="16">
        <f>IFERROR((INDEX(Overheads!$H:$H, MATCH(TEXT(B364,"yyyy-mm"), TEXT(Overheads!$A:$A,"yyyy-mm"),0)) / MAX(SUMIFS($H:$H,$B:$B,"&gt;="&amp;EOMONTH(B364,-1)+1,$B:$B,"&lt;="&amp;EOMONTH(B364,0)),1)) * H364,0)</f>
        <v>0</v>
      </c>
      <c r="K364" s="16">
        <f t="shared" ca="1" si="16"/>
        <v>0</v>
      </c>
      <c r="L364" s="16">
        <f t="shared" ca="1" si="17"/>
        <v>0</v>
      </c>
      <c r="M364" s="11"/>
    </row>
    <row r="365" spans="2:13">
      <c r="B365" s="30"/>
      <c r="C365" s="11"/>
      <c r="D365" t="str">
        <f>IFERROR(VLOOKUP(C365,'Products Index'!$A:$B,2,FALSE),"")</f>
        <v/>
      </c>
      <c r="E365" s="25"/>
      <c r="F365" s="25"/>
      <c r="G365" s="25"/>
      <c r="H365">
        <f t="shared" si="15"/>
        <v>0</v>
      </c>
      <c r="I365" s="16">
        <f ca="1">IFERROR(INDIRECT("'"&amp;D365&amp;"'!$B$18")*(E365/VLOOKUP(C365,'Products Index'!$A:$E,5,FALSE)),0)</f>
        <v>0</v>
      </c>
      <c r="J365" s="16">
        <f>IFERROR((INDEX(Overheads!$H:$H, MATCH(TEXT(B365,"yyyy-mm"), TEXT(Overheads!$A:$A,"yyyy-mm"),0)) / MAX(SUMIFS($H:$H,$B:$B,"&gt;="&amp;EOMONTH(B365,-1)+1,$B:$B,"&lt;="&amp;EOMONTH(B365,0)),1)) * H365,0)</f>
        <v>0</v>
      </c>
      <c r="K365" s="16">
        <f t="shared" ca="1" si="16"/>
        <v>0</v>
      </c>
      <c r="L365" s="16">
        <f t="shared" ca="1" si="17"/>
        <v>0</v>
      </c>
      <c r="M365" s="11"/>
    </row>
    <row r="366" spans="2:13">
      <c r="B366" s="30"/>
      <c r="C366" s="11"/>
      <c r="D366" t="str">
        <f>IFERROR(VLOOKUP(C366,'Products Index'!$A:$B,2,FALSE),"")</f>
        <v/>
      </c>
      <c r="E366" s="25"/>
      <c r="F366" s="25"/>
      <c r="G366" s="25"/>
      <c r="H366">
        <f t="shared" si="15"/>
        <v>0</v>
      </c>
      <c r="I366" s="16">
        <f ca="1">IFERROR(INDIRECT("'"&amp;D366&amp;"'!$B$18")*(E366/VLOOKUP(C366,'Products Index'!$A:$E,5,FALSE)),0)</f>
        <v>0</v>
      </c>
      <c r="J366" s="16">
        <f>IFERROR((INDEX(Overheads!$H:$H, MATCH(TEXT(B366,"yyyy-mm"), TEXT(Overheads!$A:$A,"yyyy-mm"),0)) / MAX(SUMIFS($H:$H,$B:$B,"&gt;="&amp;EOMONTH(B366,-1)+1,$B:$B,"&lt;="&amp;EOMONTH(B366,0)),1)) * H366,0)</f>
        <v>0</v>
      </c>
      <c r="K366" s="16">
        <f t="shared" ca="1" si="16"/>
        <v>0</v>
      </c>
      <c r="L366" s="16">
        <f t="shared" ca="1" si="17"/>
        <v>0</v>
      </c>
      <c r="M366" s="11"/>
    </row>
    <row r="367" spans="2:13">
      <c r="B367" s="30"/>
      <c r="C367" s="11"/>
      <c r="D367" t="str">
        <f>IFERROR(VLOOKUP(C367,'Products Index'!$A:$B,2,FALSE),"")</f>
        <v/>
      </c>
      <c r="E367" s="25"/>
      <c r="F367" s="25"/>
      <c r="G367" s="25"/>
      <c r="H367">
        <f t="shared" si="15"/>
        <v>0</v>
      </c>
      <c r="I367" s="16">
        <f ca="1">IFERROR(INDIRECT("'"&amp;D367&amp;"'!$B$18")*(E367/VLOOKUP(C367,'Products Index'!$A:$E,5,FALSE)),0)</f>
        <v>0</v>
      </c>
      <c r="J367" s="16">
        <f>IFERROR((INDEX(Overheads!$H:$H, MATCH(TEXT(B367,"yyyy-mm"), TEXT(Overheads!$A:$A,"yyyy-mm"),0)) / MAX(SUMIFS($H:$H,$B:$B,"&gt;="&amp;EOMONTH(B367,-1)+1,$B:$B,"&lt;="&amp;EOMONTH(B367,0)),1)) * H367,0)</f>
        <v>0</v>
      </c>
      <c r="K367" s="16">
        <f t="shared" ca="1" si="16"/>
        <v>0</v>
      </c>
      <c r="L367" s="16">
        <f t="shared" ca="1" si="17"/>
        <v>0</v>
      </c>
      <c r="M367" s="11"/>
    </row>
    <row r="368" spans="2:13">
      <c r="B368" s="30"/>
      <c r="C368" s="11"/>
      <c r="D368" t="str">
        <f>IFERROR(VLOOKUP(C368,'Products Index'!$A:$B,2,FALSE),"")</f>
        <v/>
      </c>
      <c r="E368" s="25"/>
      <c r="F368" s="25"/>
      <c r="G368" s="25"/>
      <c r="H368">
        <f t="shared" si="15"/>
        <v>0</v>
      </c>
      <c r="I368" s="16">
        <f ca="1">IFERROR(INDIRECT("'"&amp;D368&amp;"'!$B$18")*(E368/VLOOKUP(C368,'Products Index'!$A:$E,5,FALSE)),0)</f>
        <v>0</v>
      </c>
      <c r="J368" s="16">
        <f>IFERROR((INDEX(Overheads!$H:$H, MATCH(TEXT(B368,"yyyy-mm"), TEXT(Overheads!$A:$A,"yyyy-mm"),0)) / MAX(SUMIFS($H:$H,$B:$B,"&gt;="&amp;EOMONTH(B368,-1)+1,$B:$B,"&lt;="&amp;EOMONTH(B368,0)),1)) * H368,0)</f>
        <v>0</v>
      </c>
      <c r="K368" s="16">
        <f t="shared" ca="1" si="16"/>
        <v>0</v>
      </c>
      <c r="L368" s="16">
        <f t="shared" ca="1" si="17"/>
        <v>0</v>
      </c>
      <c r="M368" s="11"/>
    </row>
    <row r="369" spans="2:13">
      <c r="B369" s="30"/>
      <c r="C369" s="11"/>
      <c r="D369" t="str">
        <f>IFERROR(VLOOKUP(C369,'Products Index'!$A:$B,2,FALSE),"")</f>
        <v/>
      </c>
      <c r="E369" s="25"/>
      <c r="F369" s="25"/>
      <c r="G369" s="25"/>
      <c r="H369">
        <f t="shared" si="15"/>
        <v>0</v>
      </c>
      <c r="I369" s="16">
        <f ca="1">IFERROR(INDIRECT("'"&amp;D369&amp;"'!$B$18")*(E369/VLOOKUP(C369,'Products Index'!$A:$E,5,FALSE)),0)</f>
        <v>0</v>
      </c>
      <c r="J369" s="16">
        <f>IFERROR((INDEX(Overheads!$H:$H, MATCH(TEXT(B369,"yyyy-mm"), TEXT(Overheads!$A:$A,"yyyy-mm"),0)) / MAX(SUMIFS($H:$H,$B:$B,"&gt;="&amp;EOMONTH(B369,-1)+1,$B:$B,"&lt;="&amp;EOMONTH(B369,0)),1)) * H369,0)</f>
        <v>0</v>
      </c>
      <c r="K369" s="16">
        <f t="shared" ca="1" si="16"/>
        <v>0</v>
      </c>
      <c r="L369" s="16">
        <f t="shared" ca="1" si="17"/>
        <v>0</v>
      </c>
      <c r="M369" s="11"/>
    </row>
    <row r="370" spans="2:13">
      <c r="B370" s="30"/>
      <c r="C370" s="11"/>
      <c r="D370" t="str">
        <f>IFERROR(VLOOKUP(C370,'Products Index'!$A:$B,2,FALSE),"")</f>
        <v/>
      </c>
      <c r="E370" s="25"/>
      <c r="F370" s="25"/>
      <c r="G370" s="25"/>
      <c r="H370">
        <f t="shared" si="15"/>
        <v>0</v>
      </c>
      <c r="I370" s="16">
        <f ca="1">IFERROR(INDIRECT("'"&amp;D370&amp;"'!$B$18")*(E370/VLOOKUP(C370,'Products Index'!$A:$E,5,FALSE)),0)</f>
        <v>0</v>
      </c>
      <c r="J370" s="16">
        <f>IFERROR((INDEX(Overheads!$H:$H, MATCH(TEXT(B370,"yyyy-mm"), TEXT(Overheads!$A:$A,"yyyy-mm"),0)) / MAX(SUMIFS($H:$H,$B:$B,"&gt;="&amp;EOMONTH(B370,-1)+1,$B:$B,"&lt;="&amp;EOMONTH(B370,0)),1)) * H370,0)</f>
        <v>0</v>
      </c>
      <c r="K370" s="16">
        <f t="shared" ca="1" si="16"/>
        <v>0</v>
      </c>
      <c r="L370" s="16">
        <f t="shared" ca="1" si="17"/>
        <v>0</v>
      </c>
      <c r="M370" s="11"/>
    </row>
    <row r="371" spans="2:13">
      <c r="B371" s="30"/>
      <c r="C371" s="11"/>
      <c r="D371" t="str">
        <f>IFERROR(VLOOKUP(C371,'Products Index'!$A:$B,2,FALSE),"")</f>
        <v/>
      </c>
      <c r="E371" s="25"/>
      <c r="F371" s="25"/>
      <c r="G371" s="25"/>
      <c r="H371">
        <f t="shared" si="15"/>
        <v>0</v>
      </c>
      <c r="I371" s="16">
        <f ca="1">IFERROR(INDIRECT("'"&amp;D371&amp;"'!$B$18")*(E371/VLOOKUP(C371,'Products Index'!$A:$E,5,FALSE)),0)</f>
        <v>0</v>
      </c>
      <c r="J371" s="16">
        <f>IFERROR((INDEX(Overheads!$H:$H, MATCH(TEXT(B371,"yyyy-mm"), TEXT(Overheads!$A:$A,"yyyy-mm"),0)) / MAX(SUMIFS($H:$H,$B:$B,"&gt;="&amp;EOMONTH(B371,-1)+1,$B:$B,"&lt;="&amp;EOMONTH(B371,0)),1)) * H371,0)</f>
        <v>0</v>
      </c>
      <c r="K371" s="16">
        <f t="shared" ca="1" si="16"/>
        <v>0</v>
      </c>
      <c r="L371" s="16">
        <f t="shared" ca="1" si="17"/>
        <v>0</v>
      </c>
      <c r="M371" s="11"/>
    </row>
    <row r="372" spans="2:13">
      <c r="B372" s="30"/>
      <c r="C372" s="11"/>
      <c r="D372" t="str">
        <f>IFERROR(VLOOKUP(C372,'Products Index'!$A:$B,2,FALSE),"")</f>
        <v/>
      </c>
      <c r="E372" s="25"/>
      <c r="F372" s="25"/>
      <c r="G372" s="25"/>
      <c r="H372">
        <f t="shared" si="15"/>
        <v>0</v>
      </c>
      <c r="I372" s="16">
        <f ca="1">IFERROR(INDIRECT("'"&amp;D372&amp;"'!$B$18")*(E372/VLOOKUP(C372,'Products Index'!$A:$E,5,FALSE)),0)</f>
        <v>0</v>
      </c>
      <c r="J372" s="16">
        <f>IFERROR((INDEX(Overheads!$H:$H, MATCH(TEXT(B372,"yyyy-mm"), TEXT(Overheads!$A:$A,"yyyy-mm"),0)) / MAX(SUMIFS($H:$H,$B:$B,"&gt;="&amp;EOMONTH(B372,-1)+1,$B:$B,"&lt;="&amp;EOMONTH(B372,0)),1)) * H372,0)</f>
        <v>0</v>
      </c>
      <c r="K372" s="16">
        <f t="shared" ca="1" si="16"/>
        <v>0</v>
      </c>
      <c r="L372" s="16">
        <f t="shared" ca="1" si="17"/>
        <v>0</v>
      </c>
      <c r="M372" s="11"/>
    </row>
    <row r="373" spans="2:13">
      <c r="B373" s="30"/>
      <c r="C373" s="11"/>
      <c r="D373" t="str">
        <f>IFERROR(VLOOKUP(C373,'Products Index'!$A:$B,2,FALSE),"")</f>
        <v/>
      </c>
      <c r="E373" s="25"/>
      <c r="F373" s="25"/>
      <c r="G373" s="25"/>
      <c r="H373">
        <f t="shared" si="15"/>
        <v>0</v>
      </c>
      <c r="I373" s="16">
        <f ca="1">IFERROR(INDIRECT("'"&amp;D373&amp;"'!$B$18")*(E373/VLOOKUP(C373,'Products Index'!$A:$E,5,FALSE)),0)</f>
        <v>0</v>
      </c>
      <c r="J373" s="16">
        <f>IFERROR((INDEX(Overheads!$H:$H, MATCH(TEXT(B373,"yyyy-mm"), TEXT(Overheads!$A:$A,"yyyy-mm"),0)) / MAX(SUMIFS($H:$H,$B:$B,"&gt;="&amp;EOMONTH(B373,-1)+1,$B:$B,"&lt;="&amp;EOMONTH(B373,0)),1)) * H373,0)</f>
        <v>0</v>
      </c>
      <c r="K373" s="16">
        <f t="shared" ca="1" si="16"/>
        <v>0</v>
      </c>
      <c r="L373" s="16">
        <f t="shared" ca="1" si="17"/>
        <v>0</v>
      </c>
      <c r="M373" s="11"/>
    </row>
    <row r="374" spans="2:13">
      <c r="B374" s="30"/>
      <c r="C374" s="11"/>
      <c r="D374" t="str">
        <f>IFERROR(VLOOKUP(C374,'Products Index'!$A:$B,2,FALSE),"")</f>
        <v/>
      </c>
      <c r="E374" s="25"/>
      <c r="F374" s="25"/>
      <c r="G374" s="25"/>
      <c r="H374">
        <f t="shared" si="15"/>
        <v>0</v>
      </c>
      <c r="I374" s="16">
        <f ca="1">IFERROR(INDIRECT("'"&amp;D374&amp;"'!$B$18")*(E374/VLOOKUP(C374,'Products Index'!$A:$E,5,FALSE)),0)</f>
        <v>0</v>
      </c>
      <c r="J374" s="16">
        <f>IFERROR((INDEX(Overheads!$H:$H, MATCH(TEXT(B374,"yyyy-mm"), TEXT(Overheads!$A:$A,"yyyy-mm"),0)) / MAX(SUMIFS($H:$H,$B:$B,"&gt;="&amp;EOMONTH(B374,-1)+1,$B:$B,"&lt;="&amp;EOMONTH(B374,0)),1)) * H374,0)</f>
        <v>0</v>
      </c>
      <c r="K374" s="16">
        <f t="shared" ca="1" si="16"/>
        <v>0</v>
      </c>
      <c r="L374" s="16">
        <f t="shared" ca="1" si="17"/>
        <v>0</v>
      </c>
      <c r="M374" s="11"/>
    </row>
    <row r="375" spans="2:13">
      <c r="B375" s="30"/>
      <c r="C375" s="11"/>
      <c r="D375" t="str">
        <f>IFERROR(VLOOKUP(C375,'Products Index'!$A:$B,2,FALSE),"")</f>
        <v/>
      </c>
      <c r="E375" s="25"/>
      <c r="F375" s="25"/>
      <c r="G375" s="25"/>
      <c r="H375">
        <f t="shared" si="15"/>
        <v>0</v>
      </c>
      <c r="I375" s="16">
        <f ca="1">IFERROR(INDIRECT("'"&amp;D375&amp;"'!$B$18")*(E375/VLOOKUP(C375,'Products Index'!$A:$E,5,FALSE)),0)</f>
        <v>0</v>
      </c>
      <c r="J375" s="16">
        <f>IFERROR((INDEX(Overheads!$H:$H, MATCH(TEXT(B375,"yyyy-mm"), TEXT(Overheads!$A:$A,"yyyy-mm"),0)) / MAX(SUMIFS($H:$H,$B:$B,"&gt;="&amp;EOMONTH(B375,-1)+1,$B:$B,"&lt;="&amp;EOMONTH(B375,0)),1)) * H375,0)</f>
        <v>0</v>
      </c>
      <c r="K375" s="16">
        <f t="shared" ca="1" si="16"/>
        <v>0</v>
      </c>
      <c r="L375" s="16">
        <f t="shared" ca="1" si="17"/>
        <v>0</v>
      </c>
      <c r="M375" s="11"/>
    </row>
    <row r="376" spans="2:13">
      <c r="B376" s="30"/>
      <c r="C376" s="11"/>
      <c r="D376" t="str">
        <f>IFERROR(VLOOKUP(C376,'Products Index'!$A:$B,2,FALSE),"")</f>
        <v/>
      </c>
      <c r="E376" s="25"/>
      <c r="F376" s="25"/>
      <c r="G376" s="25"/>
      <c r="H376">
        <f t="shared" si="15"/>
        <v>0</v>
      </c>
      <c r="I376" s="16">
        <f ca="1">IFERROR(INDIRECT("'"&amp;D376&amp;"'!$B$18")*(E376/VLOOKUP(C376,'Products Index'!$A:$E,5,FALSE)),0)</f>
        <v>0</v>
      </c>
      <c r="J376" s="16">
        <f>IFERROR((INDEX(Overheads!$H:$H, MATCH(TEXT(B376,"yyyy-mm"), TEXT(Overheads!$A:$A,"yyyy-mm"),0)) / MAX(SUMIFS($H:$H,$B:$B,"&gt;="&amp;EOMONTH(B376,-1)+1,$B:$B,"&lt;="&amp;EOMONTH(B376,0)),1)) * H376,0)</f>
        <v>0</v>
      </c>
      <c r="K376" s="16">
        <f t="shared" ca="1" si="16"/>
        <v>0</v>
      </c>
      <c r="L376" s="16">
        <f t="shared" ca="1" si="17"/>
        <v>0</v>
      </c>
      <c r="M376" s="11"/>
    </row>
    <row r="377" spans="2:13">
      <c r="B377" s="30"/>
      <c r="C377" s="11"/>
      <c r="D377" t="str">
        <f>IFERROR(VLOOKUP(C377,'Products Index'!$A:$B,2,FALSE),"")</f>
        <v/>
      </c>
      <c r="E377" s="25"/>
      <c r="F377" s="25"/>
      <c r="G377" s="25"/>
      <c r="H377">
        <f t="shared" si="15"/>
        <v>0</v>
      </c>
      <c r="I377" s="16">
        <f ca="1">IFERROR(INDIRECT("'"&amp;D377&amp;"'!$B$18")*(E377/VLOOKUP(C377,'Products Index'!$A:$E,5,FALSE)),0)</f>
        <v>0</v>
      </c>
      <c r="J377" s="16">
        <f>IFERROR((INDEX(Overheads!$H:$H, MATCH(TEXT(B377,"yyyy-mm"), TEXT(Overheads!$A:$A,"yyyy-mm"),0)) / MAX(SUMIFS($H:$H,$B:$B,"&gt;="&amp;EOMONTH(B377,-1)+1,$B:$B,"&lt;="&amp;EOMONTH(B377,0)),1)) * H377,0)</f>
        <v>0</v>
      </c>
      <c r="K377" s="16">
        <f t="shared" ca="1" si="16"/>
        <v>0</v>
      </c>
      <c r="L377" s="16">
        <f t="shared" ca="1" si="17"/>
        <v>0</v>
      </c>
      <c r="M377" s="11"/>
    </row>
    <row r="378" spans="2:13">
      <c r="B378" s="30"/>
      <c r="C378" s="11"/>
      <c r="D378" t="str">
        <f>IFERROR(VLOOKUP(C378,'Products Index'!$A:$B,2,FALSE),"")</f>
        <v/>
      </c>
      <c r="E378" s="25"/>
      <c r="F378" s="25"/>
      <c r="G378" s="25"/>
      <c r="H378">
        <f t="shared" si="15"/>
        <v>0</v>
      </c>
      <c r="I378" s="16">
        <f ca="1">IFERROR(INDIRECT("'"&amp;D378&amp;"'!$B$18")*(E378/VLOOKUP(C378,'Products Index'!$A:$E,5,FALSE)),0)</f>
        <v>0</v>
      </c>
      <c r="J378" s="16">
        <f>IFERROR((INDEX(Overheads!$H:$H, MATCH(TEXT(B378,"yyyy-mm"), TEXT(Overheads!$A:$A,"yyyy-mm"),0)) / MAX(SUMIFS($H:$H,$B:$B,"&gt;="&amp;EOMONTH(B378,-1)+1,$B:$B,"&lt;="&amp;EOMONTH(B378,0)),1)) * H378,0)</f>
        <v>0</v>
      </c>
      <c r="K378" s="16">
        <f t="shared" ca="1" si="16"/>
        <v>0</v>
      </c>
      <c r="L378" s="16">
        <f t="shared" ca="1" si="17"/>
        <v>0</v>
      </c>
      <c r="M378" s="11"/>
    </row>
    <row r="379" spans="2:13">
      <c r="B379" s="30"/>
      <c r="C379" s="11"/>
      <c r="D379" t="str">
        <f>IFERROR(VLOOKUP(C379,'Products Index'!$A:$B,2,FALSE),"")</f>
        <v/>
      </c>
      <c r="E379" s="25"/>
      <c r="F379" s="25"/>
      <c r="G379" s="25"/>
      <c r="H379">
        <f t="shared" si="15"/>
        <v>0</v>
      </c>
      <c r="I379" s="16">
        <f ca="1">IFERROR(INDIRECT("'"&amp;D379&amp;"'!$B$18")*(E379/VLOOKUP(C379,'Products Index'!$A:$E,5,FALSE)),0)</f>
        <v>0</v>
      </c>
      <c r="J379" s="16">
        <f>IFERROR((INDEX(Overheads!$H:$H, MATCH(TEXT(B379,"yyyy-mm"), TEXT(Overheads!$A:$A,"yyyy-mm"),0)) / MAX(SUMIFS($H:$H,$B:$B,"&gt;="&amp;EOMONTH(B379,-1)+1,$B:$B,"&lt;="&amp;EOMONTH(B379,0)),1)) * H379,0)</f>
        <v>0</v>
      </c>
      <c r="K379" s="16">
        <f t="shared" ca="1" si="16"/>
        <v>0</v>
      </c>
      <c r="L379" s="16">
        <f t="shared" ca="1" si="17"/>
        <v>0</v>
      </c>
      <c r="M379" s="11"/>
    </row>
    <row r="380" spans="2:13">
      <c r="B380" s="30"/>
      <c r="C380" s="11"/>
      <c r="D380" t="str">
        <f>IFERROR(VLOOKUP(C380,'Products Index'!$A:$B,2,FALSE),"")</f>
        <v/>
      </c>
      <c r="E380" s="25"/>
      <c r="F380" s="25"/>
      <c r="G380" s="25"/>
      <c r="H380">
        <f t="shared" si="15"/>
        <v>0</v>
      </c>
      <c r="I380" s="16">
        <f ca="1">IFERROR(INDIRECT("'"&amp;D380&amp;"'!$B$18")*(E380/VLOOKUP(C380,'Products Index'!$A:$E,5,FALSE)),0)</f>
        <v>0</v>
      </c>
      <c r="J380" s="16">
        <f>IFERROR((INDEX(Overheads!$H:$H, MATCH(TEXT(B380,"yyyy-mm"), TEXT(Overheads!$A:$A,"yyyy-mm"),0)) / MAX(SUMIFS($H:$H,$B:$B,"&gt;="&amp;EOMONTH(B380,-1)+1,$B:$B,"&lt;="&amp;EOMONTH(B380,0)),1)) * H380,0)</f>
        <v>0</v>
      </c>
      <c r="K380" s="16">
        <f t="shared" ca="1" si="16"/>
        <v>0</v>
      </c>
      <c r="L380" s="16">
        <f t="shared" ca="1" si="17"/>
        <v>0</v>
      </c>
      <c r="M380" s="11"/>
    </row>
    <row r="381" spans="2:13">
      <c r="B381" s="30"/>
      <c r="C381" s="11"/>
      <c r="D381" t="str">
        <f>IFERROR(VLOOKUP(C381,'Products Index'!$A:$B,2,FALSE),"")</f>
        <v/>
      </c>
      <c r="E381" s="25"/>
      <c r="F381" s="25"/>
      <c r="G381" s="25"/>
      <c r="H381">
        <f t="shared" si="15"/>
        <v>0</v>
      </c>
      <c r="I381" s="16">
        <f ca="1">IFERROR(INDIRECT("'"&amp;D381&amp;"'!$B$18")*(E381/VLOOKUP(C381,'Products Index'!$A:$E,5,FALSE)),0)</f>
        <v>0</v>
      </c>
      <c r="J381" s="16">
        <f>IFERROR((INDEX(Overheads!$H:$H, MATCH(TEXT(B381,"yyyy-mm"), TEXT(Overheads!$A:$A,"yyyy-mm"),0)) / MAX(SUMIFS($H:$H,$B:$B,"&gt;="&amp;EOMONTH(B381,-1)+1,$B:$B,"&lt;="&amp;EOMONTH(B381,0)),1)) * H381,0)</f>
        <v>0</v>
      </c>
      <c r="K381" s="16">
        <f t="shared" ca="1" si="16"/>
        <v>0</v>
      </c>
      <c r="L381" s="16">
        <f t="shared" ca="1" si="17"/>
        <v>0</v>
      </c>
      <c r="M381" s="11"/>
    </row>
    <row r="382" spans="2:13">
      <c r="B382" s="30"/>
      <c r="C382" s="11"/>
      <c r="D382" t="str">
        <f>IFERROR(VLOOKUP(C382,'Products Index'!$A:$B,2,FALSE),"")</f>
        <v/>
      </c>
      <c r="E382" s="25"/>
      <c r="F382" s="25"/>
      <c r="G382" s="25"/>
      <c r="H382">
        <f t="shared" si="15"/>
        <v>0</v>
      </c>
      <c r="I382" s="16">
        <f ca="1">IFERROR(INDIRECT("'"&amp;D382&amp;"'!$B$18")*(E382/VLOOKUP(C382,'Products Index'!$A:$E,5,FALSE)),0)</f>
        <v>0</v>
      </c>
      <c r="J382" s="16">
        <f>IFERROR((INDEX(Overheads!$H:$H, MATCH(TEXT(B382,"yyyy-mm"), TEXT(Overheads!$A:$A,"yyyy-mm"),0)) / MAX(SUMIFS($H:$H,$B:$B,"&gt;="&amp;EOMONTH(B382,-1)+1,$B:$B,"&lt;="&amp;EOMONTH(B382,0)),1)) * H382,0)</f>
        <v>0</v>
      </c>
      <c r="K382" s="16">
        <f t="shared" ca="1" si="16"/>
        <v>0</v>
      </c>
      <c r="L382" s="16">
        <f t="shared" ca="1" si="17"/>
        <v>0</v>
      </c>
      <c r="M382" s="11"/>
    </row>
    <row r="383" spans="2:13">
      <c r="B383" s="30"/>
      <c r="C383" s="11"/>
      <c r="D383" t="str">
        <f>IFERROR(VLOOKUP(C383,'Products Index'!$A:$B,2,FALSE),"")</f>
        <v/>
      </c>
      <c r="E383" s="25"/>
      <c r="F383" s="25"/>
      <c r="G383" s="25"/>
      <c r="H383">
        <f t="shared" si="15"/>
        <v>0</v>
      </c>
      <c r="I383" s="16">
        <f ca="1">IFERROR(INDIRECT("'"&amp;D383&amp;"'!$B$18")*(E383/VLOOKUP(C383,'Products Index'!$A:$E,5,FALSE)),0)</f>
        <v>0</v>
      </c>
      <c r="J383" s="16">
        <f>IFERROR((INDEX(Overheads!$H:$H, MATCH(TEXT(B383,"yyyy-mm"), TEXT(Overheads!$A:$A,"yyyy-mm"),0)) / MAX(SUMIFS($H:$H,$B:$B,"&gt;="&amp;EOMONTH(B383,-1)+1,$B:$B,"&lt;="&amp;EOMONTH(B383,0)),1)) * H383,0)</f>
        <v>0</v>
      </c>
      <c r="K383" s="16">
        <f t="shared" ca="1" si="16"/>
        <v>0</v>
      </c>
      <c r="L383" s="16">
        <f t="shared" ca="1" si="17"/>
        <v>0</v>
      </c>
      <c r="M383" s="11"/>
    </row>
    <row r="384" spans="2:13">
      <c r="B384" s="30"/>
      <c r="C384" s="11"/>
      <c r="D384" t="str">
        <f>IFERROR(VLOOKUP(C384,'Products Index'!$A:$B,2,FALSE),"")</f>
        <v/>
      </c>
      <c r="E384" s="25"/>
      <c r="F384" s="25"/>
      <c r="G384" s="25"/>
      <c r="H384">
        <f t="shared" si="15"/>
        <v>0</v>
      </c>
      <c r="I384" s="16">
        <f ca="1">IFERROR(INDIRECT("'"&amp;D384&amp;"'!$B$18")*(E384/VLOOKUP(C384,'Products Index'!$A:$E,5,FALSE)),0)</f>
        <v>0</v>
      </c>
      <c r="J384" s="16">
        <f>IFERROR((INDEX(Overheads!$H:$H, MATCH(TEXT(B384,"yyyy-mm"), TEXT(Overheads!$A:$A,"yyyy-mm"),0)) / MAX(SUMIFS($H:$H,$B:$B,"&gt;="&amp;EOMONTH(B384,-1)+1,$B:$B,"&lt;="&amp;EOMONTH(B384,0)),1)) * H384,0)</f>
        <v>0</v>
      </c>
      <c r="K384" s="16">
        <f t="shared" ca="1" si="16"/>
        <v>0</v>
      </c>
      <c r="L384" s="16">
        <f t="shared" ca="1" si="17"/>
        <v>0</v>
      </c>
      <c r="M384" s="11"/>
    </row>
    <row r="385" spans="2:13">
      <c r="B385" s="30"/>
      <c r="C385" s="11"/>
      <c r="D385" t="str">
        <f>IFERROR(VLOOKUP(C385,'Products Index'!$A:$B,2,FALSE),"")</f>
        <v/>
      </c>
      <c r="E385" s="25"/>
      <c r="F385" s="25"/>
      <c r="G385" s="25"/>
      <c r="H385">
        <f t="shared" si="15"/>
        <v>0</v>
      </c>
      <c r="I385" s="16">
        <f ca="1">IFERROR(INDIRECT("'"&amp;D385&amp;"'!$B$18")*(E385/VLOOKUP(C385,'Products Index'!$A:$E,5,FALSE)),0)</f>
        <v>0</v>
      </c>
      <c r="J385" s="16">
        <f>IFERROR((INDEX(Overheads!$H:$H, MATCH(TEXT(B385,"yyyy-mm"), TEXT(Overheads!$A:$A,"yyyy-mm"),0)) / MAX(SUMIFS($H:$H,$B:$B,"&gt;="&amp;EOMONTH(B385,-1)+1,$B:$B,"&lt;="&amp;EOMONTH(B385,0)),1)) * H385,0)</f>
        <v>0</v>
      </c>
      <c r="K385" s="16">
        <f t="shared" ca="1" si="16"/>
        <v>0</v>
      </c>
      <c r="L385" s="16">
        <f t="shared" ca="1" si="17"/>
        <v>0</v>
      </c>
      <c r="M385" s="11"/>
    </row>
    <row r="386" spans="2:13">
      <c r="B386" s="30"/>
      <c r="C386" s="11"/>
      <c r="D386" t="str">
        <f>IFERROR(VLOOKUP(C386,'Products Index'!$A:$B,2,FALSE),"")</f>
        <v/>
      </c>
      <c r="E386" s="25"/>
      <c r="F386" s="25"/>
      <c r="G386" s="25"/>
      <c r="H386">
        <f t="shared" ref="H386:H449" si="18">MAX(F386-G386,0)</f>
        <v>0</v>
      </c>
      <c r="I386" s="16">
        <f ca="1">IFERROR(INDIRECT("'"&amp;D386&amp;"'!$B$18")*(E386/VLOOKUP(C386,'Products Index'!$A:$E,5,FALSE)),0)</f>
        <v>0</v>
      </c>
      <c r="J386" s="16">
        <f>IFERROR((INDEX(Overheads!$H:$H, MATCH(TEXT(B386,"yyyy-mm"), TEXT(Overheads!$A:$A,"yyyy-mm"),0)) / MAX(SUMIFS($H:$H,$B:$B,"&gt;="&amp;EOMONTH(B386,-1)+1,$B:$B,"&lt;="&amp;EOMONTH(B386,0)),1)) * H386,0)</f>
        <v>0</v>
      </c>
      <c r="K386" s="16">
        <f t="shared" ref="K386:K449" ca="1" si="19">I386+J386</f>
        <v>0</v>
      </c>
      <c r="L386" s="16">
        <f t="shared" ref="L386:L449" ca="1" si="20">IFERROR(K386/MAX(H386,1),0)</f>
        <v>0</v>
      </c>
      <c r="M386" s="11"/>
    </row>
    <row r="387" spans="2:13">
      <c r="B387" s="30"/>
      <c r="C387" s="11"/>
      <c r="D387" t="str">
        <f>IFERROR(VLOOKUP(C387,'Products Index'!$A:$B,2,FALSE),"")</f>
        <v/>
      </c>
      <c r="E387" s="25"/>
      <c r="F387" s="25"/>
      <c r="G387" s="25"/>
      <c r="H387">
        <f t="shared" si="18"/>
        <v>0</v>
      </c>
      <c r="I387" s="16">
        <f ca="1">IFERROR(INDIRECT("'"&amp;D387&amp;"'!$B$18")*(E387/VLOOKUP(C387,'Products Index'!$A:$E,5,FALSE)),0)</f>
        <v>0</v>
      </c>
      <c r="J387" s="16">
        <f>IFERROR((INDEX(Overheads!$H:$H, MATCH(TEXT(B387,"yyyy-mm"), TEXT(Overheads!$A:$A,"yyyy-mm"),0)) / MAX(SUMIFS($H:$H,$B:$B,"&gt;="&amp;EOMONTH(B387,-1)+1,$B:$B,"&lt;="&amp;EOMONTH(B387,0)),1)) * H387,0)</f>
        <v>0</v>
      </c>
      <c r="K387" s="16">
        <f t="shared" ca="1" si="19"/>
        <v>0</v>
      </c>
      <c r="L387" s="16">
        <f t="shared" ca="1" si="20"/>
        <v>0</v>
      </c>
      <c r="M387" s="11"/>
    </row>
    <row r="388" spans="2:13">
      <c r="B388" s="30"/>
      <c r="C388" s="11"/>
      <c r="D388" t="str">
        <f>IFERROR(VLOOKUP(C388,'Products Index'!$A:$B,2,FALSE),"")</f>
        <v/>
      </c>
      <c r="E388" s="25"/>
      <c r="F388" s="25"/>
      <c r="G388" s="25"/>
      <c r="H388">
        <f t="shared" si="18"/>
        <v>0</v>
      </c>
      <c r="I388" s="16">
        <f ca="1">IFERROR(INDIRECT("'"&amp;D388&amp;"'!$B$18")*(E388/VLOOKUP(C388,'Products Index'!$A:$E,5,FALSE)),0)</f>
        <v>0</v>
      </c>
      <c r="J388" s="16">
        <f>IFERROR((INDEX(Overheads!$H:$H, MATCH(TEXT(B388,"yyyy-mm"), TEXT(Overheads!$A:$A,"yyyy-mm"),0)) / MAX(SUMIFS($H:$H,$B:$B,"&gt;="&amp;EOMONTH(B388,-1)+1,$B:$B,"&lt;="&amp;EOMONTH(B388,0)),1)) * H388,0)</f>
        <v>0</v>
      </c>
      <c r="K388" s="16">
        <f t="shared" ca="1" si="19"/>
        <v>0</v>
      </c>
      <c r="L388" s="16">
        <f t="shared" ca="1" si="20"/>
        <v>0</v>
      </c>
      <c r="M388" s="11"/>
    </row>
    <row r="389" spans="2:13">
      <c r="B389" s="30"/>
      <c r="C389" s="11"/>
      <c r="D389" t="str">
        <f>IFERROR(VLOOKUP(C389,'Products Index'!$A:$B,2,FALSE),"")</f>
        <v/>
      </c>
      <c r="E389" s="25"/>
      <c r="F389" s="25"/>
      <c r="G389" s="25"/>
      <c r="H389">
        <f t="shared" si="18"/>
        <v>0</v>
      </c>
      <c r="I389" s="16">
        <f ca="1">IFERROR(INDIRECT("'"&amp;D389&amp;"'!$B$18")*(E389/VLOOKUP(C389,'Products Index'!$A:$E,5,FALSE)),0)</f>
        <v>0</v>
      </c>
      <c r="J389" s="16">
        <f>IFERROR((INDEX(Overheads!$H:$H, MATCH(TEXT(B389,"yyyy-mm"), TEXT(Overheads!$A:$A,"yyyy-mm"),0)) / MAX(SUMIFS($H:$H,$B:$B,"&gt;="&amp;EOMONTH(B389,-1)+1,$B:$B,"&lt;="&amp;EOMONTH(B389,0)),1)) * H389,0)</f>
        <v>0</v>
      </c>
      <c r="K389" s="16">
        <f t="shared" ca="1" si="19"/>
        <v>0</v>
      </c>
      <c r="L389" s="16">
        <f t="shared" ca="1" si="20"/>
        <v>0</v>
      </c>
      <c r="M389" s="11"/>
    </row>
    <row r="390" spans="2:13">
      <c r="B390" s="30"/>
      <c r="C390" s="11"/>
      <c r="D390" t="str">
        <f>IFERROR(VLOOKUP(C390,'Products Index'!$A:$B,2,FALSE),"")</f>
        <v/>
      </c>
      <c r="E390" s="25"/>
      <c r="F390" s="25"/>
      <c r="G390" s="25"/>
      <c r="H390">
        <f t="shared" si="18"/>
        <v>0</v>
      </c>
      <c r="I390" s="16">
        <f ca="1">IFERROR(INDIRECT("'"&amp;D390&amp;"'!$B$18")*(E390/VLOOKUP(C390,'Products Index'!$A:$E,5,FALSE)),0)</f>
        <v>0</v>
      </c>
      <c r="J390" s="16">
        <f>IFERROR((INDEX(Overheads!$H:$H, MATCH(TEXT(B390,"yyyy-mm"), TEXT(Overheads!$A:$A,"yyyy-mm"),0)) / MAX(SUMIFS($H:$H,$B:$B,"&gt;="&amp;EOMONTH(B390,-1)+1,$B:$B,"&lt;="&amp;EOMONTH(B390,0)),1)) * H390,0)</f>
        <v>0</v>
      </c>
      <c r="K390" s="16">
        <f t="shared" ca="1" si="19"/>
        <v>0</v>
      </c>
      <c r="L390" s="16">
        <f t="shared" ca="1" si="20"/>
        <v>0</v>
      </c>
      <c r="M390" s="11"/>
    </row>
    <row r="391" spans="2:13">
      <c r="B391" s="30"/>
      <c r="C391" s="11"/>
      <c r="D391" t="str">
        <f>IFERROR(VLOOKUP(C391,'Products Index'!$A:$B,2,FALSE),"")</f>
        <v/>
      </c>
      <c r="E391" s="25"/>
      <c r="F391" s="25"/>
      <c r="G391" s="25"/>
      <c r="H391">
        <f t="shared" si="18"/>
        <v>0</v>
      </c>
      <c r="I391" s="16">
        <f ca="1">IFERROR(INDIRECT("'"&amp;D391&amp;"'!$B$18")*(E391/VLOOKUP(C391,'Products Index'!$A:$E,5,FALSE)),0)</f>
        <v>0</v>
      </c>
      <c r="J391" s="16">
        <f>IFERROR((INDEX(Overheads!$H:$H, MATCH(TEXT(B391,"yyyy-mm"), TEXT(Overheads!$A:$A,"yyyy-mm"),0)) / MAX(SUMIFS($H:$H,$B:$B,"&gt;="&amp;EOMONTH(B391,-1)+1,$B:$B,"&lt;="&amp;EOMONTH(B391,0)),1)) * H391,0)</f>
        <v>0</v>
      </c>
      <c r="K391" s="16">
        <f t="shared" ca="1" si="19"/>
        <v>0</v>
      </c>
      <c r="L391" s="16">
        <f t="shared" ca="1" si="20"/>
        <v>0</v>
      </c>
      <c r="M391" s="11"/>
    </row>
    <row r="392" spans="2:13">
      <c r="B392" s="30"/>
      <c r="C392" s="11"/>
      <c r="D392" t="str">
        <f>IFERROR(VLOOKUP(C392,'Products Index'!$A:$B,2,FALSE),"")</f>
        <v/>
      </c>
      <c r="E392" s="25"/>
      <c r="F392" s="25"/>
      <c r="G392" s="25"/>
      <c r="H392">
        <f t="shared" si="18"/>
        <v>0</v>
      </c>
      <c r="I392" s="16">
        <f ca="1">IFERROR(INDIRECT("'"&amp;D392&amp;"'!$B$18")*(E392/VLOOKUP(C392,'Products Index'!$A:$E,5,FALSE)),0)</f>
        <v>0</v>
      </c>
      <c r="J392" s="16">
        <f>IFERROR((INDEX(Overheads!$H:$H, MATCH(TEXT(B392,"yyyy-mm"), TEXT(Overheads!$A:$A,"yyyy-mm"),0)) / MAX(SUMIFS($H:$H,$B:$B,"&gt;="&amp;EOMONTH(B392,-1)+1,$B:$B,"&lt;="&amp;EOMONTH(B392,0)),1)) * H392,0)</f>
        <v>0</v>
      </c>
      <c r="K392" s="16">
        <f t="shared" ca="1" si="19"/>
        <v>0</v>
      </c>
      <c r="L392" s="16">
        <f t="shared" ca="1" si="20"/>
        <v>0</v>
      </c>
      <c r="M392" s="11"/>
    </row>
    <row r="393" spans="2:13">
      <c r="B393" s="30"/>
      <c r="C393" s="11"/>
      <c r="D393" t="str">
        <f>IFERROR(VLOOKUP(C393,'Products Index'!$A:$B,2,FALSE),"")</f>
        <v/>
      </c>
      <c r="E393" s="25"/>
      <c r="F393" s="25"/>
      <c r="G393" s="25"/>
      <c r="H393">
        <f t="shared" si="18"/>
        <v>0</v>
      </c>
      <c r="I393" s="16">
        <f ca="1">IFERROR(INDIRECT("'"&amp;D393&amp;"'!$B$18")*(E393/VLOOKUP(C393,'Products Index'!$A:$E,5,FALSE)),0)</f>
        <v>0</v>
      </c>
      <c r="J393" s="16">
        <f>IFERROR((INDEX(Overheads!$H:$H, MATCH(TEXT(B393,"yyyy-mm"), TEXT(Overheads!$A:$A,"yyyy-mm"),0)) / MAX(SUMIFS($H:$H,$B:$B,"&gt;="&amp;EOMONTH(B393,-1)+1,$B:$B,"&lt;="&amp;EOMONTH(B393,0)),1)) * H393,0)</f>
        <v>0</v>
      </c>
      <c r="K393" s="16">
        <f t="shared" ca="1" si="19"/>
        <v>0</v>
      </c>
      <c r="L393" s="16">
        <f t="shared" ca="1" si="20"/>
        <v>0</v>
      </c>
      <c r="M393" s="11"/>
    </row>
    <row r="394" spans="2:13">
      <c r="B394" s="30"/>
      <c r="C394" s="11"/>
      <c r="D394" t="str">
        <f>IFERROR(VLOOKUP(C394,'Products Index'!$A:$B,2,FALSE),"")</f>
        <v/>
      </c>
      <c r="E394" s="25"/>
      <c r="F394" s="25"/>
      <c r="G394" s="25"/>
      <c r="H394">
        <f t="shared" si="18"/>
        <v>0</v>
      </c>
      <c r="I394" s="16">
        <f ca="1">IFERROR(INDIRECT("'"&amp;D394&amp;"'!$B$18")*(E394/VLOOKUP(C394,'Products Index'!$A:$E,5,FALSE)),0)</f>
        <v>0</v>
      </c>
      <c r="J394" s="16">
        <f>IFERROR((INDEX(Overheads!$H:$H, MATCH(TEXT(B394,"yyyy-mm"), TEXT(Overheads!$A:$A,"yyyy-mm"),0)) / MAX(SUMIFS($H:$H,$B:$B,"&gt;="&amp;EOMONTH(B394,-1)+1,$B:$B,"&lt;="&amp;EOMONTH(B394,0)),1)) * H394,0)</f>
        <v>0</v>
      </c>
      <c r="K394" s="16">
        <f t="shared" ca="1" si="19"/>
        <v>0</v>
      </c>
      <c r="L394" s="16">
        <f t="shared" ca="1" si="20"/>
        <v>0</v>
      </c>
      <c r="M394" s="11"/>
    </row>
    <row r="395" spans="2:13">
      <c r="B395" s="30"/>
      <c r="C395" s="11"/>
      <c r="D395" t="str">
        <f>IFERROR(VLOOKUP(C395,'Products Index'!$A:$B,2,FALSE),"")</f>
        <v/>
      </c>
      <c r="E395" s="25"/>
      <c r="F395" s="25"/>
      <c r="G395" s="25"/>
      <c r="H395">
        <f t="shared" si="18"/>
        <v>0</v>
      </c>
      <c r="I395" s="16">
        <f ca="1">IFERROR(INDIRECT("'"&amp;D395&amp;"'!$B$18")*(E395/VLOOKUP(C395,'Products Index'!$A:$E,5,FALSE)),0)</f>
        <v>0</v>
      </c>
      <c r="J395" s="16">
        <f>IFERROR((INDEX(Overheads!$H:$H, MATCH(TEXT(B395,"yyyy-mm"), TEXT(Overheads!$A:$A,"yyyy-mm"),0)) / MAX(SUMIFS($H:$H,$B:$B,"&gt;="&amp;EOMONTH(B395,-1)+1,$B:$B,"&lt;="&amp;EOMONTH(B395,0)),1)) * H395,0)</f>
        <v>0</v>
      </c>
      <c r="K395" s="16">
        <f t="shared" ca="1" si="19"/>
        <v>0</v>
      </c>
      <c r="L395" s="16">
        <f t="shared" ca="1" si="20"/>
        <v>0</v>
      </c>
      <c r="M395" s="11"/>
    </row>
    <row r="396" spans="2:13">
      <c r="B396" s="30"/>
      <c r="C396" s="11"/>
      <c r="D396" t="str">
        <f>IFERROR(VLOOKUP(C396,'Products Index'!$A:$B,2,FALSE),"")</f>
        <v/>
      </c>
      <c r="E396" s="25"/>
      <c r="F396" s="25"/>
      <c r="G396" s="25"/>
      <c r="H396">
        <f t="shared" si="18"/>
        <v>0</v>
      </c>
      <c r="I396" s="16">
        <f ca="1">IFERROR(INDIRECT("'"&amp;D396&amp;"'!$B$18")*(E396/VLOOKUP(C396,'Products Index'!$A:$E,5,FALSE)),0)</f>
        <v>0</v>
      </c>
      <c r="J396" s="16">
        <f>IFERROR((INDEX(Overheads!$H:$H, MATCH(TEXT(B396,"yyyy-mm"), TEXT(Overheads!$A:$A,"yyyy-mm"),0)) / MAX(SUMIFS($H:$H,$B:$B,"&gt;="&amp;EOMONTH(B396,-1)+1,$B:$B,"&lt;="&amp;EOMONTH(B396,0)),1)) * H396,0)</f>
        <v>0</v>
      </c>
      <c r="K396" s="16">
        <f t="shared" ca="1" si="19"/>
        <v>0</v>
      </c>
      <c r="L396" s="16">
        <f t="shared" ca="1" si="20"/>
        <v>0</v>
      </c>
      <c r="M396" s="11"/>
    </row>
    <row r="397" spans="2:13">
      <c r="B397" s="30"/>
      <c r="C397" s="11"/>
      <c r="D397" t="str">
        <f>IFERROR(VLOOKUP(C397,'Products Index'!$A:$B,2,FALSE),"")</f>
        <v/>
      </c>
      <c r="E397" s="25"/>
      <c r="F397" s="25"/>
      <c r="G397" s="25"/>
      <c r="H397">
        <f t="shared" si="18"/>
        <v>0</v>
      </c>
      <c r="I397" s="16">
        <f ca="1">IFERROR(INDIRECT("'"&amp;D397&amp;"'!$B$18")*(E397/VLOOKUP(C397,'Products Index'!$A:$E,5,FALSE)),0)</f>
        <v>0</v>
      </c>
      <c r="J397" s="16">
        <f>IFERROR((INDEX(Overheads!$H:$H, MATCH(TEXT(B397,"yyyy-mm"), TEXT(Overheads!$A:$A,"yyyy-mm"),0)) / MAX(SUMIFS($H:$H,$B:$B,"&gt;="&amp;EOMONTH(B397,-1)+1,$B:$B,"&lt;="&amp;EOMONTH(B397,0)),1)) * H397,0)</f>
        <v>0</v>
      </c>
      <c r="K397" s="16">
        <f t="shared" ca="1" si="19"/>
        <v>0</v>
      </c>
      <c r="L397" s="16">
        <f t="shared" ca="1" si="20"/>
        <v>0</v>
      </c>
      <c r="M397" s="11"/>
    </row>
    <row r="398" spans="2:13">
      <c r="B398" s="30"/>
      <c r="C398" s="11"/>
      <c r="D398" t="str">
        <f>IFERROR(VLOOKUP(C398,'Products Index'!$A:$B,2,FALSE),"")</f>
        <v/>
      </c>
      <c r="E398" s="25"/>
      <c r="F398" s="25"/>
      <c r="G398" s="25"/>
      <c r="H398">
        <f t="shared" si="18"/>
        <v>0</v>
      </c>
      <c r="I398" s="16">
        <f ca="1">IFERROR(INDIRECT("'"&amp;D398&amp;"'!$B$18")*(E398/VLOOKUP(C398,'Products Index'!$A:$E,5,FALSE)),0)</f>
        <v>0</v>
      </c>
      <c r="J398" s="16">
        <f>IFERROR((INDEX(Overheads!$H:$H, MATCH(TEXT(B398,"yyyy-mm"), TEXT(Overheads!$A:$A,"yyyy-mm"),0)) / MAX(SUMIFS($H:$H,$B:$B,"&gt;="&amp;EOMONTH(B398,-1)+1,$B:$B,"&lt;="&amp;EOMONTH(B398,0)),1)) * H398,0)</f>
        <v>0</v>
      </c>
      <c r="K398" s="16">
        <f t="shared" ca="1" si="19"/>
        <v>0</v>
      </c>
      <c r="L398" s="16">
        <f t="shared" ca="1" si="20"/>
        <v>0</v>
      </c>
      <c r="M398" s="11"/>
    </row>
    <row r="399" spans="2:13">
      <c r="B399" s="30"/>
      <c r="C399" s="11"/>
      <c r="D399" t="str">
        <f>IFERROR(VLOOKUP(C399,'Products Index'!$A:$B,2,FALSE),"")</f>
        <v/>
      </c>
      <c r="E399" s="25"/>
      <c r="F399" s="25"/>
      <c r="G399" s="25"/>
      <c r="H399">
        <f t="shared" si="18"/>
        <v>0</v>
      </c>
      <c r="I399" s="16">
        <f ca="1">IFERROR(INDIRECT("'"&amp;D399&amp;"'!$B$18")*(E399/VLOOKUP(C399,'Products Index'!$A:$E,5,FALSE)),0)</f>
        <v>0</v>
      </c>
      <c r="J399" s="16">
        <f>IFERROR((INDEX(Overheads!$H:$H, MATCH(TEXT(B399,"yyyy-mm"), TEXT(Overheads!$A:$A,"yyyy-mm"),0)) / MAX(SUMIFS($H:$H,$B:$B,"&gt;="&amp;EOMONTH(B399,-1)+1,$B:$B,"&lt;="&amp;EOMONTH(B399,0)),1)) * H399,0)</f>
        <v>0</v>
      </c>
      <c r="K399" s="16">
        <f t="shared" ca="1" si="19"/>
        <v>0</v>
      </c>
      <c r="L399" s="16">
        <f t="shared" ca="1" si="20"/>
        <v>0</v>
      </c>
      <c r="M399" s="11"/>
    </row>
    <row r="400" spans="2:13">
      <c r="B400" s="30"/>
      <c r="C400" s="11"/>
      <c r="D400" t="str">
        <f>IFERROR(VLOOKUP(C400,'Products Index'!$A:$B,2,FALSE),"")</f>
        <v/>
      </c>
      <c r="E400" s="25"/>
      <c r="F400" s="25"/>
      <c r="G400" s="25"/>
      <c r="H400">
        <f t="shared" si="18"/>
        <v>0</v>
      </c>
      <c r="I400" s="16">
        <f ca="1">IFERROR(INDIRECT("'"&amp;D400&amp;"'!$B$18")*(E400/VLOOKUP(C400,'Products Index'!$A:$E,5,FALSE)),0)</f>
        <v>0</v>
      </c>
      <c r="J400" s="16">
        <f>IFERROR((INDEX(Overheads!$H:$H, MATCH(TEXT(B400,"yyyy-mm"), TEXT(Overheads!$A:$A,"yyyy-mm"),0)) / MAX(SUMIFS($H:$H,$B:$B,"&gt;="&amp;EOMONTH(B400,-1)+1,$B:$B,"&lt;="&amp;EOMONTH(B400,0)),1)) * H400,0)</f>
        <v>0</v>
      </c>
      <c r="K400" s="16">
        <f t="shared" ca="1" si="19"/>
        <v>0</v>
      </c>
      <c r="L400" s="16">
        <f t="shared" ca="1" si="20"/>
        <v>0</v>
      </c>
      <c r="M400" s="11"/>
    </row>
    <row r="401" spans="2:13">
      <c r="B401" s="30"/>
      <c r="C401" s="11"/>
      <c r="D401" t="str">
        <f>IFERROR(VLOOKUP(C401,'Products Index'!$A:$B,2,FALSE),"")</f>
        <v/>
      </c>
      <c r="E401" s="25"/>
      <c r="F401" s="25"/>
      <c r="G401" s="25"/>
      <c r="H401">
        <f t="shared" si="18"/>
        <v>0</v>
      </c>
      <c r="I401" s="16">
        <f ca="1">IFERROR(INDIRECT("'"&amp;D401&amp;"'!$B$18")*(E401/VLOOKUP(C401,'Products Index'!$A:$E,5,FALSE)),0)</f>
        <v>0</v>
      </c>
      <c r="J401" s="16">
        <f>IFERROR((INDEX(Overheads!$H:$H, MATCH(TEXT(B401,"yyyy-mm"), TEXT(Overheads!$A:$A,"yyyy-mm"),0)) / MAX(SUMIFS($H:$H,$B:$B,"&gt;="&amp;EOMONTH(B401,-1)+1,$B:$B,"&lt;="&amp;EOMONTH(B401,0)),1)) * H401,0)</f>
        <v>0</v>
      </c>
      <c r="K401" s="16">
        <f t="shared" ca="1" si="19"/>
        <v>0</v>
      </c>
      <c r="L401" s="16">
        <f t="shared" ca="1" si="20"/>
        <v>0</v>
      </c>
      <c r="M401" s="11"/>
    </row>
    <row r="402" spans="2:13">
      <c r="B402" s="30"/>
      <c r="C402" s="11"/>
      <c r="D402" t="str">
        <f>IFERROR(VLOOKUP(C402,'Products Index'!$A:$B,2,FALSE),"")</f>
        <v/>
      </c>
      <c r="E402" s="25"/>
      <c r="F402" s="25"/>
      <c r="G402" s="25"/>
      <c r="H402">
        <f t="shared" si="18"/>
        <v>0</v>
      </c>
      <c r="I402" s="16">
        <f ca="1">IFERROR(INDIRECT("'"&amp;D402&amp;"'!$B$18")*(E402/VLOOKUP(C402,'Products Index'!$A:$E,5,FALSE)),0)</f>
        <v>0</v>
      </c>
      <c r="J402" s="16">
        <f>IFERROR((INDEX(Overheads!$H:$H, MATCH(TEXT(B402,"yyyy-mm"), TEXT(Overheads!$A:$A,"yyyy-mm"),0)) / MAX(SUMIFS($H:$H,$B:$B,"&gt;="&amp;EOMONTH(B402,-1)+1,$B:$B,"&lt;="&amp;EOMONTH(B402,0)),1)) * H402,0)</f>
        <v>0</v>
      </c>
      <c r="K402" s="16">
        <f t="shared" ca="1" si="19"/>
        <v>0</v>
      </c>
      <c r="L402" s="16">
        <f t="shared" ca="1" si="20"/>
        <v>0</v>
      </c>
      <c r="M402" s="11"/>
    </row>
    <row r="403" spans="2:13">
      <c r="B403" s="30"/>
      <c r="C403" s="11"/>
      <c r="D403" t="str">
        <f>IFERROR(VLOOKUP(C403,'Products Index'!$A:$B,2,FALSE),"")</f>
        <v/>
      </c>
      <c r="E403" s="25"/>
      <c r="F403" s="25"/>
      <c r="G403" s="25"/>
      <c r="H403">
        <f t="shared" si="18"/>
        <v>0</v>
      </c>
      <c r="I403" s="16">
        <f ca="1">IFERROR(INDIRECT("'"&amp;D403&amp;"'!$B$18")*(E403/VLOOKUP(C403,'Products Index'!$A:$E,5,FALSE)),0)</f>
        <v>0</v>
      </c>
      <c r="J403" s="16">
        <f>IFERROR((INDEX(Overheads!$H:$H, MATCH(TEXT(B403,"yyyy-mm"), TEXT(Overheads!$A:$A,"yyyy-mm"),0)) / MAX(SUMIFS($H:$H,$B:$B,"&gt;="&amp;EOMONTH(B403,-1)+1,$B:$B,"&lt;="&amp;EOMONTH(B403,0)),1)) * H403,0)</f>
        <v>0</v>
      </c>
      <c r="K403" s="16">
        <f t="shared" ca="1" si="19"/>
        <v>0</v>
      </c>
      <c r="L403" s="16">
        <f t="shared" ca="1" si="20"/>
        <v>0</v>
      </c>
      <c r="M403" s="11"/>
    </row>
    <row r="404" spans="2:13">
      <c r="B404" s="30"/>
      <c r="C404" s="11"/>
      <c r="D404" t="str">
        <f>IFERROR(VLOOKUP(C404,'Products Index'!$A:$B,2,FALSE),"")</f>
        <v/>
      </c>
      <c r="E404" s="25"/>
      <c r="F404" s="25"/>
      <c r="G404" s="25"/>
      <c r="H404">
        <f t="shared" si="18"/>
        <v>0</v>
      </c>
      <c r="I404" s="16">
        <f ca="1">IFERROR(INDIRECT("'"&amp;D404&amp;"'!$B$18")*(E404/VLOOKUP(C404,'Products Index'!$A:$E,5,FALSE)),0)</f>
        <v>0</v>
      </c>
      <c r="J404" s="16">
        <f>IFERROR((INDEX(Overheads!$H:$H, MATCH(TEXT(B404,"yyyy-mm"), TEXT(Overheads!$A:$A,"yyyy-mm"),0)) / MAX(SUMIFS($H:$H,$B:$B,"&gt;="&amp;EOMONTH(B404,-1)+1,$B:$B,"&lt;="&amp;EOMONTH(B404,0)),1)) * H404,0)</f>
        <v>0</v>
      </c>
      <c r="K404" s="16">
        <f t="shared" ca="1" si="19"/>
        <v>0</v>
      </c>
      <c r="L404" s="16">
        <f t="shared" ca="1" si="20"/>
        <v>0</v>
      </c>
      <c r="M404" s="11"/>
    </row>
    <row r="405" spans="2:13">
      <c r="B405" s="30"/>
      <c r="C405" s="11"/>
      <c r="D405" t="str">
        <f>IFERROR(VLOOKUP(C405,'Products Index'!$A:$B,2,FALSE),"")</f>
        <v/>
      </c>
      <c r="E405" s="25"/>
      <c r="F405" s="25"/>
      <c r="G405" s="25"/>
      <c r="H405">
        <f t="shared" si="18"/>
        <v>0</v>
      </c>
      <c r="I405" s="16">
        <f ca="1">IFERROR(INDIRECT("'"&amp;D405&amp;"'!$B$18")*(E405/VLOOKUP(C405,'Products Index'!$A:$E,5,FALSE)),0)</f>
        <v>0</v>
      </c>
      <c r="J405" s="16">
        <f>IFERROR((INDEX(Overheads!$H:$H, MATCH(TEXT(B405,"yyyy-mm"), TEXT(Overheads!$A:$A,"yyyy-mm"),0)) / MAX(SUMIFS($H:$H,$B:$B,"&gt;="&amp;EOMONTH(B405,-1)+1,$B:$B,"&lt;="&amp;EOMONTH(B405,0)),1)) * H405,0)</f>
        <v>0</v>
      </c>
      <c r="K405" s="16">
        <f t="shared" ca="1" si="19"/>
        <v>0</v>
      </c>
      <c r="L405" s="16">
        <f t="shared" ca="1" si="20"/>
        <v>0</v>
      </c>
      <c r="M405" s="11"/>
    </row>
    <row r="406" spans="2:13">
      <c r="B406" s="30"/>
      <c r="C406" s="11"/>
      <c r="D406" t="str">
        <f>IFERROR(VLOOKUP(C406,'Products Index'!$A:$B,2,FALSE),"")</f>
        <v/>
      </c>
      <c r="E406" s="25"/>
      <c r="F406" s="25"/>
      <c r="G406" s="25"/>
      <c r="H406">
        <f t="shared" si="18"/>
        <v>0</v>
      </c>
      <c r="I406" s="16">
        <f ca="1">IFERROR(INDIRECT("'"&amp;D406&amp;"'!$B$18")*(E406/VLOOKUP(C406,'Products Index'!$A:$E,5,FALSE)),0)</f>
        <v>0</v>
      </c>
      <c r="J406" s="16">
        <f>IFERROR((INDEX(Overheads!$H:$H, MATCH(TEXT(B406,"yyyy-mm"), TEXT(Overheads!$A:$A,"yyyy-mm"),0)) / MAX(SUMIFS($H:$H,$B:$B,"&gt;="&amp;EOMONTH(B406,-1)+1,$B:$B,"&lt;="&amp;EOMONTH(B406,0)),1)) * H406,0)</f>
        <v>0</v>
      </c>
      <c r="K406" s="16">
        <f t="shared" ca="1" si="19"/>
        <v>0</v>
      </c>
      <c r="L406" s="16">
        <f t="shared" ca="1" si="20"/>
        <v>0</v>
      </c>
      <c r="M406" s="11"/>
    </row>
    <row r="407" spans="2:13">
      <c r="B407" s="30"/>
      <c r="C407" s="11"/>
      <c r="D407" t="str">
        <f>IFERROR(VLOOKUP(C407,'Products Index'!$A:$B,2,FALSE),"")</f>
        <v/>
      </c>
      <c r="E407" s="25"/>
      <c r="F407" s="25"/>
      <c r="G407" s="25"/>
      <c r="H407">
        <f t="shared" si="18"/>
        <v>0</v>
      </c>
      <c r="I407" s="16">
        <f ca="1">IFERROR(INDIRECT("'"&amp;D407&amp;"'!$B$18")*(E407/VLOOKUP(C407,'Products Index'!$A:$E,5,FALSE)),0)</f>
        <v>0</v>
      </c>
      <c r="J407" s="16">
        <f>IFERROR((INDEX(Overheads!$H:$H, MATCH(TEXT(B407,"yyyy-mm"), TEXT(Overheads!$A:$A,"yyyy-mm"),0)) / MAX(SUMIFS($H:$H,$B:$B,"&gt;="&amp;EOMONTH(B407,-1)+1,$B:$B,"&lt;="&amp;EOMONTH(B407,0)),1)) * H407,0)</f>
        <v>0</v>
      </c>
      <c r="K407" s="16">
        <f t="shared" ca="1" si="19"/>
        <v>0</v>
      </c>
      <c r="L407" s="16">
        <f t="shared" ca="1" si="20"/>
        <v>0</v>
      </c>
      <c r="M407" s="11"/>
    </row>
    <row r="408" spans="2:13">
      <c r="B408" s="30"/>
      <c r="C408" s="11"/>
      <c r="D408" t="str">
        <f>IFERROR(VLOOKUP(C408,'Products Index'!$A:$B,2,FALSE),"")</f>
        <v/>
      </c>
      <c r="E408" s="25"/>
      <c r="F408" s="25"/>
      <c r="G408" s="25"/>
      <c r="H408">
        <f t="shared" si="18"/>
        <v>0</v>
      </c>
      <c r="I408" s="16">
        <f ca="1">IFERROR(INDIRECT("'"&amp;D408&amp;"'!$B$18")*(E408/VLOOKUP(C408,'Products Index'!$A:$E,5,FALSE)),0)</f>
        <v>0</v>
      </c>
      <c r="J408" s="16">
        <f>IFERROR((INDEX(Overheads!$H:$H, MATCH(TEXT(B408,"yyyy-mm"), TEXT(Overheads!$A:$A,"yyyy-mm"),0)) / MAX(SUMIFS($H:$H,$B:$B,"&gt;="&amp;EOMONTH(B408,-1)+1,$B:$B,"&lt;="&amp;EOMONTH(B408,0)),1)) * H408,0)</f>
        <v>0</v>
      </c>
      <c r="K408" s="16">
        <f t="shared" ca="1" si="19"/>
        <v>0</v>
      </c>
      <c r="L408" s="16">
        <f t="shared" ca="1" si="20"/>
        <v>0</v>
      </c>
      <c r="M408" s="11"/>
    </row>
    <row r="409" spans="2:13">
      <c r="B409" s="30"/>
      <c r="C409" s="11"/>
      <c r="D409" t="str">
        <f>IFERROR(VLOOKUP(C409,'Products Index'!$A:$B,2,FALSE),"")</f>
        <v/>
      </c>
      <c r="E409" s="25"/>
      <c r="F409" s="25"/>
      <c r="G409" s="25"/>
      <c r="H409">
        <f t="shared" si="18"/>
        <v>0</v>
      </c>
      <c r="I409" s="16">
        <f ca="1">IFERROR(INDIRECT("'"&amp;D409&amp;"'!$B$18")*(E409/VLOOKUP(C409,'Products Index'!$A:$E,5,FALSE)),0)</f>
        <v>0</v>
      </c>
      <c r="J409" s="16">
        <f>IFERROR((INDEX(Overheads!$H:$H, MATCH(TEXT(B409,"yyyy-mm"), TEXT(Overheads!$A:$A,"yyyy-mm"),0)) / MAX(SUMIFS($H:$H,$B:$B,"&gt;="&amp;EOMONTH(B409,-1)+1,$B:$B,"&lt;="&amp;EOMONTH(B409,0)),1)) * H409,0)</f>
        <v>0</v>
      </c>
      <c r="K409" s="16">
        <f t="shared" ca="1" si="19"/>
        <v>0</v>
      </c>
      <c r="L409" s="16">
        <f t="shared" ca="1" si="20"/>
        <v>0</v>
      </c>
      <c r="M409" s="11"/>
    </row>
    <row r="410" spans="2:13">
      <c r="B410" s="30"/>
      <c r="C410" s="11"/>
      <c r="D410" t="str">
        <f>IFERROR(VLOOKUP(C410,'Products Index'!$A:$B,2,FALSE),"")</f>
        <v/>
      </c>
      <c r="E410" s="25"/>
      <c r="F410" s="25"/>
      <c r="G410" s="25"/>
      <c r="H410">
        <f t="shared" si="18"/>
        <v>0</v>
      </c>
      <c r="I410" s="16">
        <f ca="1">IFERROR(INDIRECT("'"&amp;D410&amp;"'!$B$18")*(E410/VLOOKUP(C410,'Products Index'!$A:$E,5,FALSE)),0)</f>
        <v>0</v>
      </c>
      <c r="J410" s="16">
        <f>IFERROR((INDEX(Overheads!$H:$H, MATCH(TEXT(B410,"yyyy-mm"), TEXT(Overheads!$A:$A,"yyyy-mm"),0)) / MAX(SUMIFS($H:$H,$B:$B,"&gt;="&amp;EOMONTH(B410,-1)+1,$B:$B,"&lt;="&amp;EOMONTH(B410,0)),1)) * H410,0)</f>
        <v>0</v>
      </c>
      <c r="K410" s="16">
        <f t="shared" ca="1" si="19"/>
        <v>0</v>
      </c>
      <c r="L410" s="16">
        <f t="shared" ca="1" si="20"/>
        <v>0</v>
      </c>
      <c r="M410" s="11"/>
    </row>
    <row r="411" spans="2:13">
      <c r="B411" s="30"/>
      <c r="C411" s="11"/>
      <c r="D411" t="str">
        <f>IFERROR(VLOOKUP(C411,'Products Index'!$A:$B,2,FALSE),"")</f>
        <v/>
      </c>
      <c r="E411" s="25"/>
      <c r="F411" s="25"/>
      <c r="G411" s="25"/>
      <c r="H411">
        <f t="shared" si="18"/>
        <v>0</v>
      </c>
      <c r="I411" s="16">
        <f ca="1">IFERROR(INDIRECT("'"&amp;D411&amp;"'!$B$18")*(E411/VLOOKUP(C411,'Products Index'!$A:$E,5,FALSE)),0)</f>
        <v>0</v>
      </c>
      <c r="J411" s="16">
        <f>IFERROR((INDEX(Overheads!$H:$H, MATCH(TEXT(B411,"yyyy-mm"), TEXT(Overheads!$A:$A,"yyyy-mm"),0)) / MAX(SUMIFS($H:$H,$B:$B,"&gt;="&amp;EOMONTH(B411,-1)+1,$B:$B,"&lt;="&amp;EOMONTH(B411,0)),1)) * H411,0)</f>
        <v>0</v>
      </c>
      <c r="K411" s="16">
        <f t="shared" ca="1" si="19"/>
        <v>0</v>
      </c>
      <c r="L411" s="16">
        <f t="shared" ca="1" si="20"/>
        <v>0</v>
      </c>
      <c r="M411" s="11"/>
    </row>
    <row r="412" spans="2:13">
      <c r="B412" s="30"/>
      <c r="C412" s="11"/>
      <c r="D412" t="str">
        <f>IFERROR(VLOOKUP(C412,'Products Index'!$A:$B,2,FALSE),"")</f>
        <v/>
      </c>
      <c r="E412" s="25"/>
      <c r="F412" s="25"/>
      <c r="G412" s="25"/>
      <c r="H412">
        <f t="shared" si="18"/>
        <v>0</v>
      </c>
      <c r="I412" s="16">
        <f ca="1">IFERROR(INDIRECT("'"&amp;D412&amp;"'!$B$18")*(E412/VLOOKUP(C412,'Products Index'!$A:$E,5,FALSE)),0)</f>
        <v>0</v>
      </c>
      <c r="J412" s="16">
        <f>IFERROR((INDEX(Overheads!$H:$H, MATCH(TEXT(B412,"yyyy-mm"), TEXT(Overheads!$A:$A,"yyyy-mm"),0)) / MAX(SUMIFS($H:$H,$B:$B,"&gt;="&amp;EOMONTH(B412,-1)+1,$B:$B,"&lt;="&amp;EOMONTH(B412,0)),1)) * H412,0)</f>
        <v>0</v>
      </c>
      <c r="K412" s="16">
        <f t="shared" ca="1" si="19"/>
        <v>0</v>
      </c>
      <c r="L412" s="16">
        <f t="shared" ca="1" si="20"/>
        <v>0</v>
      </c>
      <c r="M412" s="11"/>
    </row>
    <row r="413" spans="2:13">
      <c r="B413" s="30"/>
      <c r="C413" s="11"/>
      <c r="D413" t="str">
        <f>IFERROR(VLOOKUP(C413,'Products Index'!$A:$B,2,FALSE),"")</f>
        <v/>
      </c>
      <c r="E413" s="25"/>
      <c r="F413" s="25"/>
      <c r="G413" s="25"/>
      <c r="H413">
        <f t="shared" si="18"/>
        <v>0</v>
      </c>
      <c r="I413" s="16">
        <f ca="1">IFERROR(INDIRECT("'"&amp;D413&amp;"'!$B$18")*(E413/VLOOKUP(C413,'Products Index'!$A:$E,5,FALSE)),0)</f>
        <v>0</v>
      </c>
      <c r="J413" s="16">
        <f>IFERROR((INDEX(Overheads!$H:$H, MATCH(TEXT(B413,"yyyy-mm"), TEXT(Overheads!$A:$A,"yyyy-mm"),0)) / MAX(SUMIFS($H:$H,$B:$B,"&gt;="&amp;EOMONTH(B413,-1)+1,$B:$B,"&lt;="&amp;EOMONTH(B413,0)),1)) * H413,0)</f>
        <v>0</v>
      </c>
      <c r="K413" s="16">
        <f t="shared" ca="1" si="19"/>
        <v>0</v>
      </c>
      <c r="L413" s="16">
        <f t="shared" ca="1" si="20"/>
        <v>0</v>
      </c>
      <c r="M413" s="11"/>
    </row>
    <row r="414" spans="2:13">
      <c r="B414" s="30"/>
      <c r="C414" s="11"/>
      <c r="D414" t="str">
        <f>IFERROR(VLOOKUP(C414,'Products Index'!$A:$B,2,FALSE),"")</f>
        <v/>
      </c>
      <c r="E414" s="25"/>
      <c r="F414" s="25"/>
      <c r="G414" s="25"/>
      <c r="H414">
        <f t="shared" si="18"/>
        <v>0</v>
      </c>
      <c r="I414" s="16">
        <f ca="1">IFERROR(INDIRECT("'"&amp;D414&amp;"'!$B$18")*(E414/VLOOKUP(C414,'Products Index'!$A:$E,5,FALSE)),0)</f>
        <v>0</v>
      </c>
      <c r="J414" s="16">
        <f>IFERROR((INDEX(Overheads!$H:$H, MATCH(TEXT(B414,"yyyy-mm"), TEXT(Overheads!$A:$A,"yyyy-mm"),0)) / MAX(SUMIFS($H:$H,$B:$B,"&gt;="&amp;EOMONTH(B414,-1)+1,$B:$B,"&lt;="&amp;EOMONTH(B414,0)),1)) * H414,0)</f>
        <v>0</v>
      </c>
      <c r="K414" s="16">
        <f t="shared" ca="1" si="19"/>
        <v>0</v>
      </c>
      <c r="L414" s="16">
        <f t="shared" ca="1" si="20"/>
        <v>0</v>
      </c>
      <c r="M414" s="11"/>
    </row>
    <row r="415" spans="2:13">
      <c r="B415" s="30"/>
      <c r="C415" s="11"/>
      <c r="D415" t="str">
        <f>IFERROR(VLOOKUP(C415,'Products Index'!$A:$B,2,FALSE),"")</f>
        <v/>
      </c>
      <c r="E415" s="25"/>
      <c r="F415" s="25"/>
      <c r="G415" s="25"/>
      <c r="H415">
        <f t="shared" si="18"/>
        <v>0</v>
      </c>
      <c r="I415" s="16">
        <f ca="1">IFERROR(INDIRECT("'"&amp;D415&amp;"'!$B$18")*(E415/VLOOKUP(C415,'Products Index'!$A:$E,5,FALSE)),0)</f>
        <v>0</v>
      </c>
      <c r="J415" s="16">
        <f>IFERROR((INDEX(Overheads!$H:$H, MATCH(TEXT(B415,"yyyy-mm"), TEXT(Overheads!$A:$A,"yyyy-mm"),0)) / MAX(SUMIFS($H:$H,$B:$B,"&gt;="&amp;EOMONTH(B415,-1)+1,$B:$B,"&lt;="&amp;EOMONTH(B415,0)),1)) * H415,0)</f>
        <v>0</v>
      </c>
      <c r="K415" s="16">
        <f t="shared" ca="1" si="19"/>
        <v>0</v>
      </c>
      <c r="L415" s="16">
        <f t="shared" ca="1" si="20"/>
        <v>0</v>
      </c>
      <c r="M415" s="11"/>
    </row>
    <row r="416" spans="2:13">
      <c r="B416" s="30"/>
      <c r="C416" s="11"/>
      <c r="D416" t="str">
        <f>IFERROR(VLOOKUP(C416,'Products Index'!$A:$B,2,FALSE),"")</f>
        <v/>
      </c>
      <c r="E416" s="25"/>
      <c r="F416" s="25"/>
      <c r="G416" s="25"/>
      <c r="H416">
        <f t="shared" si="18"/>
        <v>0</v>
      </c>
      <c r="I416" s="16">
        <f ca="1">IFERROR(INDIRECT("'"&amp;D416&amp;"'!$B$18")*(E416/VLOOKUP(C416,'Products Index'!$A:$E,5,FALSE)),0)</f>
        <v>0</v>
      </c>
      <c r="J416" s="16">
        <f>IFERROR((INDEX(Overheads!$H:$H, MATCH(TEXT(B416,"yyyy-mm"), TEXT(Overheads!$A:$A,"yyyy-mm"),0)) / MAX(SUMIFS($H:$H,$B:$B,"&gt;="&amp;EOMONTH(B416,-1)+1,$B:$B,"&lt;="&amp;EOMONTH(B416,0)),1)) * H416,0)</f>
        <v>0</v>
      </c>
      <c r="K416" s="16">
        <f t="shared" ca="1" si="19"/>
        <v>0</v>
      </c>
      <c r="L416" s="16">
        <f t="shared" ca="1" si="20"/>
        <v>0</v>
      </c>
      <c r="M416" s="11"/>
    </row>
    <row r="417" spans="2:13">
      <c r="B417" s="30"/>
      <c r="C417" s="11"/>
      <c r="D417" t="str">
        <f>IFERROR(VLOOKUP(C417,'Products Index'!$A:$B,2,FALSE),"")</f>
        <v/>
      </c>
      <c r="E417" s="25"/>
      <c r="F417" s="25"/>
      <c r="G417" s="25"/>
      <c r="H417">
        <f t="shared" si="18"/>
        <v>0</v>
      </c>
      <c r="I417" s="16">
        <f ca="1">IFERROR(INDIRECT("'"&amp;D417&amp;"'!$B$18")*(E417/VLOOKUP(C417,'Products Index'!$A:$E,5,FALSE)),0)</f>
        <v>0</v>
      </c>
      <c r="J417" s="16">
        <f>IFERROR((INDEX(Overheads!$H:$H, MATCH(TEXT(B417,"yyyy-mm"), TEXT(Overheads!$A:$A,"yyyy-mm"),0)) / MAX(SUMIFS($H:$H,$B:$B,"&gt;="&amp;EOMONTH(B417,-1)+1,$B:$B,"&lt;="&amp;EOMONTH(B417,0)),1)) * H417,0)</f>
        <v>0</v>
      </c>
      <c r="K417" s="16">
        <f t="shared" ca="1" si="19"/>
        <v>0</v>
      </c>
      <c r="L417" s="16">
        <f t="shared" ca="1" si="20"/>
        <v>0</v>
      </c>
      <c r="M417" s="11"/>
    </row>
    <row r="418" spans="2:13">
      <c r="B418" s="30"/>
      <c r="C418" s="11"/>
      <c r="D418" t="str">
        <f>IFERROR(VLOOKUP(C418,'Products Index'!$A:$B,2,FALSE),"")</f>
        <v/>
      </c>
      <c r="E418" s="25"/>
      <c r="F418" s="25"/>
      <c r="G418" s="25"/>
      <c r="H418">
        <f t="shared" si="18"/>
        <v>0</v>
      </c>
      <c r="I418" s="16">
        <f ca="1">IFERROR(INDIRECT("'"&amp;D418&amp;"'!$B$18")*(E418/VLOOKUP(C418,'Products Index'!$A:$E,5,FALSE)),0)</f>
        <v>0</v>
      </c>
      <c r="J418" s="16">
        <f>IFERROR((INDEX(Overheads!$H:$H, MATCH(TEXT(B418,"yyyy-mm"), TEXT(Overheads!$A:$A,"yyyy-mm"),0)) / MAX(SUMIFS($H:$H,$B:$B,"&gt;="&amp;EOMONTH(B418,-1)+1,$B:$B,"&lt;="&amp;EOMONTH(B418,0)),1)) * H418,0)</f>
        <v>0</v>
      </c>
      <c r="K418" s="16">
        <f t="shared" ca="1" si="19"/>
        <v>0</v>
      </c>
      <c r="L418" s="16">
        <f t="shared" ca="1" si="20"/>
        <v>0</v>
      </c>
      <c r="M418" s="11"/>
    </row>
    <row r="419" spans="2:13">
      <c r="B419" s="30"/>
      <c r="C419" s="11"/>
      <c r="D419" t="str">
        <f>IFERROR(VLOOKUP(C419,'Products Index'!$A:$B,2,FALSE),"")</f>
        <v/>
      </c>
      <c r="E419" s="25"/>
      <c r="F419" s="25"/>
      <c r="G419" s="25"/>
      <c r="H419">
        <f t="shared" si="18"/>
        <v>0</v>
      </c>
      <c r="I419" s="16">
        <f ca="1">IFERROR(INDIRECT("'"&amp;D419&amp;"'!$B$18")*(E419/VLOOKUP(C419,'Products Index'!$A:$E,5,FALSE)),0)</f>
        <v>0</v>
      </c>
      <c r="J419" s="16">
        <f>IFERROR((INDEX(Overheads!$H:$H, MATCH(TEXT(B419,"yyyy-mm"), TEXT(Overheads!$A:$A,"yyyy-mm"),0)) / MAX(SUMIFS($H:$H,$B:$B,"&gt;="&amp;EOMONTH(B419,-1)+1,$B:$B,"&lt;="&amp;EOMONTH(B419,0)),1)) * H419,0)</f>
        <v>0</v>
      </c>
      <c r="K419" s="16">
        <f t="shared" ca="1" si="19"/>
        <v>0</v>
      </c>
      <c r="L419" s="16">
        <f t="shared" ca="1" si="20"/>
        <v>0</v>
      </c>
      <c r="M419" s="11"/>
    </row>
    <row r="420" spans="2:13">
      <c r="B420" s="30"/>
      <c r="C420" s="11"/>
      <c r="D420" t="str">
        <f>IFERROR(VLOOKUP(C420,'Products Index'!$A:$B,2,FALSE),"")</f>
        <v/>
      </c>
      <c r="E420" s="25"/>
      <c r="F420" s="25"/>
      <c r="G420" s="25"/>
      <c r="H420">
        <f t="shared" si="18"/>
        <v>0</v>
      </c>
      <c r="I420" s="16">
        <f ca="1">IFERROR(INDIRECT("'"&amp;D420&amp;"'!$B$18")*(E420/VLOOKUP(C420,'Products Index'!$A:$E,5,FALSE)),0)</f>
        <v>0</v>
      </c>
      <c r="J420" s="16">
        <f>IFERROR((INDEX(Overheads!$H:$H, MATCH(TEXT(B420,"yyyy-mm"), TEXT(Overheads!$A:$A,"yyyy-mm"),0)) / MAX(SUMIFS($H:$H,$B:$B,"&gt;="&amp;EOMONTH(B420,-1)+1,$B:$B,"&lt;="&amp;EOMONTH(B420,0)),1)) * H420,0)</f>
        <v>0</v>
      </c>
      <c r="K420" s="16">
        <f t="shared" ca="1" si="19"/>
        <v>0</v>
      </c>
      <c r="L420" s="16">
        <f t="shared" ca="1" si="20"/>
        <v>0</v>
      </c>
      <c r="M420" s="11"/>
    </row>
    <row r="421" spans="2:13">
      <c r="B421" s="30"/>
      <c r="C421" s="11"/>
      <c r="D421" t="str">
        <f>IFERROR(VLOOKUP(C421,'Products Index'!$A:$B,2,FALSE),"")</f>
        <v/>
      </c>
      <c r="E421" s="25"/>
      <c r="F421" s="25"/>
      <c r="G421" s="25"/>
      <c r="H421">
        <f t="shared" si="18"/>
        <v>0</v>
      </c>
      <c r="I421" s="16">
        <f ca="1">IFERROR(INDIRECT("'"&amp;D421&amp;"'!$B$18")*(E421/VLOOKUP(C421,'Products Index'!$A:$E,5,FALSE)),0)</f>
        <v>0</v>
      </c>
      <c r="J421" s="16">
        <f>IFERROR((INDEX(Overheads!$H:$H, MATCH(TEXT(B421,"yyyy-mm"), TEXT(Overheads!$A:$A,"yyyy-mm"),0)) / MAX(SUMIFS($H:$H,$B:$B,"&gt;="&amp;EOMONTH(B421,-1)+1,$B:$B,"&lt;="&amp;EOMONTH(B421,0)),1)) * H421,0)</f>
        <v>0</v>
      </c>
      <c r="K421" s="16">
        <f t="shared" ca="1" si="19"/>
        <v>0</v>
      </c>
      <c r="L421" s="16">
        <f t="shared" ca="1" si="20"/>
        <v>0</v>
      </c>
      <c r="M421" s="11"/>
    </row>
    <row r="422" spans="2:13">
      <c r="B422" s="30"/>
      <c r="C422" s="11"/>
      <c r="D422" t="str">
        <f>IFERROR(VLOOKUP(C422,'Products Index'!$A:$B,2,FALSE),"")</f>
        <v/>
      </c>
      <c r="E422" s="25"/>
      <c r="F422" s="25"/>
      <c r="G422" s="25"/>
      <c r="H422">
        <f t="shared" si="18"/>
        <v>0</v>
      </c>
      <c r="I422" s="16">
        <f ca="1">IFERROR(INDIRECT("'"&amp;D422&amp;"'!$B$18")*(E422/VLOOKUP(C422,'Products Index'!$A:$E,5,FALSE)),0)</f>
        <v>0</v>
      </c>
      <c r="J422" s="16">
        <f>IFERROR((INDEX(Overheads!$H:$H, MATCH(TEXT(B422,"yyyy-mm"), TEXT(Overheads!$A:$A,"yyyy-mm"),0)) / MAX(SUMIFS($H:$H,$B:$B,"&gt;="&amp;EOMONTH(B422,-1)+1,$B:$B,"&lt;="&amp;EOMONTH(B422,0)),1)) * H422,0)</f>
        <v>0</v>
      </c>
      <c r="K422" s="16">
        <f t="shared" ca="1" si="19"/>
        <v>0</v>
      </c>
      <c r="L422" s="16">
        <f t="shared" ca="1" si="20"/>
        <v>0</v>
      </c>
      <c r="M422" s="11"/>
    </row>
    <row r="423" spans="2:13">
      <c r="B423" s="30"/>
      <c r="C423" s="11"/>
      <c r="D423" t="str">
        <f>IFERROR(VLOOKUP(C423,'Products Index'!$A:$B,2,FALSE),"")</f>
        <v/>
      </c>
      <c r="E423" s="25"/>
      <c r="F423" s="25"/>
      <c r="G423" s="25"/>
      <c r="H423">
        <f t="shared" si="18"/>
        <v>0</v>
      </c>
      <c r="I423" s="16">
        <f ca="1">IFERROR(INDIRECT("'"&amp;D423&amp;"'!$B$18")*(E423/VLOOKUP(C423,'Products Index'!$A:$E,5,FALSE)),0)</f>
        <v>0</v>
      </c>
      <c r="J423" s="16">
        <f>IFERROR((INDEX(Overheads!$H:$H, MATCH(TEXT(B423,"yyyy-mm"), TEXT(Overheads!$A:$A,"yyyy-mm"),0)) / MAX(SUMIFS($H:$H,$B:$B,"&gt;="&amp;EOMONTH(B423,-1)+1,$B:$B,"&lt;="&amp;EOMONTH(B423,0)),1)) * H423,0)</f>
        <v>0</v>
      </c>
      <c r="K423" s="16">
        <f t="shared" ca="1" si="19"/>
        <v>0</v>
      </c>
      <c r="L423" s="16">
        <f t="shared" ca="1" si="20"/>
        <v>0</v>
      </c>
      <c r="M423" s="11"/>
    </row>
    <row r="424" spans="2:13">
      <c r="B424" s="30"/>
      <c r="C424" s="11"/>
      <c r="D424" t="str">
        <f>IFERROR(VLOOKUP(C424,'Products Index'!$A:$B,2,FALSE),"")</f>
        <v/>
      </c>
      <c r="E424" s="25"/>
      <c r="F424" s="25"/>
      <c r="G424" s="25"/>
      <c r="H424">
        <f t="shared" si="18"/>
        <v>0</v>
      </c>
      <c r="I424" s="16">
        <f ca="1">IFERROR(INDIRECT("'"&amp;D424&amp;"'!$B$18")*(E424/VLOOKUP(C424,'Products Index'!$A:$E,5,FALSE)),0)</f>
        <v>0</v>
      </c>
      <c r="J424" s="16">
        <f>IFERROR((INDEX(Overheads!$H:$H, MATCH(TEXT(B424,"yyyy-mm"), TEXT(Overheads!$A:$A,"yyyy-mm"),0)) / MAX(SUMIFS($H:$H,$B:$B,"&gt;="&amp;EOMONTH(B424,-1)+1,$B:$B,"&lt;="&amp;EOMONTH(B424,0)),1)) * H424,0)</f>
        <v>0</v>
      </c>
      <c r="K424" s="16">
        <f t="shared" ca="1" si="19"/>
        <v>0</v>
      </c>
      <c r="L424" s="16">
        <f t="shared" ca="1" si="20"/>
        <v>0</v>
      </c>
      <c r="M424" s="11"/>
    </row>
    <row r="425" spans="2:13">
      <c r="B425" s="30"/>
      <c r="C425" s="11"/>
      <c r="D425" t="str">
        <f>IFERROR(VLOOKUP(C425,'Products Index'!$A:$B,2,FALSE),"")</f>
        <v/>
      </c>
      <c r="E425" s="25"/>
      <c r="F425" s="25"/>
      <c r="G425" s="25"/>
      <c r="H425">
        <f t="shared" si="18"/>
        <v>0</v>
      </c>
      <c r="I425" s="16">
        <f ca="1">IFERROR(INDIRECT("'"&amp;D425&amp;"'!$B$18")*(E425/VLOOKUP(C425,'Products Index'!$A:$E,5,FALSE)),0)</f>
        <v>0</v>
      </c>
      <c r="J425" s="16">
        <f>IFERROR((INDEX(Overheads!$H:$H, MATCH(TEXT(B425,"yyyy-mm"), TEXT(Overheads!$A:$A,"yyyy-mm"),0)) / MAX(SUMIFS($H:$H,$B:$B,"&gt;="&amp;EOMONTH(B425,-1)+1,$B:$B,"&lt;="&amp;EOMONTH(B425,0)),1)) * H425,0)</f>
        <v>0</v>
      </c>
      <c r="K425" s="16">
        <f t="shared" ca="1" si="19"/>
        <v>0</v>
      </c>
      <c r="L425" s="16">
        <f t="shared" ca="1" si="20"/>
        <v>0</v>
      </c>
      <c r="M425" s="11"/>
    </row>
    <row r="426" spans="2:13">
      <c r="B426" s="30"/>
      <c r="C426" s="11"/>
      <c r="D426" t="str">
        <f>IFERROR(VLOOKUP(C426,'Products Index'!$A:$B,2,FALSE),"")</f>
        <v/>
      </c>
      <c r="E426" s="25"/>
      <c r="F426" s="25"/>
      <c r="G426" s="25"/>
      <c r="H426">
        <f t="shared" si="18"/>
        <v>0</v>
      </c>
      <c r="I426" s="16">
        <f ca="1">IFERROR(INDIRECT("'"&amp;D426&amp;"'!$B$18")*(E426/VLOOKUP(C426,'Products Index'!$A:$E,5,FALSE)),0)</f>
        <v>0</v>
      </c>
      <c r="J426" s="16">
        <f>IFERROR((INDEX(Overheads!$H:$H, MATCH(TEXT(B426,"yyyy-mm"), TEXT(Overheads!$A:$A,"yyyy-mm"),0)) / MAX(SUMIFS($H:$H,$B:$B,"&gt;="&amp;EOMONTH(B426,-1)+1,$B:$B,"&lt;="&amp;EOMONTH(B426,0)),1)) * H426,0)</f>
        <v>0</v>
      </c>
      <c r="K426" s="16">
        <f t="shared" ca="1" si="19"/>
        <v>0</v>
      </c>
      <c r="L426" s="16">
        <f t="shared" ca="1" si="20"/>
        <v>0</v>
      </c>
      <c r="M426" s="11"/>
    </row>
    <row r="427" spans="2:13">
      <c r="B427" s="30"/>
      <c r="C427" s="11"/>
      <c r="D427" t="str">
        <f>IFERROR(VLOOKUP(C427,'Products Index'!$A:$B,2,FALSE),"")</f>
        <v/>
      </c>
      <c r="E427" s="25"/>
      <c r="F427" s="25"/>
      <c r="G427" s="25"/>
      <c r="H427">
        <f t="shared" si="18"/>
        <v>0</v>
      </c>
      <c r="I427" s="16">
        <f ca="1">IFERROR(INDIRECT("'"&amp;D427&amp;"'!$B$18")*(E427/VLOOKUP(C427,'Products Index'!$A:$E,5,FALSE)),0)</f>
        <v>0</v>
      </c>
      <c r="J427" s="16">
        <f>IFERROR((INDEX(Overheads!$H:$H, MATCH(TEXT(B427,"yyyy-mm"), TEXT(Overheads!$A:$A,"yyyy-mm"),0)) / MAX(SUMIFS($H:$H,$B:$B,"&gt;="&amp;EOMONTH(B427,-1)+1,$B:$B,"&lt;="&amp;EOMONTH(B427,0)),1)) * H427,0)</f>
        <v>0</v>
      </c>
      <c r="K427" s="16">
        <f t="shared" ca="1" si="19"/>
        <v>0</v>
      </c>
      <c r="L427" s="16">
        <f t="shared" ca="1" si="20"/>
        <v>0</v>
      </c>
      <c r="M427" s="11"/>
    </row>
    <row r="428" spans="2:13">
      <c r="B428" s="30"/>
      <c r="C428" s="11"/>
      <c r="D428" t="str">
        <f>IFERROR(VLOOKUP(C428,'Products Index'!$A:$B,2,FALSE),"")</f>
        <v/>
      </c>
      <c r="E428" s="25"/>
      <c r="F428" s="25"/>
      <c r="G428" s="25"/>
      <c r="H428">
        <f t="shared" si="18"/>
        <v>0</v>
      </c>
      <c r="I428" s="16">
        <f ca="1">IFERROR(INDIRECT("'"&amp;D428&amp;"'!$B$18")*(E428/VLOOKUP(C428,'Products Index'!$A:$E,5,FALSE)),0)</f>
        <v>0</v>
      </c>
      <c r="J428" s="16">
        <f>IFERROR((INDEX(Overheads!$H:$H, MATCH(TEXT(B428,"yyyy-mm"), TEXT(Overheads!$A:$A,"yyyy-mm"),0)) / MAX(SUMIFS($H:$H,$B:$B,"&gt;="&amp;EOMONTH(B428,-1)+1,$B:$B,"&lt;="&amp;EOMONTH(B428,0)),1)) * H428,0)</f>
        <v>0</v>
      </c>
      <c r="K428" s="16">
        <f t="shared" ca="1" si="19"/>
        <v>0</v>
      </c>
      <c r="L428" s="16">
        <f t="shared" ca="1" si="20"/>
        <v>0</v>
      </c>
      <c r="M428" s="11"/>
    </row>
    <row r="429" spans="2:13">
      <c r="B429" s="30"/>
      <c r="C429" s="11"/>
      <c r="D429" t="str">
        <f>IFERROR(VLOOKUP(C429,'Products Index'!$A:$B,2,FALSE),"")</f>
        <v/>
      </c>
      <c r="E429" s="25"/>
      <c r="F429" s="25"/>
      <c r="G429" s="25"/>
      <c r="H429">
        <f t="shared" si="18"/>
        <v>0</v>
      </c>
      <c r="I429" s="16">
        <f ca="1">IFERROR(INDIRECT("'"&amp;D429&amp;"'!$B$18")*(E429/VLOOKUP(C429,'Products Index'!$A:$E,5,FALSE)),0)</f>
        <v>0</v>
      </c>
      <c r="J429" s="16">
        <f>IFERROR((INDEX(Overheads!$H:$H, MATCH(TEXT(B429,"yyyy-mm"), TEXT(Overheads!$A:$A,"yyyy-mm"),0)) / MAX(SUMIFS($H:$H,$B:$B,"&gt;="&amp;EOMONTH(B429,-1)+1,$B:$B,"&lt;="&amp;EOMONTH(B429,0)),1)) * H429,0)</f>
        <v>0</v>
      </c>
      <c r="K429" s="16">
        <f t="shared" ca="1" si="19"/>
        <v>0</v>
      </c>
      <c r="L429" s="16">
        <f t="shared" ca="1" si="20"/>
        <v>0</v>
      </c>
      <c r="M429" s="11"/>
    </row>
    <row r="430" spans="2:13">
      <c r="B430" s="30"/>
      <c r="C430" s="11"/>
      <c r="D430" t="str">
        <f>IFERROR(VLOOKUP(C430,'Products Index'!$A:$B,2,FALSE),"")</f>
        <v/>
      </c>
      <c r="E430" s="25"/>
      <c r="F430" s="25"/>
      <c r="G430" s="25"/>
      <c r="H430">
        <f t="shared" si="18"/>
        <v>0</v>
      </c>
      <c r="I430" s="16">
        <f ca="1">IFERROR(INDIRECT("'"&amp;D430&amp;"'!$B$18")*(E430/VLOOKUP(C430,'Products Index'!$A:$E,5,FALSE)),0)</f>
        <v>0</v>
      </c>
      <c r="J430" s="16">
        <f>IFERROR((INDEX(Overheads!$H:$H, MATCH(TEXT(B430,"yyyy-mm"), TEXT(Overheads!$A:$A,"yyyy-mm"),0)) / MAX(SUMIFS($H:$H,$B:$B,"&gt;="&amp;EOMONTH(B430,-1)+1,$B:$B,"&lt;="&amp;EOMONTH(B430,0)),1)) * H430,0)</f>
        <v>0</v>
      </c>
      <c r="K430" s="16">
        <f t="shared" ca="1" si="19"/>
        <v>0</v>
      </c>
      <c r="L430" s="16">
        <f t="shared" ca="1" si="20"/>
        <v>0</v>
      </c>
      <c r="M430" s="11"/>
    </row>
    <row r="431" spans="2:13">
      <c r="B431" s="30"/>
      <c r="C431" s="11"/>
      <c r="D431" t="str">
        <f>IFERROR(VLOOKUP(C431,'Products Index'!$A:$B,2,FALSE),"")</f>
        <v/>
      </c>
      <c r="E431" s="25"/>
      <c r="F431" s="25"/>
      <c r="G431" s="25"/>
      <c r="H431">
        <f t="shared" si="18"/>
        <v>0</v>
      </c>
      <c r="I431" s="16">
        <f ca="1">IFERROR(INDIRECT("'"&amp;D431&amp;"'!$B$18")*(E431/VLOOKUP(C431,'Products Index'!$A:$E,5,FALSE)),0)</f>
        <v>0</v>
      </c>
      <c r="J431" s="16">
        <f>IFERROR((INDEX(Overheads!$H:$H, MATCH(TEXT(B431,"yyyy-mm"), TEXT(Overheads!$A:$A,"yyyy-mm"),0)) / MAX(SUMIFS($H:$H,$B:$B,"&gt;="&amp;EOMONTH(B431,-1)+1,$B:$B,"&lt;="&amp;EOMONTH(B431,0)),1)) * H431,0)</f>
        <v>0</v>
      </c>
      <c r="K431" s="16">
        <f t="shared" ca="1" si="19"/>
        <v>0</v>
      </c>
      <c r="L431" s="16">
        <f t="shared" ca="1" si="20"/>
        <v>0</v>
      </c>
      <c r="M431" s="11"/>
    </row>
    <row r="432" spans="2:13">
      <c r="B432" s="30"/>
      <c r="C432" s="11"/>
      <c r="D432" t="str">
        <f>IFERROR(VLOOKUP(C432,'Products Index'!$A:$B,2,FALSE),"")</f>
        <v/>
      </c>
      <c r="E432" s="25"/>
      <c r="F432" s="25"/>
      <c r="G432" s="25"/>
      <c r="H432">
        <f t="shared" si="18"/>
        <v>0</v>
      </c>
      <c r="I432" s="16">
        <f ca="1">IFERROR(INDIRECT("'"&amp;D432&amp;"'!$B$18")*(E432/VLOOKUP(C432,'Products Index'!$A:$E,5,FALSE)),0)</f>
        <v>0</v>
      </c>
      <c r="J432" s="16">
        <f>IFERROR((INDEX(Overheads!$H:$H, MATCH(TEXT(B432,"yyyy-mm"), TEXT(Overheads!$A:$A,"yyyy-mm"),0)) / MAX(SUMIFS($H:$H,$B:$B,"&gt;="&amp;EOMONTH(B432,-1)+1,$B:$B,"&lt;="&amp;EOMONTH(B432,0)),1)) * H432,0)</f>
        <v>0</v>
      </c>
      <c r="K432" s="16">
        <f t="shared" ca="1" si="19"/>
        <v>0</v>
      </c>
      <c r="L432" s="16">
        <f t="shared" ca="1" si="20"/>
        <v>0</v>
      </c>
      <c r="M432" s="11"/>
    </row>
    <row r="433" spans="2:13">
      <c r="B433" s="30"/>
      <c r="C433" s="11"/>
      <c r="D433" t="str">
        <f>IFERROR(VLOOKUP(C433,'Products Index'!$A:$B,2,FALSE),"")</f>
        <v/>
      </c>
      <c r="E433" s="25"/>
      <c r="F433" s="25"/>
      <c r="G433" s="25"/>
      <c r="H433">
        <f t="shared" si="18"/>
        <v>0</v>
      </c>
      <c r="I433" s="16">
        <f ca="1">IFERROR(INDIRECT("'"&amp;D433&amp;"'!$B$18")*(E433/VLOOKUP(C433,'Products Index'!$A:$E,5,FALSE)),0)</f>
        <v>0</v>
      </c>
      <c r="J433" s="16">
        <f>IFERROR((INDEX(Overheads!$H:$H, MATCH(TEXT(B433,"yyyy-mm"), TEXT(Overheads!$A:$A,"yyyy-mm"),0)) / MAX(SUMIFS($H:$H,$B:$B,"&gt;="&amp;EOMONTH(B433,-1)+1,$B:$B,"&lt;="&amp;EOMONTH(B433,0)),1)) * H433,0)</f>
        <v>0</v>
      </c>
      <c r="K433" s="16">
        <f t="shared" ca="1" si="19"/>
        <v>0</v>
      </c>
      <c r="L433" s="16">
        <f t="shared" ca="1" si="20"/>
        <v>0</v>
      </c>
      <c r="M433" s="11"/>
    </row>
    <row r="434" spans="2:13">
      <c r="B434" s="30"/>
      <c r="C434" s="11"/>
      <c r="D434" t="str">
        <f>IFERROR(VLOOKUP(C434,'Products Index'!$A:$B,2,FALSE),"")</f>
        <v/>
      </c>
      <c r="E434" s="25"/>
      <c r="F434" s="25"/>
      <c r="G434" s="25"/>
      <c r="H434">
        <f t="shared" si="18"/>
        <v>0</v>
      </c>
      <c r="I434" s="16">
        <f ca="1">IFERROR(INDIRECT("'"&amp;D434&amp;"'!$B$18")*(E434/VLOOKUP(C434,'Products Index'!$A:$E,5,FALSE)),0)</f>
        <v>0</v>
      </c>
      <c r="J434" s="16">
        <f>IFERROR((INDEX(Overheads!$H:$H, MATCH(TEXT(B434,"yyyy-mm"), TEXT(Overheads!$A:$A,"yyyy-mm"),0)) / MAX(SUMIFS($H:$H,$B:$B,"&gt;="&amp;EOMONTH(B434,-1)+1,$B:$B,"&lt;="&amp;EOMONTH(B434,0)),1)) * H434,0)</f>
        <v>0</v>
      </c>
      <c r="K434" s="16">
        <f t="shared" ca="1" si="19"/>
        <v>0</v>
      </c>
      <c r="L434" s="16">
        <f t="shared" ca="1" si="20"/>
        <v>0</v>
      </c>
      <c r="M434" s="11"/>
    </row>
    <row r="435" spans="2:13">
      <c r="B435" s="30"/>
      <c r="C435" s="11"/>
      <c r="D435" t="str">
        <f>IFERROR(VLOOKUP(C435,'Products Index'!$A:$B,2,FALSE),"")</f>
        <v/>
      </c>
      <c r="E435" s="25"/>
      <c r="F435" s="25"/>
      <c r="G435" s="25"/>
      <c r="H435">
        <f t="shared" si="18"/>
        <v>0</v>
      </c>
      <c r="I435" s="16">
        <f ca="1">IFERROR(INDIRECT("'"&amp;D435&amp;"'!$B$18")*(E435/VLOOKUP(C435,'Products Index'!$A:$E,5,FALSE)),0)</f>
        <v>0</v>
      </c>
      <c r="J435" s="16">
        <f>IFERROR((INDEX(Overheads!$H:$H, MATCH(TEXT(B435,"yyyy-mm"), TEXT(Overheads!$A:$A,"yyyy-mm"),0)) / MAX(SUMIFS($H:$H,$B:$B,"&gt;="&amp;EOMONTH(B435,-1)+1,$B:$B,"&lt;="&amp;EOMONTH(B435,0)),1)) * H435,0)</f>
        <v>0</v>
      </c>
      <c r="K435" s="16">
        <f t="shared" ca="1" si="19"/>
        <v>0</v>
      </c>
      <c r="L435" s="16">
        <f t="shared" ca="1" si="20"/>
        <v>0</v>
      </c>
      <c r="M435" s="11"/>
    </row>
    <row r="436" spans="2:13">
      <c r="B436" s="30"/>
      <c r="C436" s="11"/>
      <c r="D436" t="str">
        <f>IFERROR(VLOOKUP(C436,'Products Index'!$A:$B,2,FALSE),"")</f>
        <v/>
      </c>
      <c r="E436" s="25"/>
      <c r="F436" s="25"/>
      <c r="G436" s="25"/>
      <c r="H436">
        <f t="shared" si="18"/>
        <v>0</v>
      </c>
      <c r="I436" s="16">
        <f ca="1">IFERROR(INDIRECT("'"&amp;D436&amp;"'!$B$18")*(E436/VLOOKUP(C436,'Products Index'!$A:$E,5,FALSE)),0)</f>
        <v>0</v>
      </c>
      <c r="J436" s="16">
        <f>IFERROR((INDEX(Overheads!$H:$H, MATCH(TEXT(B436,"yyyy-mm"), TEXT(Overheads!$A:$A,"yyyy-mm"),0)) / MAX(SUMIFS($H:$H,$B:$B,"&gt;="&amp;EOMONTH(B436,-1)+1,$B:$B,"&lt;="&amp;EOMONTH(B436,0)),1)) * H436,0)</f>
        <v>0</v>
      </c>
      <c r="K436" s="16">
        <f t="shared" ca="1" si="19"/>
        <v>0</v>
      </c>
      <c r="L436" s="16">
        <f t="shared" ca="1" si="20"/>
        <v>0</v>
      </c>
      <c r="M436" s="11"/>
    </row>
    <row r="437" spans="2:13">
      <c r="B437" s="30"/>
      <c r="C437" s="11"/>
      <c r="D437" t="str">
        <f>IFERROR(VLOOKUP(C437,'Products Index'!$A:$B,2,FALSE),"")</f>
        <v/>
      </c>
      <c r="E437" s="25"/>
      <c r="F437" s="25"/>
      <c r="G437" s="25"/>
      <c r="H437">
        <f t="shared" si="18"/>
        <v>0</v>
      </c>
      <c r="I437" s="16">
        <f ca="1">IFERROR(INDIRECT("'"&amp;D437&amp;"'!$B$18")*(E437/VLOOKUP(C437,'Products Index'!$A:$E,5,FALSE)),0)</f>
        <v>0</v>
      </c>
      <c r="J437" s="16">
        <f>IFERROR((INDEX(Overheads!$H:$H, MATCH(TEXT(B437,"yyyy-mm"), TEXT(Overheads!$A:$A,"yyyy-mm"),0)) / MAX(SUMIFS($H:$H,$B:$B,"&gt;="&amp;EOMONTH(B437,-1)+1,$B:$B,"&lt;="&amp;EOMONTH(B437,0)),1)) * H437,0)</f>
        <v>0</v>
      </c>
      <c r="K437" s="16">
        <f t="shared" ca="1" si="19"/>
        <v>0</v>
      </c>
      <c r="L437" s="16">
        <f t="shared" ca="1" si="20"/>
        <v>0</v>
      </c>
      <c r="M437" s="11"/>
    </row>
    <row r="438" spans="2:13">
      <c r="B438" s="30"/>
      <c r="C438" s="11"/>
      <c r="D438" t="str">
        <f>IFERROR(VLOOKUP(C438,'Products Index'!$A:$B,2,FALSE),"")</f>
        <v/>
      </c>
      <c r="E438" s="25"/>
      <c r="F438" s="25"/>
      <c r="G438" s="25"/>
      <c r="H438">
        <f t="shared" si="18"/>
        <v>0</v>
      </c>
      <c r="I438" s="16">
        <f ca="1">IFERROR(INDIRECT("'"&amp;D438&amp;"'!$B$18")*(E438/VLOOKUP(C438,'Products Index'!$A:$E,5,FALSE)),0)</f>
        <v>0</v>
      </c>
      <c r="J438" s="16">
        <f>IFERROR((INDEX(Overheads!$H:$H, MATCH(TEXT(B438,"yyyy-mm"), TEXT(Overheads!$A:$A,"yyyy-mm"),0)) / MAX(SUMIFS($H:$H,$B:$B,"&gt;="&amp;EOMONTH(B438,-1)+1,$B:$B,"&lt;="&amp;EOMONTH(B438,0)),1)) * H438,0)</f>
        <v>0</v>
      </c>
      <c r="K438" s="16">
        <f t="shared" ca="1" si="19"/>
        <v>0</v>
      </c>
      <c r="L438" s="16">
        <f t="shared" ca="1" si="20"/>
        <v>0</v>
      </c>
      <c r="M438" s="11"/>
    </row>
    <row r="439" spans="2:13">
      <c r="B439" s="30"/>
      <c r="C439" s="11"/>
      <c r="D439" t="str">
        <f>IFERROR(VLOOKUP(C439,'Products Index'!$A:$B,2,FALSE),"")</f>
        <v/>
      </c>
      <c r="E439" s="25"/>
      <c r="F439" s="25"/>
      <c r="G439" s="25"/>
      <c r="H439">
        <f t="shared" si="18"/>
        <v>0</v>
      </c>
      <c r="I439" s="16">
        <f ca="1">IFERROR(INDIRECT("'"&amp;D439&amp;"'!$B$18")*(E439/VLOOKUP(C439,'Products Index'!$A:$E,5,FALSE)),0)</f>
        <v>0</v>
      </c>
      <c r="J439" s="16">
        <f>IFERROR((INDEX(Overheads!$H:$H, MATCH(TEXT(B439,"yyyy-mm"), TEXT(Overheads!$A:$A,"yyyy-mm"),0)) / MAX(SUMIFS($H:$H,$B:$B,"&gt;="&amp;EOMONTH(B439,-1)+1,$B:$B,"&lt;="&amp;EOMONTH(B439,0)),1)) * H439,0)</f>
        <v>0</v>
      </c>
      <c r="K439" s="16">
        <f t="shared" ca="1" si="19"/>
        <v>0</v>
      </c>
      <c r="L439" s="16">
        <f t="shared" ca="1" si="20"/>
        <v>0</v>
      </c>
      <c r="M439" s="11"/>
    </row>
    <row r="440" spans="2:13">
      <c r="B440" s="30"/>
      <c r="C440" s="11"/>
      <c r="D440" t="str">
        <f>IFERROR(VLOOKUP(C440,'Products Index'!$A:$B,2,FALSE),"")</f>
        <v/>
      </c>
      <c r="E440" s="25"/>
      <c r="F440" s="25"/>
      <c r="G440" s="25"/>
      <c r="H440">
        <f t="shared" si="18"/>
        <v>0</v>
      </c>
      <c r="I440" s="16">
        <f ca="1">IFERROR(INDIRECT("'"&amp;D440&amp;"'!$B$18")*(E440/VLOOKUP(C440,'Products Index'!$A:$E,5,FALSE)),0)</f>
        <v>0</v>
      </c>
      <c r="J440" s="16">
        <f>IFERROR((INDEX(Overheads!$H:$H, MATCH(TEXT(B440,"yyyy-mm"), TEXT(Overheads!$A:$A,"yyyy-mm"),0)) / MAX(SUMIFS($H:$H,$B:$B,"&gt;="&amp;EOMONTH(B440,-1)+1,$B:$B,"&lt;="&amp;EOMONTH(B440,0)),1)) * H440,0)</f>
        <v>0</v>
      </c>
      <c r="K440" s="16">
        <f t="shared" ca="1" si="19"/>
        <v>0</v>
      </c>
      <c r="L440" s="16">
        <f t="shared" ca="1" si="20"/>
        <v>0</v>
      </c>
      <c r="M440" s="11"/>
    </row>
    <row r="441" spans="2:13">
      <c r="B441" s="30"/>
      <c r="C441" s="11"/>
      <c r="D441" t="str">
        <f>IFERROR(VLOOKUP(C441,'Products Index'!$A:$B,2,FALSE),"")</f>
        <v/>
      </c>
      <c r="E441" s="25"/>
      <c r="F441" s="25"/>
      <c r="G441" s="25"/>
      <c r="H441">
        <f t="shared" si="18"/>
        <v>0</v>
      </c>
      <c r="I441" s="16">
        <f ca="1">IFERROR(INDIRECT("'"&amp;D441&amp;"'!$B$18")*(E441/VLOOKUP(C441,'Products Index'!$A:$E,5,FALSE)),0)</f>
        <v>0</v>
      </c>
      <c r="J441" s="16">
        <f>IFERROR((INDEX(Overheads!$H:$H, MATCH(TEXT(B441,"yyyy-mm"), TEXT(Overheads!$A:$A,"yyyy-mm"),0)) / MAX(SUMIFS($H:$H,$B:$B,"&gt;="&amp;EOMONTH(B441,-1)+1,$B:$B,"&lt;="&amp;EOMONTH(B441,0)),1)) * H441,0)</f>
        <v>0</v>
      </c>
      <c r="K441" s="16">
        <f t="shared" ca="1" si="19"/>
        <v>0</v>
      </c>
      <c r="L441" s="16">
        <f t="shared" ca="1" si="20"/>
        <v>0</v>
      </c>
      <c r="M441" s="11"/>
    </row>
    <row r="442" spans="2:13">
      <c r="B442" s="30"/>
      <c r="C442" s="11"/>
      <c r="D442" t="str">
        <f>IFERROR(VLOOKUP(C442,'Products Index'!$A:$B,2,FALSE),"")</f>
        <v/>
      </c>
      <c r="E442" s="25"/>
      <c r="F442" s="25"/>
      <c r="G442" s="25"/>
      <c r="H442">
        <f t="shared" si="18"/>
        <v>0</v>
      </c>
      <c r="I442" s="16">
        <f ca="1">IFERROR(INDIRECT("'"&amp;D442&amp;"'!$B$18")*(E442/VLOOKUP(C442,'Products Index'!$A:$E,5,FALSE)),0)</f>
        <v>0</v>
      </c>
      <c r="J442" s="16">
        <f>IFERROR((INDEX(Overheads!$H:$H, MATCH(TEXT(B442,"yyyy-mm"), TEXT(Overheads!$A:$A,"yyyy-mm"),0)) / MAX(SUMIFS($H:$H,$B:$B,"&gt;="&amp;EOMONTH(B442,-1)+1,$B:$B,"&lt;="&amp;EOMONTH(B442,0)),1)) * H442,0)</f>
        <v>0</v>
      </c>
      <c r="K442" s="16">
        <f t="shared" ca="1" si="19"/>
        <v>0</v>
      </c>
      <c r="L442" s="16">
        <f t="shared" ca="1" si="20"/>
        <v>0</v>
      </c>
      <c r="M442" s="11"/>
    </row>
    <row r="443" spans="2:13">
      <c r="B443" s="30"/>
      <c r="C443" s="11"/>
      <c r="D443" t="str">
        <f>IFERROR(VLOOKUP(C443,'Products Index'!$A:$B,2,FALSE),"")</f>
        <v/>
      </c>
      <c r="E443" s="25"/>
      <c r="F443" s="25"/>
      <c r="G443" s="25"/>
      <c r="H443">
        <f t="shared" si="18"/>
        <v>0</v>
      </c>
      <c r="I443" s="16">
        <f ca="1">IFERROR(INDIRECT("'"&amp;D443&amp;"'!$B$18")*(E443/VLOOKUP(C443,'Products Index'!$A:$E,5,FALSE)),0)</f>
        <v>0</v>
      </c>
      <c r="J443" s="16">
        <f>IFERROR((INDEX(Overheads!$H:$H, MATCH(TEXT(B443,"yyyy-mm"), TEXT(Overheads!$A:$A,"yyyy-mm"),0)) / MAX(SUMIFS($H:$H,$B:$B,"&gt;="&amp;EOMONTH(B443,-1)+1,$B:$B,"&lt;="&amp;EOMONTH(B443,0)),1)) * H443,0)</f>
        <v>0</v>
      </c>
      <c r="K443" s="16">
        <f t="shared" ca="1" si="19"/>
        <v>0</v>
      </c>
      <c r="L443" s="16">
        <f t="shared" ca="1" si="20"/>
        <v>0</v>
      </c>
      <c r="M443" s="11"/>
    </row>
    <row r="444" spans="2:13">
      <c r="B444" s="30"/>
      <c r="C444" s="11"/>
      <c r="D444" t="str">
        <f>IFERROR(VLOOKUP(C444,'Products Index'!$A:$B,2,FALSE),"")</f>
        <v/>
      </c>
      <c r="E444" s="25"/>
      <c r="F444" s="25"/>
      <c r="G444" s="25"/>
      <c r="H444">
        <f t="shared" si="18"/>
        <v>0</v>
      </c>
      <c r="I444" s="16">
        <f ca="1">IFERROR(INDIRECT("'"&amp;D444&amp;"'!$B$18")*(E444/VLOOKUP(C444,'Products Index'!$A:$E,5,FALSE)),0)</f>
        <v>0</v>
      </c>
      <c r="J444" s="16">
        <f>IFERROR((INDEX(Overheads!$H:$H, MATCH(TEXT(B444,"yyyy-mm"), TEXT(Overheads!$A:$A,"yyyy-mm"),0)) / MAX(SUMIFS($H:$H,$B:$B,"&gt;="&amp;EOMONTH(B444,-1)+1,$B:$B,"&lt;="&amp;EOMONTH(B444,0)),1)) * H444,0)</f>
        <v>0</v>
      </c>
      <c r="K444" s="16">
        <f t="shared" ca="1" si="19"/>
        <v>0</v>
      </c>
      <c r="L444" s="16">
        <f t="shared" ca="1" si="20"/>
        <v>0</v>
      </c>
      <c r="M444" s="11"/>
    </row>
    <row r="445" spans="2:13">
      <c r="B445" s="30"/>
      <c r="C445" s="11"/>
      <c r="D445" t="str">
        <f>IFERROR(VLOOKUP(C445,'Products Index'!$A:$B,2,FALSE),"")</f>
        <v/>
      </c>
      <c r="E445" s="25"/>
      <c r="F445" s="25"/>
      <c r="G445" s="25"/>
      <c r="H445">
        <f t="shared" si="18"/>
        <v>0</v>
      </c>
      <c r="I445" s="16">
        <f ca="1">IFERROR(INDIRECT("'"&amp;D445&amp;"'!$B$18")*(E445/VLOOKUP(C445,'Products Index'!$A:$E,5,FALSE)),0)</f>
        <v>0</v>
      </c>
      <c r="J445" s="16">
        <f>IFERROR((INDEX(Overheads!$H:$H, MATCH(TEXT(B445,"yyyy-mm"), TEXT(Overheads!$A:$A,"yyyy-mm"),0)) / MAX(SUMIFS($H:$H,$B:$B,"&gt;="&amp;EOMONTH(B445,-1)+1,$B:$B,"&lt;="&amp;EOMONTH(B445,0)),1)) * H445,0)</f>
        <v>0</v>
      </c>
      <c r="K445" s="16">
        <f t="shared" ca="1" si="19"/>
        <v>0</v>
      </c>
      <c r="L445" s="16">
        <f t="shared" ca="1" si="20"/>
        <v>0</v>
      </c>
      <c r="M445" s="11"/>
    </row>
    <row r="446" spans="2:13">
      <c r="B446" s="30"/>
      <c r="C446" s="11"/>
      <c r="D446" t="str">
        <f>IFERROR(VLOOKUP(C446,'Products Index'!$A:$B,2,FALSE),"")</f>
        <v/>
      </c>
      <c r="E446" s="25"/>
      <c r="F446" s="25"/>
      <c r="G446" s="25"/>
      <c r="H446">
        <f t="shared" si="18"/>
        <v>0</v>
      </c>
      <c r="I446" s="16">
        <f ca="1">IFERROR(INDIRECT("'"&amp;D446&amp;"'!$B$18")*(E446/VLOOKUP(C446,'Products Index'!$A:$E,5,FALSE)),0)</f>
        <v>0</v>
      </c>
      <c r="J446" s="16">
        <f>IFERROR((INDEX(Overheads!$H:$H, MATCH(TEXT(B446,"yyyy-mm"), TEXT(Overheads!$A:$A,"yyyy-mm"),0)) / MAX(SUMIFS($H:$H,$B:$B,"&gt;="&amp;EOMONTH(B446,-1)+1,$B:$B,"&lt;="&amp;EOMONTH(B446,0)),1)) * H446,0)</f>
        <v>0</v>
      </c>
      <c r="K446" s="16">
        <f t="shared" ca="1" si="19"/>
        <v>0</v>
      </c>
      <c r="L446" s="16">
        <f t="shared" ca="1" si="20"/>
        <v>0</v>
      </c>
      <c r="M446" s="11"/>
    </row>
    <row r="447" spans="2:13">
      <c r="B447" s="30"/>
      <c r="C447" s="11"/>
      <c r="D447" t="str">
        <f>IFERROR(VLOOKUP(C447,'Products Index'!$A:$B,2,FALSE),"")</f>
        <v/>
      </c>
      <c r="E447" s="25"/>
      <c r="F447" s="25"/>
      <c r="G447" s="25"/>
      <c r="H447">
        <f t="shared" si="18"/>
        <v>0</v>
      </c>
      <c r="I447" s="16">
        <f ca="1">IFERROR(INDIRECT("'"&amp;D447&amp;"'!$B$18")*(E447/VLOOKUP(C447,'Products Index'!$A:$E,5,FALSE)),0)</f>
        <v>0</v>
      </c>
      <c r="J447" s="16">
        <f>IFERROR((INDEX(Overheads!$H:$H, MATCH(TEXT(B447,"yyyy-mm"), TEXT(Overheads!$A:$A,"yyyy-mm"),0)) / MAX(SUMIFS($H:$H,$B:$B,"&gt;="&amp;EOMONTH(B447,-1)+1,$B:$B,"&lt;="&amp;EOMONTH(B447,0)),1)) * H447,0)</f>
        <v>0</v>
      </c>
      <c r="K447" s="16">
        <f t="shared" ca="1" si="19"/>
        <v>0</v>
      </c>
      <c r="L447" s="16">
        <f t="shared" ca="1" si="20"/>
        <v>0</v>
      </c>
      <c r="M447" s="11"/>
    </row>
    <row r="448" spans="2:13">
      <c r="B448" s="30"/>
      <c r="C448" s="11"/>
      <c r="D448" t="str">
        <f>IFERROR(VLOOKUP(C448,'Products Index'!$A:$B,2,FALSE),"")</f>
        <v/>
      </c>
      <c r="E448" s="25"/>
      <c r="F448" s="25"/>
      <c r="G448" s="25"/>
      <c r="H448">
        <f t="shared" si="18"/>
        <v>0</v>
      </c>
      <c r="I448" s="16">
        <f ca="1">IFERROR(INDIRECT("'"&amp;D448&amp;"'!$B$18")*(E448/VLOOKUP(C448,'Products Index'!$A:$E,5,FALSE)),0)</f>
        <v>0</v>
      </c>
      <c r="J448" s="16">
        <f>IFERROR((INDEX(Overheads!$H:$H, MATCH(TEXT(B448,"yyyy-mm"), TEXT(Overheads!$A:$A,"yyyy-mm"),0)) / MAX(SUMIFS($H:$H,$B:$B,"&gt;="&amp;EOMONTH(B448,-1)+1,$B:$B,"&lt;="&amp;EOMONTH(B448,0)),1)) * H448,0)</f>
        <v>0</v>
      </c>
      <c r="K448" s="16">
        <f t="shared" ca="1" si="19"/>
        <v>0</v>
      </c>
      <c r="L448" s="16">
        <f t="shared" ca="1" si="20"/>
        <v>0</v>
      </c>
      <c r="M448" s="11"/>
    </row>
    <row r="449" spans="2:13">
      <c r="B449" s="30"/>
      <c r="C449" s="11"/>
      <c r="D449" t="str">
        <f>IFERROR(VLOOKUP(C449,'Products Index'!$A:$B,2,FALSE),"")</f>
        <v/>
      </c>
      <c r="E449" s="25"/>
      <c r="F449" s="25"/>
      <c r="G449" s="25"/>
      <c r="H449">
        <f t="shared" si="18"/>
        <v>0</v>
      </c>
      <c r="I449" s="16">
        <f ca="1">IFERROR(INDIRECT("'"&amp;D449&amp;"'!$B$18")*(E449/VLOOKUP(C449,'Products Index'!$A:$E,5,FALSE)),0)</f>
        <v>0</v>
      </c>
      <c r="J449" s="16">
        <f>IFERROR((INDEX(Overheads!$H:$H, MATCH(TEXT(B449,"yyyy-mm"), TEXT(Overheads!$A:$A,"yyyy-mm"),0)) / MAX(SUMIFS($H:$H,$B:$B,"&gt;="&amp;EOMONTH(B449,-1)+1,$B:$B,"&lt;="&amp;EOMONTH(B449,0)),1)) * H449,0)</f>
        <v>0</v>
      </c>
      <c r="K449" s="16">
        <f t="shared" ca="1" si="19"/>
        <v>0</v>
      </c>
      <c r="L449" s="16">
        <f t="shared" ca="1" si="20"/>
        <v>0</v>
      </c>
      <c r="M449" s="11"/>
    </row>
    <row r="450" spans="2:13">
      <c r="B450" s="30"/>
      <c r="C450" s="11"/>
      <c r="D450" t="str">
        <f>IFERROR(VLOOKUP(C450,'Products Index'!$A:$B,2,FALSE),"")</f>
        <v/>
      </c>
      <c r="E450" s="25"/>
      <c r="F450" s="25"/>
      <c r="G450" s="25"/>
      <c r="H450">
        <f t="shared" ref="H450:H501" si="21">MAX(F450-G450,0)</f>
        <v>0</v>
      </c>
      <c r="I450" s="16">
        <f ca="1">IFERROR(INDIRECT("'"&amp;D450&amp;"'!$B$18")*(E450/VLOOKUP(C450,'Products Index'!$A:$E,5,FALSE)),0)</f>
        <v>0</v>
      </c>
      <c r="J450" s="16">
        <f>IFERROR((INDEX(Overheads!$H:$H, MATCH(TEXT(B450,"yyyy-mm"), TEXT(Overheads!$A:$A,"yyyy-mm"),0)) / MAX(SUMIFS($H:$H,$B:$B,"&gt;="&amp;EOMONTH(B450,-1)+1,$B:$B,"&lt;="&amp;EOMONTH(B450,0)),1)) * H450,0)</f>
        <v>0</v>
      </c>
      <c r="K450" s="16">
        <f t="shared" ref="K450:K501" ca="1" si="22">I450+J450</f>
        <v>0</v>
      </c>
      <c r="L450" s="16">
        <f t="shared" ref="L450:L501" ca="1" si="23">IFERROR(K450/MAX(H450,1),0)</f>
        <v>0</v>
      </c>
      <c r="M450" s="11"/>
    </row>
    <row r="451" spans="2:13">
      <c r="B451" s="30"/>
      <c r="C451" s="11"/>
      <c r="D451" t="str">
        <f>IFERROR(VLOOKUP(C451,'Products Index'!$A:$B,2,FALSE),"")</f>
        <v/>
      </c>
      <c r="E451" s="25"/>
      <c r="F451" s="25"/>
      <c r="G451" s="25"/>
      <c r="H451">
        <f t="shared" si="21"/>
        <v>0</v>
      </c>
      <c r="I451" s="16">
        <f ca="1">IFERROR(INDIRECT("'"&amp;D451&amp;"'!$B$18")*(E451/VLOOKUP(C451,'Products Index'!$A:$E,5,FALSE)),0)</f>
        <v>0</v>
      </c>
      <c r="J451" s="16">
        <f>IFERROR((INDEX(Overheads!$H:$H, MATCH(TEXT(B451,"yyyy-mm"), TEXT(Overheads!$A:$A,"yyyy-mm"),0)) / MAX(SUMIFS($H:$H,$B:$B,"&gt;="&amp;EOMONTH(B451,-1)+1,$B:$B,"&lt;="&amp;EOMONTH(B451,0)),1)) * H451,0)</f>
        <v>0</v>
      </c>
      <c r="K451" s="16">
        <f t="shared" ca="1" si="22"/>
        <v>0</v>
      </c>
      <c r="L451" s="16">
        <f t="shared" ca="1" si="23"/>
        <v>0</v>
      </c>
      <c r="M451" s="11"/>
    </row>
    <row r="452" spans="2:13">
      <c r="B452" s="30"/>
      <c r="C452" s="11"/>
      <c r="D452" t="str">
        <f>IFERROR(VLOOKUP(C452,'Products Index'!$A:$B,2,FALSE),"")</f>
        <v/>
      </c>
      <c r="E452" s="25"/>
      <c r="F452" s="25"/>
      <c r="G452" s="25"/>
      <c r="H452">
        <f t="shared" si="21"/>
        <v>0</v>
      </c>
      <c r="I452" s="16">
        <f ca="1">IFERROR(INDIRECT("'"&amp;D452&amp;"'!$B$18")*(E452/VLOOKUP(C452,'Products Index'!$A:$E,5,FALSE)),0)</f>
        <v>0</v>
      </c>
      <c r="J452" s="16">
        <f>IFERROR((INDEX(Overheads!$H:$H, MATCH(TEXT(B452,"yyyy-mm"), TEXT(Overheads!$A:$A,"yyyy-mm"),0)) / MAX(SUMIFS($H:$H,$B:$B,"&gt;="&amp;EOMONTH(B452,-1)+1,$B:$B,"&lt;="&amp;EOMONTH(B452,0)),1)) * H452,0)</f>
        <v>0</v>
      </c>
      <c r="K452" s="16">
        <f t="shared" ca="1" si="22"/>
        <v>0</v>
      </c>
      <c r="L452" s="16">
        <f t="shared" ca="1" si="23"/>
        <v>0</v>
      </c>
      <c r="M452" s="11"/>
    </row>
    <row r="453" spans="2:13">
      <c r="B453" s="30"/>
      <c r="C453" s="11"/>
      <c r="D453" t="str">
        <f>IFERROR(VLOOKUP(C453,'Products Index'!$A:$B,2,FALSE),"")</f>
        <v/>
      </c>
      <c r="E453" s="25"/>
      <c r="F453" s="25"/>
      <c r="G453" s="25"/>
      <c r="H453">
        <f t="shared" si="21"/>
        <v>0</v>
      </c>
      <c r="I453" s="16">
        <f ca="1">IFERROR(INDIRECT("'"&amp;D453&amp;"'!$B$18")*(E453/VLOOKUP(C453,'Products Index'!$A:$E,5,FALSE)),0)</f>
        <v>0</v>
      </c>
      <c r="J453" s="16">
        <f>IFERROR((INDEX(Overheads!$H:$H, MATCH(TEXT(B453,"yyyy-mm"), TEXT(Overheads!$A:$A,"yyyy-mm"),0)) / MAX(SUMIFS($H:$H,$B:$B,"&gt;="&amp;EOMONTH(B453,-1)+1,$B:$B,"&lt;="&amp;EOMONTH(B453,0)),1)) * H453,0)</f>
        <v>0</v>
      </c>
      <c r="K453" s="16">
        <f t="shared" ca="1" si="22"/>
        <v>0</v>
      </c>
      <c r="L453" s="16">
        <f t="shared" ca="1" si="23"/>
        <v>0</v>
      </c>
      <c r="M453" s="11"/>
    </row>
    <row r="454" spans="2:13">
      <c r="B454" s="30"/>
      <c r="C454" s="11"/>
      <c r="D454" t="str">
        <f>IFERROR(VLOOKUP(C454,'Products Index'!$A:$B,2,FALSE),"")</f>
        <v/>
      </c>
      <c r="E454" s="25"/>
      <c r="F454" s="25"/>
      <c r="G454" s="25"/>
      <c r="H454">
        <f t="shared" si="21"/>
        <v>0</v>
      </c>
      <c r="I454" s="16">
        <f ca="1">IFERROR(INDIRECT("'"&amp;D454&amp;"'!$B$18")*(E454/VLOOKUP(C454,'Products Index'!$A:$E,5,FALSE)),0)</f>
        <v>0</v>
      </c>
      <c r="J454" s="16">
        <f>IFERROR((INDEX(Overheads!$H:$H, MATCH(TEXT(B454,"yyyy-mm"), TEXT(Overheads!$A:$A,"yyyy-mm"),0)) / MAX(SUMIFS($H:$H,$B:$B,"&gt;="&amp;EOMONTH(B454,-1)+1,$B:$B,"&lt;="&amp;EOMONTH(B454,0)),1)) * H454,0)</f>
        <v>0</v>
      </c>
      <c r="K454" s="16">
        <f t="shared" ca="1" si="22"/>
        <v>0</v>
      </c>
      <c r="L454" s="16">
        <f t="shared" ca="1" si="23"/>
        <v>0</v>
      </c>
      <c r="M454" s="11"/>
    </row>
    <row r="455" spans="2:13">
      <c r="B455" s="30"/>
      <c r="C455" s="11"/>
      <c r="D455" t="str">
        <f>IFERROR(VLOOKUP(C455,'Products Index'!$A:$B,2,FALSE),"")</f>
        <v/>
      </c>
      <c r="E455" s="25"/>
      <c r="F455" s="25"/>
      <c r="G455" s="25"/>
      <c r="H455">
        <f t="shared" si="21"/>
        <v>0</v>
      </c>
      <c r="I455" s="16">
        <f ca="1">IFERROR(INDIRECT("'"&amp;D455&amp;"'!$B$18")*(E455/VLOOKUP(C455,'Products Index'!$A:$E,5,FALSE)),0)</f>
        <v>0</v>
      </c>
      <c r="J455" s="16">
        <f>IFERROR((INDEX(Overheads!$H:$H, MATCH(TEXT(B455,"yyyy-mm"), TEXT(Overheads!$A:$A,"yyyy-mm"),0)) / MAX(SUMIFS($H:$H,$B:$B,"&gt;="&amp;EOMONTH(B455,-1)+1,$B:$B,"&lt;="&amp;EOMONTH(B455,0)),1)) * H455,0)</f>
        <v>0</v>
      </c>
      <c r="K455" s="16">
        <f t="shared" ca="1" si="22"/>
        <v>0</v>
      </c>
      <c r="L455" s="16">
        <f t="shared" ca="1" si="23"/>
        <v>0</v>
      </c>
      <c r="M455" s="11"/>
    </row>
    <row r="456" spans="2:13">
      <c r="B456" s="30"/>
      <c r="C456" s="11"/>
      <c r="D456" t="str">
        <f>IFERROR(VLOOKUP(C456,'Products Index'!$A:$B,2,FALSE),"")</f>
        <v/>
      </c>
      <c r="E456" s="25"/>
      <c r="F456" s="25"/>
      <c r="G456" s="25"/>
      <c r="H456">
        <f t="shared" si="21"/>
        <v>0</v>
      </c>
      <c r="I456" s="16">
        <f ca="1">IFERROR(INDIRECT("'"&amp;D456&amp;"'!$B$18")*(E456/VLOOKUP(C456,'Products Index'!$A:$E,5,FALSE)),0)</f>
        <v>0</v>
      </c>
      <c r="J456" s="16">
        <f>IFERROR((INDEX(Overheads!$H:$H, MATCH(TEXT(B456,"yyyy-mm"), TEXT(Overheads!$A:$A,"yyyy-mm"),0)) / MAX(SUMIFS($H:$H,$B:$B,"&gt;="&amp;EOMONTH(B456,-1)+1,$B:$B,"&lt;="&amp;EOMONTH(B456,0)),1)) * H456,0)</f>
        <v>0</v>
      </c>
      <c r="K456" s="16">
        <f t="shared" ca="1" si="22"/>
        <v>0</v>
      </c>
      <c r="L456" s="16">
        <f t="shared" ca="1" si="23"/>
        <v>0</v>
      </c>
      <c r="M456" s="11"/>
    </row>
    <row r="457" spans="2:13">
      <c r="B457" s="30"/>
      <c r="C457" s="11"/>
      <c r="D457" t="str">
        <f>IFERROR(VLOOKUP(C457,'Products Index'!$A:$B,2,FALSE),"")</f>
        <v/>
      </c>
      <c r="E457" s="25"/>
      <c r="F457" s="25"/>
      <c r="G457" s="25"/>
      <c r="H457">
        <f t="shared" si="21"/>
        <v>0</v>
      </c>
      <c r="I457" s="16">
        <f ca="1">IFERROR(INDIRECT("'"&amp;D457&amp;"'!$B$18")*(E457/VLOOKUP(C457,'Products Index'!$A:$E,5,FALSE)),0)</f>
        <v>0</v>
      </c>
      <c r="J457" s="16">
        <f>IFERROR((INDEX(Overheads!$H:$H, MATCH(TEXT(B457,"yyyy-mm"), TEXT(Overheads!$A:$A,"yyyy-mm"),0)) / MAX(SUMIFS($H:$H,$B:$B,"&gt;="&amp;EOMONTH(B457,-1)+1,$B:$B,"&lt;="&amp;EOMONTH(B457,0)),1)) * H457,0)</f>
        <v>0</v>
      </c>
      <c r="K457" s="16">
        <f t="shared" ca="1" si="22"/>
        <v>0</v>
      </c>
      <c r="L457" s="16">
        <f t="shared" ca="1" si="23"/>
        <v>0</v>
      </c>
      <c r="M457" s="11"/>
    </row>
    <row r="458" spans="2:13">
      <c r="B458" s="30"/>
      <c r="C458" s="11"/>
      <c r="D458" t="str">
        <f>IFERROR(VLOOKUP(C458,'Products Index'!$A:$B,2,FALSE),"")</f>
        <v/>
      </c>
      <c r="E458" s="25"/>
      <c r="F458" s="25"/>
      <c r="G458" s="25"/>
      <c r="H458">
        <f t="shared" si="21"/>
        <v>0</v>
      </c>
      <c r="I458" s="16">
        <f ca="1">IFERROR(INDIRECT("'"&amp;D458&amp;"'!$B$18")*(E458/VLOOKUP(C458,'Products Index'!$A:$E,5,FALSE)),0)</f>
        <v>0</v>
      </c>
      <c r="J458" s="16">
        <f>IFERROR((INDEX(Overheads!$H:$H, MATCH(TEXT(B458,"yyyy-mm"), TEXT(Overheads!$A:$A,"yyyy-mm"),0)) / MAX(SUMIFS($H:$H,$B:$B,"&gt;="&amp;EOMONTH(B458,-1)+1,$B:$B,"&lt;="&amp;EOMONTH(B458,0)),1)) * H458,0)</f>
        <v>0</v>
      </c>
      <c r="K458" s="16">
        <f t="shared" ca="1" si="22"/>
        <v>0</v>
      </c>
      <c r="L458" s="16">
        <f t="shared" ca="1" si="23"/>
        <v>0</v>
      </c>
      <c r="M458" s="11"/>
    </row>
    <row r="459" spans="2:13">
      <c r="B459" s="30"/>
      <c r="C459" s="11"/>
      <c r="D459" t="str">
        <f>IFERROR(VLOOKUP(C459,'Products Index'!$A:$B,2,FALSE),"")</f>
        <v/>
      </c>
      <c r="E459" s="25"/>
      <c r="F459" s="25"/>
      <c r="G459" s="25"/>
      <c r="H459">
        <f t="shared" si="21"/>
        <v>0</v>
      </c>
      <c r="I459" s="16">
        <f ca="1">IFERROR(INDIRECT("'"&amp;D459&amp;"'!$B$18")*(E459/VLOOKUP(C459,'Products Index'!$A:$E,5,FALSE)),0)</f>
        <v>0</v>
      </c>
      <c r="J459" s="16">
        <f>IFERROR((INDEX(Overheads!$H:$H, MATCH(TEXT(B459,"yyyy-mm"), TEXT(Overheads!$A:$A,"yyyy-mm"),0)) / MAX(SUMIFS($H:$H,$B:$B,"&gt;="&amp;EOMONTH(B459,-1)+1,$B:$B,"&lt;="&amp;EOMONTH(B459,0)),1)) * H459,0)</f>
        <v>0</v>
      </c>
      <c r="K459" s="16">
        <f t="shared" ca="1" si="22"/>
        <v>0</v>
      </c>
      <c r="L459" s="16">
        <f t="shared" ca="1" si="23"/>
        <v>0</v>
      </c>
      <c r="M459" s="11"/>
    </row>
    <row r="460" spans="2:13">
      <c r="B460" s="30"/>
      <c r="C460" s="11"/>
      <c r="D460" t="str">
        <f>IFERROR(VLOOKUP(C460,'Products Index'!$A:$B,2,FALSE),"")</f>
        <v/>
      </c>
      <c r="E460" s="25"/>
      <c r="F460" s="25"/>
      <c r="G460" s="25"/>
      <c r="H460">
        <f t="shared" si="21"/>
        <v>0</v>
      </c>
      <c r="I460" s="16">
        <f ca="1">IFERROR(INDIRECT("'"&amp;D460&amp;"'!$B$18")*(E460/VLOOKUP(C460,'Products Index'!$A:$E,5,FALSE)),0)</f>
        <v>0</v>
      </c>
      <c r="J460" s="16">
        <f>IFERROR((INDEX(Overheads!$H:$H, MATCH(TEXT(B460,"yyyy-mm"), TEXT(Overheads!$A:$A,"yyyy-mm"),0)) / MAX(SUMIFS($H:$H,$B:$B,"&gt;="&amp;EOMONTH(B460,-1)+1,$B:$B,"&lt;="&amp;EOMONTH(B460,0)),1)) * H460,0)</f>
        <v>0</v>
      </c>
      <c r="K460" s="16">
        <f t="shared" ca="1" si="22"/>
        <v>0</v>
      </c>
      <c r="L460" s="16">
        <f t="shared" ca="1" si="23"/>
        <v>0</v>
      </c>
      <c r="M460" s="11"/>
    </row>
    <row r="461" spans="2:13">
      <c r="B461" s="30"/>
      <c r="C461" s="11"/>
      <c r="D461" t="str">
        <f>IFERROR(VLOOKUP(C461,'Products Index'!$A:$B,2,FALSE),"")</f>
        <v/>
      </c>
      <c r="E461" s="25"/>
      <c r="F461" s="25"/>
      <c r="G461" s="25"/>
      <c r="H461">
        <f t="shared" si="21"/>
        <v>0</v>
      </c>
      <c r="I461" s="16">
        <f ca="1">IFERROR(INDIRECT("'"&amp;D461&amp;"'!$B$18")*(E461/VLOOKUP(C461,'Products Index'!$A:$E,5,FALSE)),0)</f>
        <v>0</v>
      </c>
      <c r="J461" s="16">
        <f>IFERROR((INDEX(Overheads!$H:$H, MATCH(TEXT(B461,"yyyy-mm"), TEXT(Overheads!$A:$A,"yyyy-mm"),0)) / MAX(SUMIFS($H:$H,$B:$B,"&gt;="&amp;EOMONTH(B461,-1)+1,$B:$B,"&lt;="&amp;EOMONTH(B461,0)),1)) * H461,0)</f>
        <v>0</v>
      </c>
      <c r="K461" s="16">
        <f t="shared" ca="1" si="22"/>
        <v>0</v>
      </c>
      <c r="L461" s="16">
        <f t="shared" ca="1" si="23"/>
        <v>0</v>
      </c>
      <c r="M461" s="11"/>
    </row>
    <row r="462" spans="2:13">
      <c r="B462" s="30"/>
      <c r="C462" s="11"/>
      <c r="D462" t="str">
        <f>IFERROR(VLOOKUP(C462,'Products Index'!$A:$B,2,FALSE),"")</f>
        <v/>
      </c>
      <c r="E462" s="25"/>
      <c r="F462" s="25"/>
      <c r="G462" s="25"/>
      <c r="H462">
        <f t="shared" si="21"/>
        <v>0</v>
      </c>
      <c r="I462" s="16">
        <f ca="1">IFERROR(INDIRECT("'"&amp;D462&amp;"'!$B$18")*(E462/VLOOKUP(C462,'Products Index'!$A:$E,5,FALSE)),0)</f>
        <v>0</v>
      </c>
      <c r="J462" s="16">
        <f>IFERROR((INDEX(Overheads!$H:$H, MATCH(TEXT(B462,"yyyy-mm"), TEXT(Overheads!$A:$A,"yyyy-mm"),0)) / MAX(SUMIFS($H:$H,$B:$B,"&gt;="&amp;EOMONTH(B462,-1)+1,$B:$B,"&lt;="&amp;EOMONTH(B462,0)),1)) * H462,0)</f>
        <v>0</v>
      </c>
      <c r="K462" s="16">
        <f t="shared" ca="1" si="22"/>
        <v>0</v>
      </c>
      <c r="L462" s="16">
        <f t="shared" ca="1" si="23"/>
        <v>0</v>
      </c>
      <c r="M462" s="11"/>
    </row>
    <row r="463" spans="2:13">
      <c r="B463" s="30"/>
      <c r="C463" s="11"/>
      <c r="D463" t="str">
        <f>IFERROR(VLOOKUP(C463,'Products Index'!$A:$B,2,FALSE),"")</f>
        <v/>
      </c>
      <c r="E463" s="25"/>
      <c r="F463" s="25"/>
      <c r="G463" s="25"/>
      <c r="H463">
        <f t="shared" si="21"/>
        <v>0</v>
      </c>
      <c r="I463" s="16">
        <f ca="1">IFERROR(INDIRECT("'"&amp;D463&amp;"'!$B$18")*(E463/VLOOKUP(C463,'Products Index'!$A:$E,5,FALSE)),0)</f>
        <v>0</v>
      </c>
      <c r="J463" s="16">
        <f>IFERROR((INDEX(Overheads!$H:$H, MATCH(TEXT(B463,"yyyy-mm"), TEXT(Overheads!$A:$A,"yyyy-mm"),0)) / MAX(SUMIFS($H:$H,$B:$B,"&gt;="&amp;EOMONTH(B463,-1)+1,$B:$B,"&lt;="&amp;EOMONTH(B463,0)),1)) * H463,0)</f>
        <v>0</v>
      </c>
      <c r="K463" s="16">
        <f t="shared" ca="1" si="22"/>
        <v>0</v>
      </c>
      <c r="L463" s="16">
        <f t="shared" ca="1" si="23"/>
        <v>0</v>
      </c>
      <c r="M463" s="11"/>
    </row>
    <row r="464" spans="2:13">
      <c r="B464" s="30"/>
      <c r="C464" s="11"/>
      <c r="D464" t="str">
        <f>IFERROR(VLOOKUP(C464,'Products Index'!$A:$B,2,FALSE),"")</f>
        <v/>
      </c>
      <c r="E464" s="25"/>
      <c r="F464" s="25"/>
      <c r="G464" s="25"/>
      <c r="H464">
        <f t="shared" si="21"/>
        <v>0</v>
      </c>
      <c r="I464" s="16">
        <f ca="1">IFERROR(INDIRECT("'"&amp;D464&amp;"'!$B$18")*(E464/VLOOKUP(C464,'Products Index'!$A:$E,5,FALSE)),0)</f>
        <v>0</v>
      </c>
      <c r="J464" s="16">
        <f>IFERROR((INDEX(Overheads!$H:$H, MATCH(TEXT(B464,"yyyy-mm"), TEXT(Overheads!$A:$A,"yyyy-mm"),0)) / MAX(SUMIFS($H:$H,$B:$B,"&gt;="&amp;EOMONTH(B464,-1)+1,$B:$B,"&lt;="&amp;EOMONTH(B464,0)),1)) * H464,0)</f>
        <v>0</v>
      </c>
      <c r="K464" s="16">
        <f t="shared" ca="1" si="22"/>
        <v>0</v>
      </c>
      <c r="L464" s="16">
        <f t="shared" ca="1" si="23"/>
        <v>0</v>
      </c>
      <c r="M464" s="11"/>
    </row>
    <row r="465" spans="2:13">
      <c r="B465" s="30"/>
      <c r="C465" s="11"/>
      <c r="D465" t="str">
        <f>IFERROR(VLOOKUP(C465,'Products Index'!$A:$B,2,FALSE),"")</f>
        <v/>
      </c>
      <c r="E465" s="25"/>
      <c r="F465" s="25"/>
      <c r="G465" s="25"/>
      <c r="H465">
        <f t="shared" si="21"/>
        <v>0</v>
      </c>
      <c r="I465" s="16">
        <f ca="1">IFERROR(INDIRECT("'"&amp;D465&amp;"'!$B$18")*(E465/VLOOKUP(C465,'Products Index'!$A:$E,5,FALSE)),0)</f>
        <v>0</v>
      </c>
      <c r="J465" s="16">
        <f>IFERROR((INDEX(Overheads!$H:$H, MATCH(TEXT(B465,"yyyy-mm"), TEXT(Overheads!$A:$A,"yyyy-mm"),0)) / MAX(SUMIFS($H:$H,$B:$B,"&gt;="&amp;EOMONTH(B465,-1)+1,$B:$B,"&lt;="&amp;EOMONTH(B465,0)),1)) * H465,0)</f>
        <v>0</v>
      </c>
      <c r="K465" s="16">
        <f t="shared" ca="1" si="22"/>
        <v>0</v>
      </c>
      <c r="L465" s="16">
        <f t="shared" ca="1" si="23"/>
        <v>0</v>
      </c>
      <c r="M465" s="11"/>
    </row>
    <row r="466" spans="2:13">
      <c r="B466" s="30"/>
      <c r="C466" s="11"/>
      <c r="D466" t="str">
        <f>IFERROR(VLOOKUP(C466,'Products Index'!$A:$B,2,FALSE),"")</f>
        <v/>
      </c>
      <c r="E466" s="25"/>
      <c r="F466" s="25"/>
      <c r="G466" s="25"/>
      <c r="H466">
        <f t="shared" si="21"/>
        <v>0</v>
      </c>
      <c r="I466" s="16">
        <f ca="1">IFERROR(INDIRECT("'"&amp;D466&amp;"'!$B$18")*(E466/VLOOKUP(C466,'Products Index'!$A:$E,5,FALSE)),0)</f>
        <v>0</v>
      </c>
      <c r="J466" s="16">
        <f>IFERROR((INDEX(Overheads!$H:$H, MATCH(TEXT(B466,"yyyy-mm"), TEXT(Overheads!$A:$A,"yyyy-mm"),0)) / MAX(SUMIFS($H:$H,$B:$B,"&gt;="&amp;EOMONTH(B466,-1)+1,$B:$B,"&lt;="&amp;EOMONTH(B466,0)),1)) * H466,0)</f>
        <v>0</v>
      </c>
      <c r="K466" s="16">
        <f t="shared" ca="1" si="22"/>
        <v>0</v>
      </c>
      <c r="L466" s="16">
        <f t="shared" ca="1" si="23"/>
        <v>0</v>
      </c>
      <c r="M466" s="11"/>
    </row>
    <row r="467" spans="2:13">
      <c r="B467" s="30"/>
      <c r="C467" s="11"/>
      <c r="D467" t="str">
        <f>IFERROR(VLOOKUP(C467,'Products Index'!$A:$B,2,FALSE),"")</f>
        <v/>
      </c>
      <c r="E467" s="25"/>
      <c r="F467" s="25"/>
      <c r="G467" s="25"/>
      <c r="H467">
        <f t="shared" si="21"/>
        <v>0</v>
      </c>
      <c r="I467" s="16">
        <f ca="1">IFERROR(INDIRECT("'"&amp;D467&amp;"'!$B$18")*(E467/VLOOKUP(C467,'Products Index'!$A:$E,5,FALSE)),0)</f>
        <v>0</v>
      </c>
      <c r="J467" s="16">
        <f>IFERROR((INDEX(Overheads!$H:$H, MATCH(TEXT(B467,"yyyy-mm"), TEXT(Overheads!$A:$A,"yyyy-mm"),0)) / MAX(SUMIFS($H:$H,$B:$B,"&gt;="&amp;EOMONTH(B467,-1)+1,$B:$B,"&lt;="&amp;EOMONTH(B467,0)),1)) * H467,0)</f>
        <v>0</v>
      </c>
      <c r="K467" s="16">
        <f t="shared" ca="1" si="22"/>
        <v>0</v>
      </c>
      <c r="L467" s="16">
        <f t="shared" ca="1" si="23"/>
        <v>0</v>
      </c>
      <c r="M467" s="11"/>
    </row>
    <row r="468" spans="2:13">
      <c r="B468" s="30"/>
      <c r="C468" s="11"/>
      <c r="D468" t="str">
        <f>IFERROR(VLOOKUP(C468,'Products Index'!$A:$B,2,FALSE),"")</f>
        <v/>
      </c>
      <c r="E468" s="25"/>
      <c r="F468" s="25"/>
      <c r="G468" s="25"/>
      <c r="H468">
        <f t="shared" si="21"/>
        <v>0</v>
      </c>
      <c r="I468" s="16">
        <f ca="1">IFERROR(INDIRECT("'"&amp;D468&amp;"'!$B$18")*(E468/VLOOKUP(C468,'Products Index'!$A:$E,5,FALSE)),0)</f>
        <v>0</v>
      </c>
      <c r="J468" s="16">
        <f>IFERROR((INDEX(Overheads!$H:$H, MATCH(TEXT(B468,"yyyy-mm"), TEXT(Overheads!$A:$A,"yyyy-mm"),0)) / MAX(SUMIFS($H:$H,$B:$B,"&gt;="&amp;EOMONTH(B468,-1)+1,$B:$B,"&lt;="&amp;EOMONTH(B468,0)),1)) * H468,0)</f>
        <v>0</v>
      </c>
      <c r="K468" s="16">
        <f t="shared" ca="1" si="22"/>
        <v>0</v>
      </c>
      <c r="L468" s="16">
        <f t="shared" ca="1" si="23"/>
        <v>0</v>
      </c>
      <c r="M468" s="11"/>
    </row>
    <row r="469" spans="2:13">
      <c r="B469" s="30"/>
      <c r="C469" s="11"/>
      <c r="D469" t="str">
        <f>IFERROR(VLOOKUP(C469,'Products Index'!$A:$B,2,FALSE),"")</f>
        <v/>
      </c>
      <c r="E469" s="25"/>
      <c r="F469" s="25"/>
      <c r="G469" s="25"/>
      <c r="H469">
        <f t="shared" si="21"/>
        <v>0</v>
      </c>
      <c r="I469" s="16">
        <f ca="1">IFERROR(INDIRECT("'"&amp;D469&amp;"'!$B$18")*(E469/VLOOKUP(C469,'Products Index'!$A:$E,5,FALSE)),0)</f>
        <v>0</v>
      </c>
      <c r="J469" s="16">
        <f>IFERROR((INDEX(Overheads!$H:$H, MATCH(TEXT(B469,"yyyy-mm"), TEXT(Overheads!$A:$A,"yyyy-mm"),0)) / MAX(SUMIFS($H:$H,$B:$B,"&gt;="&amp;EOMONTH(B469,-1)+1,$B:$B,"&lt;="&amp;EOMONTH(B469,0)),1)) * H469,0)</f>
        <v>0</v>
      </c>
      <c r="K469" s="16">
        <f t="shared" ca="1" si="22"/>
        <v>0</v>
      </c>
      <c r="L469" s="16">
        <f t="shared" ca="1" si="23"/>
        <v>0</v>
      </c>
      <c r="M469" s="11"/>
    </row>
    <row r="470" spans="2:13">
      <c r="B470" s="30"/>
      <c r="C470" s="11"/>
      <c r="D470" t="str">
        <f>IFERROR(VLOOKUP(C470,'Products Index'!$A:$B,2,FALSE),"")</f>
        <v/>
      </c>
      <c r="E470" s="25"/>
      <c r="F470" s="25"/>
      <c r="G470" s="25"/>
      <c r="H470">
        <f t="shared" si="21"/>
        <v>0</v>
      </c>
      <c r="I470" s="16">
        <f ca="1">IFERROR(INDIRECT("'"&amp;D470&amp;"'!$B$18")*(E470/VLOOKUP(C470,'Products Index'!$A:$E,5,FALSE)),0)</f>
        <v>0</v>
      </c>
      <c r="J470" s="16">
        <f>IFERROR((INDEX(Overheads!$H:$H, MATCH(TEXT(B470,"yyyy-mm"), TEXT(Overheads!$A:$A,"yyyy-mm"),0)) / MAX(SUMIFS($H:$H,$B:$B,"&gt;="&amp;EOMONTH(B470,-1)+1,$B:$B,"&lt;="&amp;EOMONTH(B470,0)),1)) * H470,0)</f>
        <v>0</v>
      </c>
      <c r="K470" s="16">
        <f t="shared" ca="1" si="22"/>
        <v>0</v>
      </c>
      <c r="L470" s="16">
        <f t="shared" ca="1" si="23"/>
        <v>0</v>
      </c>
      <c r="M470" s="11"/>
    </row>
    <row r="471" spans="2:13">
      <c r="B471" s="30"/>
      <c r="C471" s="11"/>
      <c r="D471" t="str">
        <f>IFERROR(VLOOKUP(C471,'Products Index'!$A:$B,2,FALSE),"")</f>
        <v/>
      </c>
      <c r="E471" s="25"/>
      <c r="F471" s="25"/>
      <c r="G471" s="25"/>
      <c r="H471">
        <f t="shared" si="21"/>
        <v>0</v>
      </c>
      <c r="I471" s="16">
        <f ca="1">IFERROR(INDIRECT("'"&amp;D471&amp;"'!$B$18")*(E471/VLOOKUP(C471,'Products Index'!$A:$E,5,FALSE)),0)</f>
        <v>0</v>
      </c>
      <c r="J471" s="16">
        <f>IFERROR((INDEX(Overheads!$H:$H, MATCH(TEXT(B471,"yyyy-mm"), TEXT(Overheads!$A:$A,"yyyy-mm"),0)) / MAX(SUMIFS($H:$H,$B:$B,"&gt;="&amp;EOMONTH(B471,-1)+1,$B:$B,"&lt;="&amp;EOMONTH(B471,0)),1)) * H471,0)</f>
        <v>0</v>
      </c>
      <c r="K471" s="16">
        <f t="shared" ca="1" si="22"/>
        <v>0</v>
      </c>
      <c r="L471" s="16">
        <f t="shared" ca="1" si="23"/>
        <v>0</v>
      </c>
      <c r="M471" s="11"/>
    </row>
    <row r="472" spans="2:13">
      <c r="B472" s="30"/>
      <c r="C472" s="11"/>
      <c r="D472" t="str">
        <f>IFERROR(VLOOKUP(C472,'Products Index'!$A:$B,2,FALSE),"")</f>
        <v/>
      </c>
      <c r="E472" s="25"/>
      <c r="F472" s="25"/>
      <c r="G472" s="25"/>
      <c r="H472">
        <f t="shared" si="21"/>
        <v>0</v>
      </c>
      <c r="I472" s="16">
        <f ca="1">IFERROR(INDIRECT("'"&amp;D472&amp;"'!$B$18")*(E472/VLOOKUP(C472,'Products Index'!$A:$E,5,FALSE)),0)</f>
        <v>0</v>
      </c>
      <c r="J472" s="16">
        <f>IFERROR((INDEX(Overheads!$H:$H, MATCH(TEXT(B472,"yyyy-mm"), TEXT(Overheads!$A:$A,"yyyy-mm"),0)) / MAX(SUMIFS($H:$H,$B:$B,"&gt;="&amp;EOMONTH(B472,-1)+1,$B:$B,"&lt;="&amp;EOMONTH(B472,0)),1)) * H472,0)</f>
        <v>0</v>
      </c>
      <c r="K472" s="16">
        <f t="shared" ca="1" si="22"/>
        <v>0</v>
      </c>
      <c r="L472" s="16">
        <f t="shared" ca="1" si="23"/>
        <v>0</v>
      </c>
      <c r="M472" s="11"/>
    </row>
    <row r="473" spans="2:13">
      <c r="B473" s="30"/>
      <c r="C473" s="11"/>
      <c r="D473" t="str">
        <f>IFERROR(VLOOKUP(C473,'Products Index'!$A:$B,2,FALSE),"")</f>
        <v/>
      </c>
      <c r="E473" s="25"/>
      <c r="F473" s="25"/>
      <c r="G473" s="25"/>
      <c r="H473">
        <f t="shared" si="21"/>
        <v>0</v>
      </c>
      <c r="I473" s="16">
        <f ca="1">IFERROR(INDIRECT("'"&amp;D473&amp;"'!$B$18")*(E473/VLOOKUP(C473,'Products Index'!$A:$E,5,FALSE)),0)</f>
        <v>0</v>
      </c>
      <c r="J473" s="16">
        <f>IFERROR((INDEX(Overheads!$H:$H, MATCH(TEXT(B473,"yyyy-mm"), TEXT(Overheads!$A:$A,"yyyy-mm"),0)) / MAX(SUMIFS($H:$H,$B:$B,"&gt;="&amp;EOMONTH(B473,-1)+1,$B:$B,"&lt;="&amp;EOMONTH(B473,0)),1)) * H473,0)</f>
        <v>0</v>
      </c>
      <c r="K473" s="16">
        <f t="shared" ca="1" si="22"/>
        <v>0</v>
      </c>
      <c r="L473" s="16">
        <f t="shared" ca="1" si="23"/>
        <v>0</v>
      </c>
      <c r="M473" s="11"/>
    </row>
    <row r="474" spans="2:13">
      <c r="B474" s="30"/>
      <c r="C474" s="11"/>
      <c r="D474" t="str">
        <f>IFERROR(VLOOKUP(C474,'Products Index'!$A:$B,2,FALSE),"")</f>
        <v/>
      </c>
      <c r="E474" s="25"/>
      <c r="F474" s="25"/>
      <c r="G474" s="25"/>
      <c r="H474">
        <f t="shared" si="21"/>
        <v>0</v>
      </c>
      <c r="I474" s="16">
        <f ca="1">IFERROR(INDIRECT("'"&amp;D474&amp;"'!$B$18")*(E474/VLOOKUP(C474,'Products Index'!$A:$E,5,FALSE)),0)</f>
        <v>0</v>
      </c>
      <c r="J474" s="16">
        <f>IFERROR((INDEX(Overheads!$H:$H, MATCH(TEXT(B474,"yyyy-mm"), TEXT(Overheads!$A:$A,"yyyy-mm"),0)) / MAX(SUMIFS($H:$H,$B:$B,"&gt;="&amp;EOMONTH(B474,-1)+1,$B:$B,"&lt;="&amp;EOMONTH(B474,0)),1)) * H474,0)</f>
        <v>0</v>
      </c>
      <c r="K474" s="16">
        <f t="shared" ca="1" si="22"/>
        <v>0</v>
      </c>
      <c r="L474" s="16">
        <f t="shared" ca="1" si="23"/>
        <v>0</v>
      </c>
      <c r="M474" s="11"/>
    </row>
    <row r="475" spans="2:13">
      <c r="B475" s="30"/>
      <c r="C475" s="11"/>
      <c r="D475" t="str">
        <f>IFERROR(VLOOKUP(C475,'Products Index'!$A:$B,2,FALSE),"")</f>
        <v/>
      </c>
      <c r="E475" s="25"/>
      <c r="F475" s="25"/>
      <c r="G475" s="25"/>
      <c r="H475">
        <f t="shared" si="21"/>
        <v>0</v>
      </c>
      <c r="I475" s="16">
        <f ca="1">IFERROR(INDIRECT("'"&amp;D475&amp;"'!$B$18")*(E475/VLOOKUP(C475,'Products Index'!$A:$E,5,FALSE)),0)</f>
        <v>0</v>
      </c>
      <c r="J475" s="16">
        <f>IFERROR((INDEX(Overheads!$H:$H, MATCH(TEXT(B475,"yyyy-mm"), TEXT(Overheads!$A:$A,"yyyy-mm"),0)) / MAX(SUMIFS($H:$H,$B:$B,"&gt;="&amp;EOMONTH(B475,-1)+1,$B:$B,"&lt;="&amp;EOMONTH(B475,0)),1)) * H475,0)</f>
        <v>0</v>
      </c>
      <c r="K475" s="16">
        <f t="shared" ca="1" si="22"/>
        <v>0</v>
      </c>
      <c r="L475" s="16">
        <f t="shared" ca="1" si="23"/>
        <v>0</v>
      </c>
      <c r="M475" s="11"/>
    </row>
    <row r="476" spans="2:13">
      <c r="B476" s="30"/>
      <c r="C476" s="11"/>
      <c r="D476" t="str">
        <f>IFERROR(VLOOKUP(C476,'Products Index'!$A:$B,2,FALSE),"")</f>
        <v/>
      </c>
      <c r="E476" s="25"/>
      <c r="F476" s="25"/>
      <c r="G476" s="25"/>
      <c r="H476">
        <f t="shared" si="21"/>
        <v>0</v>
      </c>
      <c r="I476" s="16">
        <f ca="1">IFERROR(INDIRECT("'"&amp;D476&amp;"'!$B$18")*(E476/VLOOKUP(C476,'Products Index'!$A:$E,5,FALSE)),0)</f>
        <v>0</v>
      </c>
      <c r="J476" s="16">
        <f>IFERROR((INDEX(Overheads!$H:$H, MATCH(TEXT(B476,"yyyy-mm"), TEXT(Overheads!$A:$A,"yyyy-mm"),0)) / MAX(SUMIFS($H:$H,$B:$B,"&gt;="&amp;EOMONTH(B476,-1)+1,$B:$B,"&lt;="&amp;EOMONTH(B476,0)),1)) * H476,0)</f>
        <v>0</v>
      </c>
      <c r="K476" s="16">
        <f t="shared" ca="1" si="22"/>
        <v>0</v>
      </c>
      <c r="L476" s="16">
        <f t="shared" ca="1" si="23"/>
        <v>0</v>
      </c>
      <c r="M476" s="11"/>
    </row>
    <row r="477" spans="2:13">
      <c r="B477" s="30"/>
      <c r="C477" s="11"/>
      <c r="D477" t="str">
        <f>IFERROR(VLOOKUP(C477,'Products Index'!$A:$B,2,FALSE),"")</f>
        <v/>
      </c>
      <c r="E477" s="25"/>
      <c r="F477" s="25"/>
      <c r="G477" s="25"/>
      <c r="H477">
        <f t="shared" si="21"/>
        <v>0</v>
      </c>
      <c r="I477" s="16">
        <f ca="1">IFERROR(INDIRECT("'"&amp;D477&amp;"'!$B$18")*(E477/VLOOKUP(C477,'Products Index'!$A:$E,5,FALSE)),0)</f>
        <v>0</v>
      </c>
      <c r="J477" s="16">
        <f>IFERROR((INDEX(Overheads!$H:$H, MATCH(TEXT(B477,"yyyy-mm"), TEXT(Overheads!$A:$A,"yyyy-mm"),0)) / MAX(SUMIFS($H:$H,$B:$B,"&gt;="&amp;EOMONTH(B477,-1)+1,$B:$B,"&lt;="&amp;EOMONTH(B477,0)),1)) * H477,0)</f>
        <v>0</v>
      </c>
      <c r="K477" s="16">
        <f t="shared" ca="1" si="22"/>
        <v>0</v>
      </c>
      <c r="L477" s="16">
        <f t="shared" ca="1" si="23"/>
        <v>0</v>
      </c>
      <c r="M477" s="11"/>
    </row>
    <row r="478" spans="2:13">
      <c r="B478" s="30"/>
      <c r="C478" s="11"/>
      <c r="D478" t="str">
        <f>IFERROR(VLOOKUP(C478,'Products Index'!$A:$B,2,FALSE),"")</f>
        <v/>
      </c>
      <c r="E478" s="25"/>
      <c r="F478" s="25"/>
      <c r="G478" s="25"/>
      <c r="H478">
        <f t="shared" si="21"/>
        <v>0</v>
      </c>
      <c r="I478" s="16">
        <f ca="1">IFERROR(INDIRECT("'"&amp;D478&amp;"'!$B$18")*(E478/VLOOKUP(C478,'Products Index'!$A:$E,5,FALSE)),0)</f>
        <v>0</v>
      </c>
      <c r="J478" s="16">
        <f>IFERROR((INDEX(Overheads!$H:$H, MATCH(TEXT(B478,"yyyy-mm"), TEXT(Overheads!$A:$A,"yyyy-mm"),0)) / MAX(SUMIFS($H:$H,$B:$B,"&gt;="&amp;EOMONTH(B478,-1)+1,$B:$B,"&lt;="&amp;EOMONTH(B478,0)),1)) * H478,0)</f>
        <v>0</v>
      </c>
      <c r="K478" s="16">
        <f t="shared" ca="1" si="22"/>
        <v>0</v>
      </c>
      <c r="L478" s="16">
        <f t="shared" ca="1" si="23"/>
        <v>0</v>
      </c>
      <c r="M478" s="11"/>
    </row>
    <row r="479" spans="2:13">
      <c r="B479" s="30"/>
      <c r="C479" s="11"/>
      <c r="D479" t="str">
        <f>IFERROR(VLOOKUP(C479,'Products Index'!$A:$B,2,FALSE),"")</f>
        <v/>
      </c>
      <c r="E479" s="25"/>
      <c r="F479" s="25"/>
      <c r="G479" s="25"/>
      <c r="H479">
        <f t="shared" si="21"/>
        <v>0</v>
      </c>
      <c r="I479" s="16">
        <f ca="1">IFERROR(INDIRECT("'"&amp;D479&amp;"'!$B$18")*(E479/VLOOKUP(C479,'Products Index'!$A:$E,5,FALSE)),0)</f>
        <v>0</v>
      </c>
      <c r="J479" s="16">
        <f>IFERROR((INDEX(Overheads!$H:$H, MATCH(TEXT(B479,"yyyy-mm"), TEXT(Overheads!$A:$A,"yyyy-mm"),0)) / MAX(SUMIFS($H:$H,$B:$B,"&gt;="&amp;EOMONTH(B479,-1)+1,$B:$B,"&lt;="&amp;EOMONTH(B479,0)),1)) * H479,0)</f>
        <v>0</v>
      </c>
      <c r="K479" s="16">
        <f t="shared" ca="1" si="22"/>
        <v>0</v>
      </c>
      <c r="L479" s="16">
        <f t="shared" ca="1" si="23"/>
        <v>0</v>
      </c>
      <c r="M479" s="11"/>
    </row>
    <row r="480" spans="2:13">
      <c r="B480" s="30"/>
      <c r="C480" s="11"/>
      <c r="D480" t="str">
        <f>IFERROR(VLOOKUP(C480,'Products Index'!$A:$B,2,FALSE),"")</f>
        <v/>
      </c>
      <c r="E480" s="25"/>
      <c r="F480" s="25"/>
      <c r="G480" s="25"/>
      <c r="H480">
        <f t="shared" si="21"/>
        <v>0</v>
      </c>
      <c r="I480" s="16">
        <f ca="1">IFERROR(INDIRECT("'"&amp;D480&amp;"'!$B$18")*(E480/VLOOKUP(C480,'Products Index'!$A:$E,5,FALSE)),0)</f>
        <v>0</v>
      </c>
      <c r="J480" s="16">
        <f>IFERROR((INDEX(Overheads!$H:$H, MATCH(TEXT(B480,"yyyy-mm"), TEXT(Overheads!$A:$A,"yyyy-mm"),0)) / MAX(SUMIFS($H:$H,$B:$B,"&gt;="&amp;EOMONTH(B480,-1)+1,$B:$B,"&lt;="&amp;EOMONTH(B480,0)),1)) * H480,0)</f>
        <v>0</v>
      </c>
      <c r="K480" s="16">
        <f t="shared" ca="1" si="22"/>
        <v>0</v>
      </c>
      <c r="L480" s="16">
        <f t="shared" ca="1" si="23"/>
        <v>0</v>
      </c>
      <c r="M480" s="11"/>
    </row>
    <row r="481" spans="2:13">
      <c r="B481" s="30"/>
      <c r="C481" s="11"/>
      <c r="D481" t="str">
        <f>IFERROR(VLOOKUP(C481,'Products Index'!$A:$B,2,FALSE),"")</f>
        <v/>
      </c>
      <c r="E481" s="25"/>
      <c r="F481" s="25"/>
      <c r="G481" s="25"/>
      <c r="H481">
        <f t="shared" si="21"/>
        <v>0</v>
      </c>
      <c r="I481" s="16">
        <f ca="1">IFERROR(INDIRECT("'"&amp;D481&amp;"'!$B$18")*(E481/VLOOKUP(C481,'Products Index'!$A:$E,5,FALSE)),0)</f>
        <v>0</v>
      </c>
      <c r="J481" s="16">
        <f>IFERROR((INDEX(Overheads!$H:$H, MATCH(TEXT(B481,"yyyy-mm"), TEXT(Overheads!$A:$A,"yyyy-mm"),0)) / MAX(SUMIFS($H:$H,$B:$B,"&gt;="&amp;EOMONTH(B481,-1)+1,$B:$B,"&lt;="&amp;EOMONTH(B481,0)),1)) * H481,0)</f>
        <v>0</v>
      </c>
      <c r="K481" s="16">
        <f t="shared" ca="1" si="22"/>
        <v>0</v>
      </c>
      <c r="L481" s="16">
        <f t="shared" ca="1" si="23"/>
        <v>0</v>
      </c>
      <c r="M481" s="11"/>
    </row>
    <row r="482" spans="2:13">
      <c r="B482" s="30"/>
      <c r="C482" s="11"/>
      <c r="D482" t="str">
        <f>IFERROR(VLOOKUP(C482,'Products Index'!$A:$B,2,FALSE),"")</f>
        <v/>
      </c>
      <c r="E482" s="25"/>
      <c r="F482" s="25"/>
      <c r="G482" s="25"/>
      <c r="H482">
        <f t="shared" si="21"/>
        <v>0</v>
      </c>
      <c r="I482" s="16">
        <f ca="1">IFERROR(INDIRECT("'"&amp;D482&amp;"'!$B$18")*(E482/VLOOKUP(C482,'Products Index'!$A:$E,5,FALSE)),0)</f>
        <v>0</v>
      </c>
      <c r="J482" s="16">
        <f>IFERROR((INDEX(Overheads!$H:$H, MATCH(TEXT(B482,"yyyy-mm"), TEXT(Overheads!$A:$A,"yyyy-mm"),0)) / MAX(SUMIFS($H:$H,$B:$B,"&gt;="&amp;EOMONTH(B482,-1)+1,$B:$B,"&lt;="&amp;EOMONTH(B482,0)),1)) * H482,0)</f>
        <v>0</v>
      </c>
      <c r="K482" s="16">
        <f t="shared" ca="1" si="22"/>
        <v>0</v>
      </c>
      <c r="L482" s="16">
        <f t="shared" ca="1" si="23"/>
        <v>0</v>
      </c>
      <c r="M482" s="11"/>
    </row>
    <row r="483" spans="2:13">
      <c r="B483" s="30"/>
      <c r="C483" s="11"/>
      <c r="D483" t="str">
        <f>IFERROR(VLOOKUP(C483,'Products Index'!$A:$B,2,FALSE),"")</f>
        <v/>
      </c>
      <c r="E483" s="25"/>
      <c r="F483" s="25"/>
      <c r="G483" s="25"/>
      <c r="H483">
        <f t="shared" si="21"/>
        <v>0</v>
      </c>
      <c r="I483" s="16">
        <f ca="1">IFERROR(INDIRECT("'"&amp;D483&amp;"'!$B$18")*(E483/VLOOKUP(C483,'Products Index'!$A:$E,5,FALSE)),0)</f>
        <v>0</v>
      </c>
      <c r="J483" s="16">
        <f>IFERROR((INDEX(Overheads!$H:$H, MATCH(TEXT(B483,"yyyy-mm"), TEXT(Overheads!$A:$A,"yyyy-mm"),0)) / MAX(SUMIFS($H:$H,$B:$B,"&gt;="&amp;EOMONTH(B483,-1)+1,$B:$B,"&lt;="&amp;EOMONTH(B483,0)),1)) * H483,0)</f>
        <v>0</v>
      </c>
      <c r="K483" s="16">
        <f t="shared" ca="1" si="22"/>
        <v>0</v>
      </c>
      <c r="L483" s="16">
        <f t="shared" ca="1" si="23"/>
        <v>0</v>
      </c>
      <c r="M483" s="11"/>
    </row>
    <row r="484" spans="2:13">
      <c r="B484" s="30"/>
      <c r="C484" s="11"/>
      <c r="D484" t="str">
        <f>IFERROR(VLOOKUP(C484,'Products Index'!$A:$B,2,FALSE),"")</f>
        <v/>
      </c>
      <c r="E484" s="25"/>
      <c r="F484" s="25"/>
      <c r="G484" s="25"/>
      <c r="H484">
        <f t="shared" si="21"/>
        <v>0</v>
      </c>
      <c r="I484" s="16">
        <f ca="1">IFERROR(INDIRECT("'"&amp;D484&amp;"'!$B$18")*(E484/VLOOKUP(C484,'Products Index'!$A:$E,5,FALSE)),0)</f>
        <v>0</v>
      </c>
      <c r="J484" s="16">
        <f>IFERROR((INDEX(Overheads!$H:$H, MATCH(TEXT(B484,"yyyy-mm"), TEXT(Overheads!$A:$A,"yyyy-mm"),0)) / MAX(SUMIFS($H:$H,$B:$B,"&gt;="&amp;EOMONTH(B484,-1)+1,$B:$B,"&lt;="&amp;EOMONTH(B484,0)),1)) * H484,0)</f>
        <v>0</v>
      </c>
      <c r="K484" s="16">
        <f t="shared" ca="1" si="22"/>
        <v>0</v>
      </c>
      <c r="L484" s="16">
        <f t="shared" ca="1" si="23"/>
        <v>0</v>
      </c>
      <c r="M484" s="11"/>
    </row>
    <row r="485" spans="2:13">
      <c r="B485" s="30"/>
      <c r="C485" s="11"/>
      <c r="D485" t="str">
        <f>IFERROR(VLOOKUP(C485,'Products Index'!$A:$B,2,FALSE),"")</f>
        <v/>
      </c>
      <c r="E485" s="25"/>
      <c r="F485" s="25"/>
      <c r="G485" s="25"/>
      <c r="H485">
        <f t="shared" si="21"/>
        <v>0</v>
      </c>
      <c r="I485" s="16">
        <f ca="1">IFERROR(INDIRECT("'"&amp;D485&amp;"'!$B$18")*(E485/VLOOKUP(C485,'Products Index'!$A:$E,5,FALSE)),0)</f>
        <v>0</v>
      </c>
      <c r="J485" s="16">
        <f>IFERROR((INDEX(Overheads!$H:$H, MATCH(TEXT(B485,"yyyy-mm"), TEXT(Overheads!$A:$A,"yyyy-mm"),0)) / MAX(SUMIFS($H:$H,$B:$B,"&gt;="&amp;EOMONTH(B485,-1)+1,$B:$B,"&lt;="&amp;EOMONTH(B485,0)),1)) * H485,0)</f>
        <v>0</v>
      </c>
      <c r="K485" s="16">
        <f t="shared" ca="1" si="22"/>
        <v>0</v>
      </c>
      <c r="L485" s="16">
        <f t="shared" ca="1" si="23"/>
        <v>0</v>
      </c>
      <c r="M485" s="11"/>
    </row>
    <row r="486" spans="2:13">
      <c r="B486" s="30"/>
      <c r="C486" s="11"/>
      <c r="D486" t="str">
        <f>IFERROR(VLOOKUP(C486,'Products Index'!$A:$B,2,FALSE),"")</f>
        <v/>
      </c>
      <c r="E486" s="25"/>
      <c r="F486" s="25"/>
      <c r="G486" s="25"/>
      <c r="H486">
        <f t="shared" si="21"/>
        <v>0</v>
      </c>
      <c r="I486" s="16">
        <f ca="1">IFERROR(INDIRECT("'"&amp;D486&amp;"'!$B$18")*(E486/VLOOKUP(C486,'Products Index'!$A:$E,5,FALSE)),0)</f>
        <v>0</v>
      </c>
      <c r="J486" s="16">
        <f>IFERROR((INDEX(Overheads!$H:$H, MATCH(TEXT(B486,"yyyy-mm"), TEXT(Overheads!$A:$A,"yyyy-mm"),0)) / MAX(SUMIFS($H:$H,$B:$B,"&gt;="&amp;EOMONTH(B486,-1)+1,$B:$B,"&lt;="&amp;EOMONTH(B486,0)),1)) * H486,0)</f>
        <v>0</v>
      </c>
      <c r="K486" s="16">
        <f t="shared" ca="1" si="22"/>
        <v>0</v>
      </c>
      <c r="L486" s="16">
        <f t="shared" ca="1" si="23"/>
        <v>0</v>
      </c>
      <c r="M486" s="11"/>
    </row>
    <row r="487" spans="2:13">
      <c r="B487" s="30"/>
      <c r="C487" s="11"/>
      <c r="D487" t="str">
        <f>IFERROR(VLOOKUP(C487,'Products Index'!$A:$B,2,FALSE),"")</f>
        <v/>
      </c>
      <c r="E487" s="25"/>
      <c r="F487" s="25"/>
      <c r="G487" s="25"/>
      <c r="H487">
        <f t="shared" si="21"/>
        <v>0</v>
      </c>
      <c r="I487" s="16">
        <f ca="1">IFERROR(INDIRECT("'"&amp;D487&amp;"'!$B$18")*(E487/VLOOKUP(C487,'Products Index'!$A:$E,5,FALSE)),0)</f>
        <v>0</v>
      </c>
      <c r="J487" s="16">
        <f>IFERROR((INDEX(Overheads!$H:$H, MATCH(TEXT(B487,"yyyy-mm"), TEXT(Overheads!$A:$A,"yyyy-mm"),0)) / MAX(SUMIFS($H:$H,$B:$B,"&gt;="&amp;EOMONTH(B487,-1)+1,$B:$B,"&lt;="&amp;EOMONTH(B487,0)),1)) * H487,0)</f>
        <v>0</v>
      </c>
      <c r="K487" s="16">
        <f t="shared" ca="1" si="22"/>
        <v>0</v>
      </c>
      <c r="L487" s="16">
        <f t="shared" ca="1" si="23"/>
        <v>0</v>
      </c>
      <c r="M487" s="11"/>
    </row>
    <row r="488" spans="2:13">
      <c r="B488" s="30"/>
      <c r="C488" s="11"/>
      <c r="D488" t="str">
        <f>IFERROR(VLOOKUP(C488,'Products Index'!$A:$B,2,FALSE),"")</f>
        <v/>
      </c>
      <c r="E488" s="25"/>
      <c r="F488" s="25"/>
      <c r="G488" s="25"/>
      <c r="H488">
        <f t="shared" si="21"/>
        <v>0</v>
      </c>
      <c r="I488" s="16">
        <f ca="1">IFERROR(INDIRECT("'"&amp;D488&amp;"'!$B$18")*(E488/VLOOKUP(C488,'Products Index'!$A:$E,5,FALSE)),0)</f>
        <v>0</v>
      </c>
      <c r="J488" s="16">
        <f>IFERROR((INDEX(Overheads!$H:$H, MATCH(TEXT(B488,"yyyy-mm"), TEXT(Overheads!$A:$A,"yyyy-mm"),0)) / MAX(SUMIFS($H:$H,$B:$B,"&gt;="&amp;EOMONTH(B488,-1)+1,$B:$B,"&lt;="&amp;EOMONTH(B488,0)),1)) * H488,0)</f>
        <v>0</v>
      </c>
      <c r="K488" s="16">
        <f t="shared" ca="1" si="22"/>
        <v>0</v>
      </c>
      <c r="L488" s="16">
        <f t="shared" ca="1" si="23"/>
        <v>0</v>
      </c>
      <c r="M488" s="11"/>
    </row>
    <row r="489" spans="2:13">
      <c r="B489" s="30"/>
      <c r="C489" s="11"/>
      <c r="D489" t="str">
        <f>IFERROR(VLOOKUP(C489,'Products Index'!$A:$B,2,FALSE),"")</f>
        <v/>
      </c>
      <c r="E489" s="25"/>
      <c r="F489" s="25"/>
      <c r="G489" s="25"/>
      <c r="H489">
        <f t="shared" si="21"/>
        <v>0</v>
      </c>
      <c r="I489" s="16">
        <f ca="1">IFERROR(INDIRECT("'"&amp;D489&amp;"'!$B$18")*(E489/VLOOKUP(C489,'Products Index'!$A:$E,5,FALSE)),0)</f>
        <v>0</v>
      </c>
      <c r="J489" s="16">
        <f>IFERROR((INDEX(Overheads!$H:$H, MATCH(TEXT(B489,"yyyy-mm"), TEXT(Overheads!$A:$A,"yyyy-mm"),0)) / MAX(SUMIFS($H:$H,$B:$B,"&gt;="&amp;EOMONTH(B489,-1)+1,$B:$B,"&lt;="&amp;EOMONTH(B489,0)),1)) * H489,0)</f>
        <v>0</v>
      </c>
      <c r="K489" s="16">
        <f t="shared" ca="1" si="22"/>
        <v>0</v>
      </c>
      <c r="L489" s="16">
        <f t="shared" ca="1" si="23"/>
        <v>0</v>
      </c>
      <c r="M489" s="11"/>
    </row>
    <row r="490" spans="2:13">
      <c r="B490" s="30"/>
      <c r="C490" s="11"/>
      <c r="D490" t="str">
        <f>IFERROR(VLOOKUP(C490,'Products Index'!$A:$B,2,FALSE),"")</f>
        <v/>
      </c>
      <c r="E490" s="25"/>
      <c r="F490" s="25"/>
      <c r="G490" s="25"/>
      <c r="H490">
        <f t="shared" si="21"/>
        <v>0</v>
      </c>
      <c r="I490" s="16">
        <f ca="1">IFERROR(INDIRECT("'"&amp;D490&amp;"'!$B$18")*(E490/VLOOKUP(C490,'Products Index'!$A:$E,5,FALSE)),0)</f>
        <v>0</v>
      </c>
      <c r="J490" s="16">
        <f>IFERROR((INDEX(Overheads!$H:$H, MATCH(TEXT(B490,"yyyy-mm"), TEXT(Overheads!$A:$A,"yyyy-mm"),0)) / MAX(SUMIFS($H:$H,$B:$B,"&gt;="&amp;EOMONTH(B490,-1)+1,$B:$B,"&lt;="&amp;EOMONTH(B490,0)),1)) * H490,0)</f>
        <v>0</v>
      </c>
      <c r="K490" s="16">
        <f t="shared" ca="1" si="22"/>
        <v>0</v>
      </c>
      <c r="L490" s="16">
        <f t="shared" ca="1" si="23"/>
        <v>0</v>
      </c>
      <c r="M490" s="11"/>
    </row>
    <row r="491" spans="2:13">
      <c r="B491" s="30"/>
      <c r="C491" s="11"/>
      <c r="D491" t="str">
        <f>IFERROR(VLOOKUP(C491,'Products Index'!$A:$B,2,FALSE),"")</f>
        <v/>
      </c>
      <c r="E491" s="25"/>
      <c r="F491" s="25"/>
      <c r="G491" s="25"/>
      <c r="H491">
        <f t="shared" si="21"/>
        <v>0</v>
      </c>
      <c r="I491" s="16">
        <f ca="1">IFERROR(INDIRECT("'"&amp;D491&amp;"'!$B$18")*(E491/VLOOKUP(C491,'Products Index'!$A:$E,5,FALSE)),0)</f>
        <v>0</v>
      </c>
      <c r="J491" s="16">
        <f>IFERROR((INDEX(Overheads!$H:$H, MATCH(TEXT(B491,"yyyy-mm"), TEXT(Overheads!$A:$A,"yyyy-mm"),0)) / MAX(SUMIFS($H:$H,$B:$B,"&gt;="&amp;EOMONTH(B491,-1)+1,$B:$B,"&lt;="&amp;EOMONTH(B491,0)),1)) * H491,0)</f>
        <v>0</v>
      </c>
      <c r="K491" s="16">
        <f t="shared" ca="1" si="22"/>
        <v>0</v>
      </c>
      <c r="L491" s="16">
        <f t="shared" ca="1" si="23"/>
        <v>0</v>
      </c>
      <c r="M491" s="11"/>
    </row>
    <row r="492" spans="2:13">
      <c r="B492" s="30"/>
      <c r="C492" s="11"/>
      <c r="D492" t="str">
        <f>IFERROR(VLOOKUP(C492,'Products Index'!$A:$B,2,FALSE),"")</f>
        <v/>
      </c>
      <c r="E492" s="25"/>
      <c r="F492" s="25"/>
      <c r="G492" s="25"/>
      <c r="H492">
        <f t="shared" si="21"/>
        <v>0</v>
      </c>
      <c r="I492" s="16">
        <f ca="1">IFERROR(INDIRECT("'"&amp;D492&amp;"'!$B$18")*(E492/VLOOKUP(C492,'Products Index'!$A:$E,5,FALSE)),0)</f>
        <v>0</v>
      </c>
      <c r="J492" s="16">
        <f>IFERROR((INDEX(Overheads!$H:$H, MATCH(TEXT(B492,"yyyy-mm"), TEXT(Overheads!$A:$A,"yyyy-mm"),0)) / MAX(SUMIFS($H:$H,$B:$B,"&gt;="&amp;EOMONTH(B492,-1)+1,$B:$B,"&lt;="&amp;EOMONTH(B492,0)),1)) * H492,0)</f>
        <v>0</v>
      </c>
      <c r="K492" s="16">
        <f t="shared" ca="1" si="22"/>
        <v>0</v>
      </c>
      <c r="L492" s="16">
        <f t="shared" ca="1" si="23"/>
        <v>0</v>
      </c>
      <c r="M492" s="11"/>
    </row>
    <row r="493" spans="2:13">
      <c r="B493" s="30"/>
      <c r="C493" s="11"/>
      <c r="D493" t="str">
        <f>IFERROR(VLOOKUP(C493,'Products Index'!$A:$B,2,FALSE),"")</f>
        <v/>
      </c>
      <c r="E493" s="25"/>
      <c r="F493" s="25"/>
      <c r="G493" s="25"/>
      <c r="H493">
        <f t="shared" si="21"/>
        <v>0</v>
      </c>
      <c r="I493" s="16">
        <f ca="1">IFERROR(INDIRECT("'"&amp;D493&amp;"'!$B$18")*(E493/VLOOKUP(C493,'Products Index'!$A:$E,5,FALSE)),0)</f>
        <v>0</v>
      </c>
      <c r="J493" s="16">
        <f>IFERROR((INDEX(Overheads!$H:$H, MATCH(TEXT(B493,"yyyy-mm"), TEXT(Overheads!$A:$A,"yyyy-mm"),0)) / MAX(SUMIFS($H:$H,$B:$B,"&gt;="&amp;EOMONTH(B493,-1)+1,$B:$B,"&lt;="&amp;EOMONTH(B493,0)),1)) * H493,0)</f>
        <v>0</v>
      </c>
      <c r="K493" s="16">
        <f t="shared" ca="1" si="22"/>
        <v>0</v>
      </c>
      <c r="L493" s="16">
        <f t="shared" ca="1" si="23"/>
        <v>0</v>
      </c>
      <c r="M493" s="11"/>
    </row>
    <row r="494" spans="2:13">
      <c r="B494" s="30"/>
      <c r="C494" s="11"/>
      <c r="D494" t="str">
        <f>IFERROR(VLOOKUP(C494,'Products Index'!$A:$B,2,FALSE),"")</f>
        <v/>
      </c>
      <c r="E494" s="25"/>
      <c r="F494" s="25"/>
      <c r="G494" s="25"/>
      <c r="H494">
        <f t="shared" si="21"/>
        <v>0</v>
      </c>
      <c r="I494" s="16">
        <f ca="1">IFERROR(INDIRECT("'"&amp;D494&amp;"'!$B$18")*(E494/VLOOKUP(C494,'Products Index'!$A:$E,5,FALSE)),0)</f>
        <v>0</v>
      </c>
      <c r="J494" s="16">
        <f>IFERROR((INDEX(Overheads!$H:$H, MATCH(TEXT(B494,"yyyy-mm"), TEXT(Overheads!$A:$A,"yyyy-mm"),0)) / MAX(SUMIFS($H:$H,$B:$B,"&gt;="&amp;EOMONTH(B494,-1)+1,$B:$B,"&lt;="&amp;EOMONTH(B494,0)),1)) * H494,0)</f>
        <v>0</v>
      </c>
      <c r="K494" s="16">
        <f t="shared" ca="1" si="22"/>
        <v>0</v>
      </c>
      <c r="L494" s="16">
        <f t="shared" ca="1" si="23"/>
        <v>0</v>
      </c>
      <c r="M494" s="11"/>
    </row>
    <row r="495" spans="2:13">
      <c r="B495" s="30"/>
      <c r="C495" s="11"/>
      <c r="D495" t="str">
        <f>IFERROR(VLOOKUP(C495,'Products Index'!$A:$B,2,FALSE),"")</f>
        <v/>
      </c>
      <c r="E495" s="25"/>
      <c r="F495" s="25"/>
      <c r="G495" s="25"/>
      <c r="H495">
        <f t="shared" si="21"/>
        <v>0</v>
      </c>
      <c r="I495" s="16">
        <f ca="1">IFERROR(INDIRECT("'"&amp;D495&amp;"'!$B$18")*(E495/VLOOKUP(C495,'Products Index'!$A:$E,5,FALSE)),0)</f>
        <v>0</v>
      </c>
      <c r="J495" s="16">
        <f>IFERROR((INDEX(Overheads!$H:$H, MATCH(TEXT(B495,"yyyy-mm"), TEXT(Overheads!$A:$A,"yyyy-mm"),0)) / MAX(SUMIFS($H:$H,$B:$B,"&gt;="&amp;EOMONTH(B495,-1)+1,$B:$B,"&lt;="&amp;EOMONTH(B495,0)),1)) * H495,0)</f>
        <v>0</v>
      </c>
      <c r="K495" s="16">
        <f t="shared" ca="1" si="22"/>
        <v>0</v>
      </c>
      <c r="L495" s="16">
        <f t="shared" ca="1" si="23"/>
        <v>0</v>
      </c>
      <c r="M495" s="11"/>
    </row>
    <row r="496" spans="2:13">
      <c r="B496" s="30"/>
      <c r="C496" s="11"/>
      <c r="D496" t="str">
        <f>IFERROR(VLOOKUP(C496,'Products Index'!$A:$B,2,FALSE),"")</f>
        <v/>
      </c>
      <c r="E496" s="25"/>
      <c r="F496" s="25"/>
      <c r="G496" s="25"/>
      <c r="H496">
        <f t="shared" si="21"/>
        <v>0</v>
      </c>
      <c r="I496" s="16">
        <f ca="1">IFERROR(INDIRECT("'"&amp;D496&amp;"'!$B$18")*(E496/VLOOKUP(C496,'Products Index'!$A:$E,5,FALSE)),0)</f>
        <v>0</v>
      </c>
      <c r="J496" s="16">
        <f>IFERROR((INDEX(Overheads!$H:$H, MATCH(TEXT(B496,"yyyy-mm"), TEXT(Overheads!$A:$A,"yyyy-mm"),0)) / MAX(SUMIFS($H:$H,$B:$B,"&gt;="&amp;EOMONTH(B496,-1)+1,$B:$B,"&lt;="&amp;EOMONTH(B496,0)),1)) * H496,0)</f>
        <v>0</v>
      </c>
      <c r="K496" s="16">
        <f t="shared" ca="1" si="22"/>
        <v>0</v>
      </c>
      <c r="L496" s="16">
        <f t="shared" ca="1" si="23"/>
        <v>0</v>
      </c>
      <c r="M496" s="11"/>
    </row>
    <row r="497" spans="2:13">
      <c r="B497" s="30"/>
      <c r="C497" s="11"/>
      <c r="D497" t="str">
        <f>IFERROR(VLOOKUP(C497,'Products Index'!$A:$B,2,FALSE),"")</f>
        <v/>
      </c>
      <c r="E497" s="25"/>
      <c r="F497" s="25"/>
      <c r="G497" s="25"/>
      <c r="H497">
        <f t="shared" si="21"/>
        <v>0</v>
      </c>
      <c r="I497" s="16">
        <f ca="1">IFERROR(INDIRECT("'"&amp;D497&amp;"'!$B$18")*(E497/VLOOKUP(C497,'Products Index'!$A:$E,5,FALSE)),0)</f>
        <v>0</v>
      </c>
      <c r="J497" s="16">
        <f>IFERROR((INDEX(Overheads!$H:$H, MATCH(TEXT(B497,"yyyy-mm"), TEXT(Overheads!$A:$A,"yyyy-mm"),0)) / MAX(SUMIFS($H:$H,$B:$B,"&gt;="&amp;EOMONTH(B497,-1)+1,$B:$B,"&lt;="&amp;EOMONTH(B497,0)),1)) * H497,0)</f>
        <v>0</v>
      </c>
      <c r="K497" s="16">
        <f t="shared" ca="1" si="22"/>
        <v>0</v>
      </c>
      <c r="L497" s="16">
        <f t="shared" ca="1" si="23"/>
        <v>0</v>
      </c>
      <c r="M497" s="11"/>
    </row>
    <row r="498" spans="2:13">
      <c r="B498" s="30"/>
      <c r="C498" s="11"/>
      <c r="D498" t="str">
        <f>IFERROR(VLOOKUP(C498,'Products Index'!$A:$B,2,FALSE),"")</f>
        <v/>
      </c>
      <c r="E498" s="25"/>
      <c r="F498" s="25"/>
      <c r="G498" s="25"/>
      <c r="H498">
        <f t="shared" si="21"/>
        <v>0</v>
      </c>
      <c r="I498" s="16">
        <f ca="1">IFERROR(INDIRECT("'"&amp;D498&amp;"'!$B$18")*(E498/VLOOKUP(C498,'Products Index'!$A:$E,5,FALSE)),0)</f>
        <v>0</v>
      </c>
      <c r="J498" s="16">
        <f>IFERROR((INDEX(Overheads!$H:$H, MATCH(TEXT(B498,"yyyy-mm"), TEXT(Overheads!$A:$A,"yyyy-mm"),0)) / MAX(SUMIFS($H:$H,$B:$B,"&gt;="&amp;EOMONTH(B498,-1)+1,$B:$B,"&lt;="&amp;EOMONTH(B498,0)),1)) * H498,0)</f>
        <v>0</v>
      </c>
      <c r="K498" s="16">
        <f t="shared" ca="1" si="22"/>
        <v>0</v>
      </c>
      <c r="L498" s="16">
        <f t="shared" ca="1" si="23"/>
        <v>0</v>
      </c>
      <c r="M498" s="11"/>
    </row>
    <row r="499" spans="2:13">
      <c r="B499" s="30"/>
      <c r="C499" s="11"/>
      <c r="D499" t="str">
        <f>IFERROR(VLOOKUP(C499,'Products Index'!$A:$B,2,FALSE),"")</f>
        <v/>
      </c>
      <c r="E499" s="25"/>
      <c r="F499" s="25"/>
      <c r="G499" s="25"/>
      <c r="H499">
        <f t="shared" si="21"/>
        <v>0</v>
      </c>
      <c r="I499" s="16">
        <f ca="1">IFERROR(INDIRECT("'"&amp;D499&amp;"'!$B$18")*(E499/VLOOKUP(C499,'Products Index'!$A:$E,5,FALSE)),0)</f>
        <v>0</v>
      </c>
      <c r="J499" s="16">
        <f>IFERROR((INDEX(Overheads!$H:$H, MATCH(TEXT(B499,"yyyy-mm"), TEXT(Overheads!$A:$A,"yyyy-mm"),0)) / MAX(SUMIFS($H:$H,$B:$B,"&gt;="&amp;EOMONTH(B499,-1)+1,$B:$B,"&lt;="&amp;EOMONTH(B499,0)),1)) * H499,0)</f>
        <v>0</v>
      </c>
      <c r="K499" s="16">
        <f t="shared" ca="1" si="22"/>
        <v>0</v>
      </c>
      <c r="L499" s="16">
        <f t="shared" ca="1" si="23"/>
        <v>0</v>
      </c>
      <c r="M499" s="11"/>
    </row>
    <row r="500" spans="2:13">
      <c r="B500" s="30"/>
      <c r="C500" s="11"/>
      <c r="D500" t="str">
        <f>IFERROR(VLOOKUP(C500,'Products Index'!$A:$B,2,FALSE),"")</f>
        <v/>
      </c>
      <c r="E500" s="25"/>
      <c r="F500" s="25"/>
      <c r="G500" s="25"/>
      <c r="H500">
        <f t="shared" si="21"/>
        <v>0</v>
      </c>
      <c r="I500" s="16">
        <f ca="1">IFERROR(INDIRECT("'"&amp;D500&amp;"'!$B$18")*(E500/VLOOKUP(C500,'Products Index'!$A:$E,5,FALSE)),0)</f>
        <v>0</v>
      </c>
      <c r="J500" s="16">
        <f>IFERROR((INDEX(Overheads!$H:$H, MATCH(TEXT(B500,"yyyy-mm"), TEXT(Overheads!$A:$A,"yyyy-mm"),0)) / MAX(SUMIFS($H:$H,$B:$B,"&gt;="&amp;EOMONTH(B500,-1)+1,$B:$B,"&lt;="&amp;EOMONTH(B500,0)),1)) * H500,0)</f>
        <v>0</v>
      </c>
      <c r="K500" s="16">
        <f t="shared" ca="1" si="22"/>
        <v>0</v>
      </c>
      <c r="L500" s="16">
        <f t="shared" ca="1" si="23"/>
        <v>0</v>
      </c>
      <c r="M500" s="11"/>
    </row>
    <row r="501" spans="2:13">
      <c r="B501" s="30"/>
      <c r="C501" s="11"/>
      <c r="D501" t="str">
        <f>IFERROR(VLOOKUP(C501,'Products Index'!$A:$B,2,FALSE),"")</f>
        <v/>
      </c>
      <c r="E501" s="25"/>
      <c r="F501" s="25"/>
      <c r="G501" s="25"/>
      <c r="H501">
        <f t="shared" si="21"/>
        <v>0</v>
      </c>
      <c r="I501" s="16">
        <f ca="1">IFERROR(INDIRECT("'"&amp;D501&amp;"'!$B$18")*(E501/VLOOKUP(C501,'Products Index'!$A:$E,5,FALSE)),0)</f>
        <v>0</v>
      </c>
      <c r="J501" s="16">
        <f>IFERROR((INDEX(Overheads!$H:$H, MATCH(TEXT(B501,"yyyy-mm"), TEXT(Overheads!$A:$A,"yyyy-mm"),0)) / MAX(SUMIFS($H:$H,$B:$B,"&gt;="&amp;EOMONTH(B501,-1)+1,$B:$B,"&lt;="&amp;EOMONTH(B501,0)),1)) * H501,0)</f>
        <v>0</v>
      </c>
      <c r="K501" s="16">
        <f t="shared" ca="1" si="22"/>
        <v>0</v>
      </c>
      <c r="L501" s="16">
        <f t="shared" ca="1" si="23"/>
        <v>0</v>
      </c>
      <c r="M501" s="1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R1001"/>
  <sheetViews>
    <sheetView showGridLines="0" workbookViewId="0"/>
  </sheetViews>
  <sheetFormatPr defaultRowHeight="14.5"/>
  <cols>
    <col min="1" max="4" width="12" customWidth="1"/>
    <col min="5" max="5" width="24" customWidth="1"/>
    <col min="6" max="6" width="8" customWidth="1"/>
    <col min="7" max="7" width="34" customWidth="1"/>
    <col min="8" max="8" width="10" customWidth="1"/>
    <col min="9" max="9" width="14" customWidth="1"/>
    <col min="10" max="11" width="12" customWidth="1"/>
    <col min="12" max="14" width="14" customWidth="1"/>
    <col min="15" max="15" width="12" customWidth="1"/>
    <col min="16" max="16" width="10" customWidth="1"/>
    <col min="17" max="17" width="12" customWidth="1"/>
    <col min="18" max="18" width="22" customWidth="1"/>
  </cols>
  <sheetData>
    <row r="1" spans="1:18" ht="29">
      <c r="A1" s="14" t="s">
        <v>208</v>
      </c>
      <c r="B1" s="14" t="s">
        <v>209</v>
      </c>
      <c r="C1" s="14" t="s">
        <v>210</v>
      </c>
      <c r="D1" s="14" t="s">
        <v>58</v>
      </c>
      <c r="E1" s="14" t="s">
        <v>59</v>
      </c>
      <c r="F1" s="14" t="s">
        <v>64</v>
      </c>
      <c r="G1" s="14" t="s">
        <v>65</v>
      </c>
      <c r="H1" s="14" t="s">
        <v>211</v>
      </c>
      <c r="I1" s="14" t="s">
        <v>212</v>
      </c>
      <c r="J1" s="14" t="s">
        <v>68</v>
      </c>
      <c r="K1" s="14" t="s">
        <v>213</v>
      </c>
      <c r="L1" s="14" t="s">
        <v>214</v>
      </c>
      <c r="M1" s="14" t="s">
        <v>206</v>
      </c>
      <c r="N1" s="14" t="s">
        <v>215</v>
      </c>
      <c r="O1" s="14" t="s">
        <v>216</v>
      </c>
      <c r="P1" s="14" t="s">
        <v>217</v>
      </c>
      <c r="Q1" s="14" t="s">
        <v>218</v>
      </c>
      <c r="R1" s="14" t="s">
        <v>28</v>
      </c>
    </row>
    <row r="2" spans="1:18">
      <c r="B2" s="30"/>
      <c r="C2" s="11"/>
      <c r="D2" s="11"/>
      <c r="E2" t="str">
        <f>IFERROR(VLOOKUP(D2,Customers!$A:$B,2,FALSE),"")</f>
        <v/>
      </c>
      <c r="F2" s="11"/>
      <c r="G2" t="str">
        <f>IFERROR(VLOOKUP(F2,'Products Index'!$A:$B,2,FALSE),"")</f>
        <v/>
      </c>
      <c r="H2" s="11"/>
      <c r="I2" s="12"/>
      <c r="J2" s="15"/>
      <c r="K2" s="16">
        <f t="shared" ref="K2:K65" si="0">IFERROR(I2*(1-J2),0)</f>
        <v>0</v>
      </c>
      <c r="L2" s="16">
        <f t="shared" ref="L2:L65" si="1">IFERROR(K2*H2,0)</f>
        <v>0</v>
      </c>
      <c r="M2" s="16">
        <f>IFERROR(AVERAGEIF('Production Batches'!$C:$C,F2,'Production Batches'!$L:$L),0)</f>
        <v>0</v>
      </c>
      <c r="N2" s="16">
        <f t="shared" ref="N2:N65" si="2">IFERROR(L2-(M2*H2),0)</f>
        <v>0</v>
      </c>
      <c r="P2" s="11"/>
      <c r="Q2" s="30"/>
    </row>
    <row r="3" spans="1:18">
      <c r="B3" s="30"/>
      <c r="C3" s="11"/>
      <c r="D3" s="11"/>
      <c r="E3" t="str">
        <f>IFERROR(VLOOKUP(D3,Customers!$A:$B,2,FALSE),"")</f>
        <v/>
      </c>
      <c r="F3" s="11"/>
      <c r="G3" t="str">
        <f>IFERROR(VLOOKUP(F3,'Products Index'!$A:$B,2,FALSE),"")</f>
        <v/>
      </c>
      <c r="H3" s="11"/>
      <c r="I3" s="12"/>
      <c r="J3" s="15"/>
      <c r="K3" s="16">
        <f t="shared" si="0"/>
        <v>0</v>
      </c>
      <c r="L3" s="16">
        <f t="shared" si="1"/>
        <v>0</v>
      </c>
      <c r="M3" s="16">
        <f>IFERROR(AVERAGEIF('Production Batches'!$C:$C,F3,'Production Batches'!$L:$L),0)</f>
        <v>0</v>
      </c>
      <c r="N3" s="16">
        <f t="shared" si="2"/>
        <v>0</v>
      </c>
      <c r="P3" s="11"/>
      <c r="Q3" s="30"/>
    </row>
    <row r="4" spans="1:18">
      <c r="B4" s="30"/>
      <c r="C4" s="11"/>
      <c r="D4" s="11"/>
      <c r="E4" t="str">
        <f>IFERROR(VLOOKUP(D4,Customers!$A:$B,2,FALSE),"")</f>
        <v/>
      </c>
      <c r="F4" s="11"/>
      <c r="G4" t="str">
        <f>IFERROR(VLOOKUP(F4,'Products Index'!$A:$B,2,FALSE),"")</f>
        <v/>
      </c>
      <c r="H4" s="11"/>
      <c r="I4" s="12"/>
      <c r="J4" s="15"/>
      <c r="K4" s="16">
        <f t="shared" si="0"/>
        <v>0</v>
      </c>
      <c r="L4" s="16">
        <f t="shared" si="1"/>
        <v>0</v>
      </c>
      <c r="M4" s="16">
        <f>IFERROR(AVERAGEIF('Production Batches'!$C:$C,F4,'Production Batches'!$L:$L),0)</f>
        <v>0</v>
      </c>
      <c r="N4" s="16">
        <f t="shared" si="2"/>
        <v>0</v>
      </c>
      <c r="P4" s="11"/>
      <c r="Q4" s="30"/>
    </row>
    <row r="5" spans="1:18">
      <c r="B5" s="30"/>
      <c r="C5" s="11"/>
      <c r="D5" s="11"/>
      <c r="E5" t="str">
        <f>IFERROR(VLOOKUP(D5,Customers!$A:$B,2,FALSE),"")</f>
        <v/>
      </c>
      <c r="F5" s="11"/>
      <c r="G5" t="str">
        <f>IFERROR(VLOOKUP(F5,'Products Index'!$A:$B,2,FALSE),"")</f>
        <v/>
      </c>
      <c r="H5" s="11"/>
      <c r="I5" s="12"/>
      <c r="J5" s="15"/>
      <c r="K5" s="16">
        <f t="shared" si="0"/>
        <v>0</v>
      </c>
      <c r="L5" s="16">
        <f t="shared" si="1"/>
        <v>0</v>
      </c>
      <c r="M5" s="16">
        <f>IFERROR(AVERAGEIF('Production Batches'!$C:$C,F5,'Production Batches'!$L:$L),0)</f>
        <v>0</v>
      </c>
      <c r="N5" s="16">
        <f t="shared" si="2"/>
        <v>0</v>
      </c>
      <c r="P5" s="11"/>
      <c r="Q5" s="30"/>
    </row>
    <row r="6" spans="1:18">
      <c r="B6" s="30"/>
      <c r="C6" s="11"/>
      <c r="D6" s="11"/>
      <c r="E6" t="str">
        <f>IFERROR(VLOOKUP(D6,Customers!$A:$B,2,FALSE),"")</f>
        <v/>
      </c>
      <c r="F6" s="11"/>
      <c r="G6" t="str">
        <f>IFERROR(VLOOKUP(F6,'Products Index'!$A:$B,2,FALSE),"")</f>
        <v/>
      </c>
      <c r="H6" s="11"/>
      <c r="I6" s="12"/>
      <c r="J6" s="15"/>
      <c r="K6" s="16">
        <f t="shared" si="0"/>
        <v>0</v>
      </c>
      <c r="L6" s="16">
        <f t="shared" si="1"/>
        <v>0</v>
      </c>
      <c r="M6" s="16">
        <f>IFERROR(AVERAGEIF('Production Batches'!$C:$C,F6,'Production Batches'!$L:$L),0)</f>
        <v>0</v>
      </c>
      <c r="N6" s="16">
        <f t="shared" si="2"/>
        <v>0</v>
      </c>
      <c r="P6" s="11"/>
      <c r="Q6" s="30"/>
    </row>
    <row r="7" spans="1:18">
      <c r="B7" s="30"/>
      <c r="C7" s="11"/>
      <c r="D7" s="11"/>
      <c r="E7" t="str">
        <f>IFERROR(VLOOKUP(D7,Customers!$A:$B,2,FALSE),"")</f>
        <v/>
      </c>
      <c r="F7" s="11"/>
      <c r="G7" t="str">
        <f>IFERROR(VLOOKUP(F7,'Products Index'!$A:$B,2,FALSE),"")</f>
        <v/>
      </c>
      <c r="H7" s="11"/>
      <c r="I7" s="12"/>
      <c r="J7" s="15"/>
      <c r="K7" s="16">
        <f t="shared" si="0"/>
        <v>0</v>
      </c>
      <c r="L7" s="16">
        <f t="shared" si="1"/>
        <v>0</v>
      </c>
      <c r="M7" s="16">
        <f>IFERROR(AVERAGEIF('Production Batches'!$C:$C,F7,'Production Batches'!$L:$L),0)</f>
        <v>0</v>
      </c>
      <c r="N7" s="16">
        <f t="shared" si="2"/>
        <v>0</v>
      </c>
      <c r="P7" s="11"/>
      <c r="Q7" s="30"/>
    </row>
    <row r="8" spans="1:18">
      <c r="B8" s="30"/>
      <c r="C8" s="11"/>
      <c r="D8" s="11"/>
      <c r="E8" t="str">
        <f>IFERROR(VLOOKUP(D8,Customers!$A:$B,2,FALSE),"")</f>
        <v/>
      </c>
      <c r="F8" s="11"/>
      <c r="G8" t="str">
        <f>IFERROR(VLOOKUP(F8,'Products Index'!$A:$B,2,FALSE),"")</f>
        <v/>
      </c>
      <c r="H8" s="11"/>
      <c r="I8" s="12"/>
      <c r="J8" s="15"/>
      <c r="K8" s="16">
        <f t="shared" si="0"/>
        <v>0</v>
      </c>
      <c r="L8" s="16">
        <f t="shared" si="1"/>
        <v>0</v>
      </c>
      <c r="M8" s="16">
        <f>IFERROR(AVERAGEIF('Production Batches'!$C:$C,F8,'Production Batches'!$L:$L),0)</f>
        <v>0</v>
      </c>
      <c r="N8" s="16">
        <f t="shared" si="2"/>
        <v>0</v>
      </c>
      <c r="P8" s="11"/>
      <c r="Q8" s="30"/>
    </row>
    <row r="9" spans="1:18">
      <c r="B9" s="30"/>
      <c r="C9" s="11"/>
      <c r="D9" s="11"/>
      <c r="E9" t="str">
        <f>IFERROR(VLOOKUP(D9,Customers!$A:$B,2,FALSE),"")</f>
        <v/>
      </c>
      <c r="F9" s="11"/>
      <c r="G9" t="str">
        <f>IFERROR(VLOOKUP(F9,'Products Index'!$A:$B,2,FALSE),"")</f>
        <v/>
      </c>
      <c r="H9" s="11"/>
      <c r="I9" s="12"/>
      <c r="J9" s="15"/>
      <c r="K9" s="16">
        <f t="shared" si="0"/>
        <v>0</v>
      </c>
      <c r="L9" s="16">
        <f t="shared" si="1"/>
        <v>0</v>
      </c>
      <c r="M9" s="16">
        <f>IFERROR(AVERAGEIF('Production Batches'!$C:$C,F9,'Production Batches'!$L:$L),0)</f>
        <v>0</v>
      </c>
      <c r="N9" s="16">
        <f t="shared" si="2"/>
        <v>0</v>
      </c>
      <c r="P9" s="11"/>
      <c r="Q9" s="30"/>
    </row>
    <row r="10" spans="1:18">
      <c r="B10" s="30"/>
      <c r="C10" s="11"/>
      <c r="D10" s="11"/>
      <c r="E10" t="str">
        <f>IFERROR(VLOOKUP(D10,Customers!$A:$B,2,FALSE),"")</f>
        <v/>
      </c>
      <c r="F10" s="11"/>
      <c r="G10" t="str">
        <f>IFERROR(VLOOKUP(F10,'Products Index'!$A:$B,2,FALSE),"")</f>
        <v/>
      </c>
      <c r="H10" s="11"/>
      <c r="I10" s="12"/>
      <c r="J10" s="15"/>
      <c r="K10" s="16">
        <f t="shared" si="0"/>
        <v>0</v>
      </c>
      <c r="L10" s="16">
        <f t="shared" si="1"/>
        <v>0</v>
      </c>
      <c r="M10" s="16">
        <f>IFERROR(AVERAGEIF('Production Batches'!$C:$C,F10,'Production Batches'!$L:$L),0)</f>
        <v>0</v>
      </c>
      <c r="N10" s="16">
        <f t="shared" si="2"/>
        <v>0</v>
      </c>
      <c r="P10" s="11"/>
      <c r="Q10" s="30"/>
    </row>
    <row r="11" spans="1:18">
      <c r="B11" s="30"/>
      <c r="C11" s="11"/>
      <c r="D11" s="11"/>
      <c r="E11" t="str">
        <f>IFERROR(VLOOKUP(D11,Customers!$A:$B,2,FALSE),"")</f>
        <v/>
      </c>
      <c r="F11" s="11"/>
      <c r="G11" t="str">
        <f>IFERROR(VLOOKUP(F11,'Products Index'!$A:$B,2,FALSE),"")</f>
        <v/>
      </c>
      <c r="H11" s="11"/>
      <c r="I11" s="12"/>
      <c r="J11" s="15"/>
      <c r="K11" s="16">
        <f t="shared" si="0"/>
        <v>0</v>
      </c>
      <c r="L11" s="16">
        <f t="shared" si="1"/>
        <v>0</v>
      </c>
      <c r="M11" s="16">
        <f>IFERROR(AVERAGEIF('Production Batches'!$C:$C,F11,'Production Batches'!$L:$L),0)</f>
        <v>0</v>
      </c>
      <c r="N11" s="16">
        <f t="shared" si="2"/>
        <v>0</v>
      </c>
      <c r="P11" s="11"/>
      <c r="Q11" s="30"/>
    </row>
    <row r="12" spans="1:18">
      <c r="B12" s="30"/>
      <c r="C12" s="11"/>
      <c r="D12" s="11"/>
      <c r="E12" t="str">
        <f>IFERROR(VLOOKUP(D12,Customers!$A:$B,2,FALSE),"")</f>
        <v/>
      </c>
      <c r="F12" s="11"/>
      <c r="G12" t="str">
        <f>IFERROR(VLOOKUP(F12,'Products Index'!$A:$B,2,FALSE),"")</f>
        <v/>
      </c>
      <c r="H12" s="11"/>
      <c r="I12" s="12"/>
      <c r="J12" s="15"/>
      <c r="K12" s="16">
        <f t="shared" si="0"/>
        <v>0</v>
      </c>
      <c r="L12" s="16">
        <f t="shared" si="1"/>
        <v>0</v>
      </c>
      <c r="M12" s="16">
        <f>IFERROR(AVERAGEIF('Production Batches'!$C:$C,F12,'Production Batches'!$L:$L),0)</f>
        <v>0</v>
      </c>
      <c r="N12" s="16">
        <f t="shared" si="2"/>
        <v>0</v>
      </c>
      <c r="P12" s="11"/>
      <c r="Q12" s="30"/>
    </row>
    <row r="13" spans="1:18">
      <c r="B13" s="30"/>
      <c r="C13" s="11"/>
      <c r="D13" s="11"/>
      <c r="E13" t="str">
        <f>IFERROR(VLOOKUP(D13,Customers!$A:$B,2,FALSE),"")</f>
        <v/>
      </c>
      <c r="F13" s="11"/>
      <c r="G13" t="str">
        <f>IFERROR(VLOOKUP(F13,'Products Index'!$A:$B,2,FALSE),"")</f>
        <v/>
      </c>
      <c r="H13" s="11"/>
      <c r="I13" s="12"/>
      <c r="J13" s="15"/>
      <c r="K13" s="16">
        <f t="shared" si="0"/>
        <v>0</v>
      </c>
      <c r="L13" s="16">
        <f t="shared" si="1"/>
        <v>0</v>
      </c>
      <c r="M13" s="16">
        <f>IFERROR(AVERAGEIF('Production Batches'!$C:$C,F13,'Production Batches'!$L:$L),0)</f>
        <v>0</v>
      </c>
      <c r="N13" s="16">
        <f t="shared" si="2"/>
        <v>0</v>
      </c>
      <c r="P13" s="11"/>
      <c r="Q13" s="30"/>
    </row>
    <row r="14" spans="1:18">
      <c r="B14" s="30"/>
      <c r="C14" s="11"/>
      <c r="D14" s="11"/>
      <c r="E14" t="str">
        <f>IFERROR(VLOOKUP(D14,Customers!$A:$B,2,FALSE),"")</f>
        <v/>
      </c>
      <c r="F14" s="11"/>
      <c r="G14" t="str">
        <f>IFERROR(VLOOKUP(F14,'Products Index'!$A:$B,2,FALSE),"")</f>
        <v/>
      </c>
      <c r="H14" s="11"/>
      <c r="I14" s="12"/>
      <c r="J14" s="15"/>
      <c r="K14" s="16">
        <f t="shared" si="0"/>
        <v>0</v>
      </c>
      <c r="L14" s="16">
        <f t="shared" si="1"/>
        <v>0</v>
      </c>
      <c r="M14" s="16">
        <f>IFERROR(AVERAGEIF('Production Batches'!$C:$C,F14,'Production Batches'!$L:$L),0)</f>
        <v>0</v>
      </c>
      <c r="N14" s="16">
        <f t="shared" si="2"/>
        <v>0</v>
      </c>
      <c r="P14" s="11"/>
      <c r="Q14" s="30"/>
    </row>
    <row r="15" spans="1:18">
      <c r="B15" s="30"/>
      <c r="C15" s="11"/>
      <c r="D15" s="11"/>
      <c r="E15" t="str">
        <f>IFERROR(VLOOKUP(D15,Customers!$A:$B,2,FALSE),"")</f>
        <v/>
      </c>
      <c r="F15" s="11"/>
      <c r="G15" t="str">
        <f>IFERROR(VLOOKUP(F15,'Products Index'!$A:$B,2,FALSE),"")</f>
        <v/>
      </c>
      <c r="H15" s="11"/>
      <c r="I15" s="12"/>
      <c r="J15" s="15"/>
      <c r="K15" s="16">
        <f t="shared" si="0"/>
        <v>0</v>
      </c>
      <c r="L15" s="16">
        <f t="shared" si="1"/>
        <v>0</v>
      </c>
      <c r="M15" s="16">
        <f>IFERROR(AVERAGEIF('Production Batches'!$C:$C,F15,'Production Batches'!$L:$L),0)</f>
        <v>0</v>
      </c>
      <c r="N15" s="16">
        <f t="shared" si="2"/>
        <v>0</v>
      </c>
      <c r="P15" s="11"/>
      <c r="Q15" s="30"/>
    </row>
    <row r="16" spans="1:18">
      <c r="B16" s="30"/>
      <c r="C16" s="11"/>
      <c r="D16" s="11"/>
      <c r="E16" t="str">
        <f>IFERROR(VLOOKUP(D16,Customers!$A:$B,2,FALSE),"")</f>
        <v/>
      </c>
      <c r="F16" s="11"/>
      <c r="G16" t="str">
        <f>IFERROR(VLOOKUP(F16,'Products Index'!$A:$B,2,FALSE),"")</f>
        <v/>
      </c>
      <c r="H16" s="11"/>
      <c r="I16" s="12"/>
      <c r="J16" s="15"/>
      <c r="K16" s="16">
        <f t="shared" si="0"/>
        <v>0</v>
      </c>
      <c r="L16" s="16">
        <f t="shared" si="1"/>
        <v>0</v>
      </c>
      <c r="M16" s="16">
        <f>IFERROR(AVERAGEIF('Production Batches'!$C:$C,F16,'Production Batches'!$L:$L),0)</f>
        <v>0</v>
      </c>
      <c r="N16" s="16">
        <f t="shared" si="2"/>
        <v>0</v>
      </c>
      <c r="P16" s="11"/>
      <c r="Q16" s="30"/>
    </row>
    <row r="17" spans="2:17">
      <c r="B17" s="30"/>
      <c r="C17" s="11"/>
      <c r="D17" s="11"/>
      <c r="E17" t="str">
        <f>IFERROR(VLOOKUP(D17,Customers!$A:$B,2,FALSE),"")</f>
        <v/>
      </c>
      <c r="F17" s="11"/>
      <c r="G17" t="str">
        <f>IFERROR(VLOOKUP(F17,'Products Index'!$A:$B,2,FALSE),"")</f>
        <v/>
      </c>
      <c r="H17" s="11"/>
      <c r="I17" s="12"/>
      <c r="J17" s="15"/>
      <c r="K17" s="16">
        <f t="shared" si="0"/>
        <v>0</v>
      </c>
      <c r="L17" s="16">
        <f t="shared" si="1"/>
        <v>0</v>
      </c>
      <c r="M17" s="16">
        <f>IFERROR(AVERAGEIF('Production Batches'!$C:$C,F17,'Production Batches'!$L:$L),0)</f>
        <v>0</v>
      </c>
      <c r="N17" s="16">
        <f t="shared" si="2"/>
        <v>0</v>
      </c>
      <c r="P17" s="11"/>
      <c r="Q17" s="30"/>
    </row>
    <row r="18" spans="2:17">
      <c r="B18" s="30"/>
      <c r="C18" s="11"/>
      <c r="D18" s="11"/>
      <c r="E18" t="str">
        <f>IFERROR(VLOOKUP(D18,Customers!$A:$B,2,FALSE),"")</f>
        <v/>
      </c>
      <c r="F18" s="11"/>
      <c r="G18" t="str">
        <f>IFERROR(VLOOKUP(F18,'Products Index'!$A:$B,2,FALSE),"")</f>
        <v/>
      </c>
      <c r="H18" s="11"/>
      <c r="I18" s="12"/>
      <c r="J18" s="15"/>
      <c r="K18" s="16">
        <f t="shared" si="0"/>
        <v>0</v>
      </c>
      <c r="L18" s="16">
        <f t="shared" si="1"/>
        <v>0</v>
      </c>
      <c r="M18" s="16">
        <f>IFERROR(AVERAGEIF('Production Batches'!$C:$C,F18,'Production Batches'!$L:$L),0)</f>
        <v>0</v>
      </c>
      <c r="N18" s="16">
        <f t="shared" si="2"/>
        <v>0</v>
      </c>
      <c r="P18" s="11"/>
      <c r="Q18" s="30"/>
    </row>
    <row r="19" spans="2:17">
      <c r="B19" s="30"/>
      <c r="C19" s="11"/>
      <c r="D19" s="11"/>
      <c r="E19" t="str">
        <f>IFERROR(VLOOKUP(D19,Customers!$A:$B,2,FALSE),"")</f>
        <v/>
      </c>
      <c r="F19" s="11"/>
      <c r="G19" t="str">
        <f>IFERROR(VLOOKUP(F19,'Products Index'!$A:$B,2,FALSE),"")</f>
        <v/>
      </c>
      <c r="H19" s="11"/>
      <c r="I19" s="12"/>
      <c r="J19" s="15"/>
      <c r="K19" s="16">
        <f t="shared" si="0"/>
        <v>0</v>
      </c>
      <c r="L19" s="16">
        <f t="shared" si="1"/>
        <v>0</v>
      </c>
      <c r="M19" s="16">
        <f>IFERROR(AVERAGEIF('Production Batches'!$C:$C,F19,'Production Batches'!$L:$L),0)</f>
        <v>0</v>
      </c>
      <c r="N19" s="16">
        <f t="shared" si="2"/>
        <v>0</v>
      </c>
      <c r="P19" s="11"/>
      <c r="Q19" s="30"/>
    </row>
    <row r="20" spans="2:17">
      <c r="B20" s="30"/>
      <c r="C20" s="11"/>
      <c r="D20" s="11"/>
      <c r="E20" t="str">
        <f>IFERROR(VLOOKUP(D20,Customers!$A:$B,2,FALSE),"")</f>
        <v/>
      </c>
      <c r="F20" s="11"/>
      <c r="G20" t="str">
        <f>IFERROR(VLOOKUP(F20,'Products Index'!$A:$B,2,FALSE),"")</f>
        <v/>
      </c>
      <c r="H20" s="11"/>
      <c r="I20" s="12"/>
      <c r="J20" s="15"/>
      <c r="K20" s="16">
        <f t="shared" si="0"/>
        <v>0</v>
      </c>
      <c r="L20" s="16">
        <f t="shared" si="1"/>
        <v>0</v>
      </c>
      <c r="M20" s="16">
        <f>IFERROR(AVERAGEIF('Production Batches'!$C:$C,F20,'Production Batches'!$L:$L),0)</f>
        <v>0</v>
      </c>
      <c r="N20" s="16">
        <f t="shared" si="2"/>
        <v>0</v>
      </c>
      <c r="P20" s="11"/>
      <c r="Q20" s="30"/>
    </row>
    <row r="21" spans="2:17">
      <c r="B21" s="30"/>
      <c r="C21" s="11"/>
      <c r="D21" s="11"/>
      <c r="E21" t="str">
        <f>IFERROR(VLOOKUP(D21,Customers!$A:$B,2,FALSE),"")</f>
        <v/>
      </c>
      <c r="F21" s="11"/>
      <c r="G21" t="str">
        <f>IFERROR(VLOOKUP(F21,'Products Index'!$A:$B,2,FALSE),"")</f>
        <v/>
      </c>
      <c r="H21" s="11"/>
      <c r="I21" s="12"/>
      <c r="J21" s="15"/>
      <c r="K21" s="16">
        <f t="shared" si="0"/>
        <v>0</v>
      </c>
      <c r="L21" s="16">
        <f t="shared" si="1"/>
        <v>0</v>
      </c>
      <c r="M21" s="16">
        <f>IFERROR(AVERAGEIF('Production Batches'!$C:$C,F21,'Production Batches'!$L:$L),0)</f>
        <v>0</v>
      </c>
      <c r="N21" s="16">
        <f t="shared" si="2"/>
        <v>0</v>
      </c>
      <c r="P21" s="11"/>
      <c r="Q21" s="30"/>
    </row>
    <row r="22" spans="2:17">
      <c r="B22" s="30"/>
      <c r="C22" s="11"/>
      <c r="D22" s="11"/>
      <c r="E22" t="str">
        <f>IFERROR(VLOOKUP(D22,Customers!$A:$B,2,FALSE),"")</f>
        <v/>
      </c>
      <c r="F22" s="11"/>
      <c r="G22" t="str">
        <f>IFERROR(VLOOKUP(F22,'Products Index'!$A:$B,2,FALSE),"")</f>
        <v/>
      </c>
      <c r="H22" s="11"/>
      <c r="I22" s="12"/>
      <c r="J22" s="15"/>
      <c r="K22" s="16">
        <f t="shared" si="0"/>
        <v>0</v>
      </c>
      <c r="L22" s="16">
        <f t="shared" si="1"/>
        <v>0</v>
      </c>
      <c r="M22" s="16">
        <f>IFERROR(AVERAGEIF('Production Batches'!$C:$C,F22,'Production Batches'!$L:$L),0)</f>
        <v>0</v>
      </c>
      <c r="N22" s="16">
        <f t="shared" si="2"/>
        <v>0</v>
      </c>
      <c r="P22" s="11"/>
      <c r="Q22" s="30"/>
    </row>
    <row r="23" spans="2:17">
      <c r="B23" s="30"/>
      <c r="C23" s="11"/>
      <c r="D23" s="11"/>
      <c r="E23" t="str">
        <f>IFERROR(VLOOKUP(D23,Customers!$A:$B,2,FALSE),"")</f>
        <v/>
      </c>
      <c r="F23" s="11"/>
      <c r="G23" t="str">
        <f>IFERROR(VLOOKUP(F23,'Products Index'!$A:$B,2,FALSE),"")</f>
        <v/>
      </c>
      <c r="H23" s="11"/>
      <c r="I23" s="12"/>
      <c r="J23" s="15"/>
      <c r="K23" s="16">
        <f t="shared" si="0"/>
        <v>0</v>
      </c>
      <c r="L23" s="16">
        <f t="shared" si="1"/>
        <v>0</v>
      </c>
      <c r="M23" s="16">
        <f>IFERROR(AVERAGEIF('Production Batches'!$C:$C,F23,'Production Batches'!$L:$L),0)</f>
        <v>0</v>
      </c>
      <c r="N23" s="16">
        <f t="shared" si="2"/>
        <v>0</v>
      </c>
      <c r="P23" s="11"/>
      <c r="Q23" s="30"/>
    </row>
    <row r="24" spans="2:17">
      <c r="B24" s="30"/>
      <c r="C24" s="11"/>
      <c r="D24" s="11"/>
      <c r="E24" t="str">
        <f>IFERROR(VLOOKUP(D24,Customers!$A:$B,2,FALSE),"")</f>
        <v/>
      </c>
      <c r="F24" s="11"/>
      <c r="G24" t="str">
        <f>IFERROR(VLOOKUP(F24,'Products Index'!$A:$B,2,FALSE),"")</f>
        <v/>
      </c>
      <c r="H24" s="11"/>
      <c r="I24" s="12"/>
      <c r="J24" s="15"/>
      <c r="K24" s="16">
        <f t="shared" si="0"/>
        <v>0</v>
      </c>
      <c r="L24" s="16">
        <f t="shared" si="1"/>
        <v>0</v>
      </c>
      <c r="M24" s="16">
        <f>IFERROR(AVERAGEIF('Production Batches'!$C:$C,F24,'Production Batches'!$L:$L),0)</f>
        <v>0</v>
      </c>
      <c r="N24" s="16">
        <f t="shared" si="2"/>
        <v>0</v>
      </c>
      <c r="P24" s="11"/>
      <c r="Q24" s="30"/>
    </row>
    <row r="25" spans="2:17">
      <c r="B25" s="30"/>
      <c r="C25" s="11"/>
      <c r="D25" s="11"/>
      <c r="E25" t="str">
        <f>IFERROR(VLOOKUP(D25,Customers!$A:$B,2,FALSE),"")</f>
        <v/>
      </c>
      <c r="F25" s="11"/>
      <c r="G25" t="str">
        <f>IFERROR(VLOOKUP(F25,'Products Index'!$A:$B,2,FALSE),"")</f>
        <v/>
      </c>
      <c r="H25" s="11"/>
      <c r="I25" s="12"/>
      <c r="J25" s="15"/>
      <c r="K25" s="16">
        <f t="shared" si="0"/>
        <v>0</v>
      </c>
      <c r="L25" s="16">
        <f t="shared" si="1"/>
        <v>0</v>
      </c>
      <c r="M25" s="16">
        <f>IFERROR(AVERAGEIF('Production Batches'!$C:$C,F25,'Production Batches'!$L:$L),0)</f>
        <v>0</v>
      </c>
      <c r="N25" s="16">
        <f t="shared" si="2"/>
        <v>0</v>
      </c>
      <c r="P25" s="11"/>
      <c r="Q25" s="30"/>
    </row>
    <row r="26" spans="2:17">
      <c r="B26" s="30"/>
      <c r="C26" s="11"/>
      <c r="D26" s="11"/>
      <c r="E26" t="str">
        <f>IFERROR(VLOOKUP(D26,Customers!$A:$B,2,FALSE),"")</f>
        <v/>
      </c>
      <c r="F26" s="11"/>
      <c r="G26" t="str">
        <f>IFERROR(VLOOKUP(F26,'Products Index'!$A:$B,2,FALSE),"")</f>
        <v/>
      </c>
      <c r="H26" s="11"/>
      <c r="I26" s="12"/>
      <c r="J26" s="15"/>
      <c r="K26" s="16">
        <f t="shared" si="0"/>
        <v>0</v>
      </c>
      <c r="L26" s="16">
        <f t="shared" si="1"/>
        <v>0</v>
      </c>
      <c r="M26" s="16">
        <f>IFERROR(AVERAGEIF('Production Batches'!$C:$C,F26,'Production Batches'!$L:$L),0)</f>
        <v>0</v>
      </c>
      <c r="N26" s="16">
        <f t="shared" si="2"/>
        <v>0</v>
      </c>
      <c r="P26" s="11"/>
      <c r="Q26" s="30"/>
    </row>
    <row r="27" spans="2:17">
      <c r="B27" s="30"/>
      <c r="C27" s="11"/>
      <c r="D27" s="11"/>
      <c r="E27" t="str">
        <f>IFERROR(VLOOKUP(D27,Customers!$A:$B,2,FALSE),"")</f>
        <v/>
      </c>
      <c r="F27" s="11"/>
      <c r="G27" t="str">
        <f>IFERROR(VLOOKUP(F27,'Products Index'!$A:$B,2,FALSE),"")</f>
        <v/>
      </c>
      <c r="H27" s="11"/>
      <c r="I27" s="12"/>
      <c r="J27" s="15"/>
      <c r="K27" s="16">
        <f t="shared" si="0"/>
        <v>0</v>
      </c>
      <c r="L27" s="16">
        <f t="shared" si="1"/>
        <v>0</v>
      </c>
      <c r="M27" s="16">
        <f>IFERROR(AVERAGEIF('Production Batches'!$C:$C,F27,'Production Batches'!$L:$L),0)</f>
        <v>0</v>
      </c>
      <c r="N27" s="16">
        <f t="shared" si="2"/>
        <v>0</v>
      </c>
      <c r="P27" s="11"/>
      <c r="Q27" s="30"/>
    </row>
    <row r="28" spans="2:17">
      <c r="B28" s="30"/>
      <c r="C28" s="11"/>
      <c r="D28" s="11"/>
      <c r="E28" t="str">
        <f>IFERROR(VLOOKUP(D28,Customers!$A:$B,2,FALSE),"")</f>
        <v/>
      </c>
      <c r="F28" s="11"/>
      <c r="G28" t="str">
        <f>IFERROR(VLOOKUP(F28,'Products Index'!$A:$B,2,FALSE),"")</f>
        <v/>
      </c>
      <c r="H28" s="11"/>
      <c r="I28" s="12"/>
      <c r="J28" s="15"/>
      <c r="K28" s="16">
        <f t="shared" si="0"/>
        <v>0</v>
      </c>
      <c r="L28" s="16">
        <f t="shared" si="1"/>
        <v>0</v>
      </c>
      <c r="M28" s="16">
        <f>IFERROR(AVERAGEIF('Production Batches'!$C:$C,F28,'Production Batches'!$L:$L),0)</f>
        <v>0</v>
      </c>
      <c r="N28" s="16">
        <f t="shared" si="2"/>
        <v>0</v>
      </c>
      <c r="P28" s="11"/>
      <c r="Q28" s="30"/>
    </row>
    <row r="29" spans="2:17">
      <c r="B29" s="30"/>
      <c r="C29" s="11"/>
      <c r="D29" s="11"/>
      <c r="E29" t="str">
        <f>IFERROR(VLOOKUP(D29,Customers!$A:$B,2,FALSE),"")</f>
        <v/>
      </c>
      <c r="F29" s="11"/>
      <c r="G29" t="str">
        <f>IFERROR(VLOOKUP(F29,'Products Index'!$A:$B,2,FALSE),"")</f>
        <v/>
      </c>
      <c r="H29" s="11"/>
      <c r="I29" s="12"/>
      <c r="J29" s="15"/>
      <c r="K29" s="16">
        <f t="shared" si="0"/>
        <v>0</v>
      </c>
      <c r="L29" s="16">
        <f t="shared" si="1"/>
        <v>0</v>
      </c>
      <c r="M29" s="16">
        <f>IFERROR(AVERAGEIF('Production Batches'!$C:$C,F29,'Production Batches'!$L:$L),0)</f>
        <v>0</v>
      </c>
      <c r="N29" s="16">
        <f t="shared" si="2"/>
        <v>0</v>
      </c>
      <c r="P29" s="11"/>
      <c r="Q29" s="30"/>
    </row>
    <row r="30" spans="2:17">
      <c r="B30" s="30"/>
      <c r="C30" s="11"/>
      <c r="D30" s="11"/>
      <c r="E30" t="str">
        <f>IFERROR(VLOOKUP(D30,Customers!$A:$B,2,FALSE),"")</f>
        <v/>
      </c>
      <c r="F30" s="11"/>
      <c r="G30" t="str">
        <f>IFERROR(VLOOKUP(F30,'Products Index'!$A:$B,2,FALSE),"")</f>
        <v/>
      </c>
      <c r="H30" s="11"/>
      <c r="I30" s="12"/>
      <c r="J30" s="15"/>
      <c r="K30" s="16">
        <f t="shared" si="0"/>
        <v>0</v>
      </c>
      <c r="L30" s="16">
        <f t="shared" si="1"/>
        <v>0</v>
      </c>
      <c r="M30" s="16">
        <f>IFERROR(AVERAGEIF('Production Batches'!$C:$C,F30,'Production Batches'!$L:$L),0)</f>
        <v>0</v>
      </c>
      <c r="N30" s="16">
        <f t="shared" si="2"/>
        <v>0</v>
      </c>
      <c r="P30" s="11"/>
      <c r="Q30" s="30"/>
    </row>
    <row r="31" spans="2:17">
      <c r="B31" s="30"/>
      <c r="C31" s="11"/>
      <c r="D31" s="11"/>
      <c r="E31" t="str">
        <f>IFERROR(VLOOKUP(D31,Customers!$A:$B,2,FALSE),"")</f>
        <v/>
      </c>
      <c r="F31" s="11"/>
      <c r="G31" t="str">
        <f>IFERROR(VLOOKUP(F31,'Products Index'!$A:$B,2,FALSE),"")</f>
        <v/>
      </c>
      <c r="H31" s="11"/>
      <c r="I31" s="12"/>
      <c r="J31" s="15"/>
      <c r="K31" s="16">
        <f t="shared" si="0"/>
        <v>0</v>
      </c>
      <c r="L31" s="16">
        <f t="shared" si="1"/>
        <v>0</v>
      </c>
      <c r="M31" s="16">
        <f>IFERROR(AVERAGEIF('Production Batches'!$C:$C,F31,'Production Batches'!$L:$L),0)</f>
        <v>0</v>
      </c>
      <c r="N31" s="16">
        <f t="shared" si="2"/>
        <v>0</v>
      </c>
      <c r="P31" s="11"/>
      <c r="Q31" s="30"/>
    </row>
    <row r="32" spans="2:17">
      <c r="B32" s="30"/>
      <c r="C32" s="11"/>
      <c r="D32" s="11"/>
      <c r="E32" t="str">
        <f>IFERROR(VLOOKUP(D32,Customers!$A:$B,2,FALSE),"")</f>
        <v/>
      </c>
      <c r="F32" s="11"/>
      <c r="G32" t="str">
        <f>IFERROR(VLOOKUP(F32,'Products Index'!$A:$B,2,FALSE),"")</f>
        <v/>
      </c>
      <c r="H32" s="11"/>
      <c r="I32" s="12"/>
      <c r="J32" s="15"/>
      <c r="K32" s="16">
        <f t="shared" si="0"/>
        <v>0</v>
      </c>
      <c r="L32" s="16">
        <f t="shared" si="1"/>
        <v>0</v>
      </c>
      <c r="M32" s="16">
        <f>IFERROR(AVERAGEIF('Production Batches'!$C:$C,F32,'Production Batches'!$L:$L),0)</f>
        <v>0</v>
      </c>
      <c r="N32" s="16">
        <f t="shared" si="2"/>
        <v>0</v>
      </c>
      <c r="P32" s="11"/>
      <c r="Q32" s="30"/>
    </row>
    <row r="33" spans="2:17">
      <c r="B33" s="30"/>
      <c r="C33" s="11"/>
      <c r="D33" s="11"/>
      <c r="E33" t="str">
        <f>IFERROR(VLOOKUP(D33,Customers!$A:$B,2,FALSE),"")</f>
        <v/>
      </c>
      <c r="F33" s="11"/>
      <c r="G33" t="str">
        <f>IFERROR(VLOOKUP(F33,'Products Index'!$A:$B,2,FALSE),"")</f>
        <v/>
      </c>
      <c r="H33" s="11"/>
      <c r="I33" s="12"/>
      <c r="J33" s="15"/>
      <c r="K33" s="16">
        <f t="shared" si="0"/>
        <v>0</v>
      </c>
      <c r="L33" s="16">
        <f t="shared" si="1"/>
        <v>0</v>
      </c>
      <c r="M33" s="16">
        <f>IFERROR(AVERAGEIF('Production Batches'!$C:$C,F33,'Production Batches'!$L:$L),0)</f>
        <v>0</v>
      </c>
      <c r="N33" s="16">
        <f t="shared" si="2"/>
        <v>0</v>
      </c>
      <c r="P33" s="11"/>
      <c r="Q33" s="30"/>
    </row>
    <row r="34" spans="2:17">
      <c r="B34" s="30"/>
      <c r="C34" s="11"/>
      <c r="D34" s="11"/>
      <c r="E34" t="str">
        <f>IFERROR(VLOOKUP(D34,Customers!$A:$B,2,FALSE),"")</f>
        <v/>
      </c>
      <c r="F34" s="11"/>
      <c r="G34" t="str">
        <f>IFERROR(VLOOKUP(F34,'Products Index'!$A:$B,2,FALSE),"")</f>
        <v/>
      </c>
      <c r="H34" s="11"/>
      <c r="I34" s="12"/>
      <c r="J34" s="15"/>
      <c r="K34" s="16">
        <f t="shared" si="0"/>
        <v>0</v>
      </c>
      <c r="L34" s="16">
        <f t="shared" si="1"/>
        <v>0</v>
      </c>
      <c r="M34" s="16">
        <f>IFERROR(AVERAGEIF('Production Batches'!$C:$C,F34,'Production Batches'!$L:$L),0)</f>
        <v>0</v>
      </c>
      <c r="N34" s="16">
        <f t="shared" si="2"/>
        <v>0</v>
      </c>
      <c r="P34" s="11"/>
      <c r="Q34" s="30"/>
    </row>
    <row r="35" spans="2:17">
      <c r="B35" s="30"/>
      <c r="C35" s="11"/>
      <c r="D35" s="11"/>
      <c r="E35" t="str">
        <f>IFERROR(VLOOKUP(D35,Customers!$A:$B,2,FALSE),"")</f>
        <v/>
      </c>
      <c r="F35" s="11"/>
      <c r="G35" t="str">
        <f>IFERROR(VLOOKUP(F35,'Products Index'!$A:$B,2,FALSE),"")</f>
        <v/>
      </c>
      <c r="H35" s="11"/>
      <c r="I35" s="12"/>
      <c r="J35" s="15"/>
      <c r="K35" s="16">
        <f t="shared" si="0"/>
        <v>0</v>
      </c>
      <c r="L35" s="16">
        <f t="shared" si="1"/>
        <v>0</v>
      </c>
      <c r="M35" s="16">
        <f>IFERROR(AVERAGEIF('Production Batches'!$C:$C,F35,'Production Batches'!$L:$L),0)</f>
        <v>0</v>
      </c>
      <c r="N35" s="16">
        <f t="shared" si="2"/>
        <v>0</v>
      </c>
      <c r="P35" s="11"/>
      <c r="Q35" s="30"/>
    </row>
    <row r="36" spans="2:17">
      <c r="B36" s="30"/>
      <c r="C36" s="11"/>
      <c r="D36" s="11"/>
      <c r="E36" t="str">
        <f>IFERROR(VLOOKUP(D36,Customers!$A:$B,2,FALSE),"")</f>
        <v/>
      </c>
      <c r="F36" s="11"/>
      <c r="G36" t="str">
        <f>IFERROR(VLOOKUP(F36,'Products Index'!$A:$B,2,FALSE),"")</f>
        <v/>
      </c>
      <c r="H36" s="11"/>
      <c r="I36" s="12"/>
      <c r="J36" s="15"/>
      <c r="K36" s="16">
        <f t="shared" si="0"/>
        <v>0</v>
      </c>
      <c r="L36" s="16">
        <f t="shared" si="1"/>
        <v>0</v>
      </c>
      <c r="M36" s="16">
        <f>IFERROR(AVERAGEIF('Production Batches'!$C:$C,F36,'Production Batches'!$L:$L),0)</f>
        <v>0</v>
      </c>
      <c r="N36" s="16">
        <f t="shared" si="2"/>
        <v>0</v>
      </c>
      <c r="P36" s="11"/>
      <c r="Q36" s="30"/>
    </row>
    <row r="37" spans="2:17">
      <c r="B37" s="30"/>
      <c r="C37" s="11"/>
      <c r="D37" s="11"/>
      <c r="E37" t="str">
        <f>IFERROR(VLOOKUP(D37,Customers!$A:$B,2,FALSE),"")</f>
        <v/>
      </c>
      <c r="F37" s="11"/>
      <c r="G37" t="str">
        <f>IFERROR(VLOOKUP(F37,'Products Index'!$A:$B,2,FALSE),"")</f>
        <v/>
      </c>
      <c r="H37" s="11"/>
      <c r="I37" s="12"/>
      <c r="J37" s="15"/>
      <c r="K37" s="16">
        <f t="shared" si="0"/>
        <v>0</v>
      </c>
      <c r="L37" s="16">
        <f t="shared" si="1"/>
        <v>0</v>
      </c>
      <c r="M37" s="16">
        <f>IFERROR(AVERAGEIF('Production Batches'!$C:$C,F37,'Production Batches'!$L:$L),0)</f>
        <v>0</v>
      </c>
      <c r="N37" s="16">
        <f t="shared" si="2"/>
        <v>0</v>
      </c>
      <c r="P37" s="11"/>
      <c r="Q37" s="30"/>
    </row>
    <row r="38" spans="2:17">
      <c r="B38" s="30"/>
      <c r="C38" s="11"/>
      <c r="D38" s="11"/>
      <c r="E38" t="str">
        <f>IFERROR(VLOOKUP(D38,Customers!$A:$B,2,FALSE),"")</f>
        <v/>
      </c>
      <c r="F38" s="11"/>
      <c r="G38" t="str">
        <f>IFERROR(VLOOKUP(F38,'Products Index'!$A:$B,2,FALSE),"")</f>
        <v/>
      </c>
      <c r="H38" s="11"/>
      <c r="I38" s="12"/>
      <c r="J38" s="15"/>
      <c r="K38" s="16">
        <f t="shared" si="0"/>
        <v>0</v>
      </c>
      <c r="L38" s="16">
        <f t="shared" si="1"/>
        <v>0</v>
      </c>
      <c r="M38" s="16">
        <f>IFERROR(AVERAGEIF('Production Batches'!$C:$C,F38,'Production Batches'!$L:$L),0)</f>
        <v>0</v>
      </c>
      <c r="N38" s="16">
        <f t="shared" si="2"/>
        <v>0</v>
      </c>
      <c r="P38" s="11"/>
      <c r="Q38" s="30"/>
    </row>
    <row r="39" spans="2:17">
      <c r="B39" s="30"/>
      <c r="C39" s="11"/>
      <c r="D39" s="11"/>
      <c r="E39" t="str">
        <f>IFERROR(VLOOKUP(D39,Customers!$A:$B,2,FALSE),"")</f>
        <v/>
      </c>
      <c r="F39" s="11"/>
      <c r="G39" t="str">
        <f>IFERROR(VLOOKUP(F39,'Products Index'!$A:$B,2,FALSE),"")</f>
        <v/>
      </c>
      <c r="H39" s="11"/>
      <c r="I39" s="12"/>
      <c r="J39" s="15"/>
      <c r="K39" s="16">
        <f t="shared" si="0"/>
        <v>0</v>
      </c>
      <c r="L39" s="16">
        <f t="shared" si="1"/>
        <v>0</v>
      </c>
      <c r="M39" s="16">
        <f>IFERROR(AVERAGEIF('Production Batches'!$C:$C,F39,'Production Batches'!$L:$L),0)</f>
        <v>0</v>
      </c>
      <c r="N39" s="16">
        <f t="shared" si="2"/>
        <v>0</v>
      </c>
      <c r="P39" s="11"/>
      <c r="Q39" s="30"/>
    </row>
    <row r="40" spans="2:17">
      <c r="B40" s="30"/>
      <c r="C40" s="11"/>
      <c r="D40" s="11"/>
      <c r="E40" t="str">
        <f>IFERROR(VLOOKUP(D40,Customers!$A:$B,2,FALSE),"")</f>
        <v/>
      </c>
      <c r="F40" s="11"/>
      <c r="G40" t="str">
        <f>IFERROR(VLOOKUP(F40,'Products Index'!$A:$B,2,FALSE),"")</f>
        <v/>
      </c>
      <c r="H40" s="11"/>
      <c r="I40" s="12"/>
      <c r="J40" s="15"/>
      <c r="K40" s="16">
        <f t="shared" si="0"/>
        <v>0</v>
      </c>
      <c r="L40" s="16">
        <f t="shared" si="1"/>
        <v>0</v>
      </c>
      <c r="M40" s="16">
        <f>IFERROR(AVERAGEIF('Production Batches'!$C:$C,F40,'Production Batches'!$L:$L),0)</f>
        <v>0</v>
      </c>
      <c r="N40" s="16">
        <f t="shared" si="2"/>
        <v>0</v>
      </c>
      <c r="P40" s="11"/>
      <c r="Q40" s="30"/>
    </row>
    <row r="41" spans="2:17">
      <c r="B41" s="30"/>
      <c r="C41" s="11"/>
      <c r="D41" s="11"/>
      <c r="E41" t="str">
        <f>IFERROR(VLOOKUP(D41,Customers!$A:$B,2,FALSE),"")</f>
        <v/>
      </c>
      <c r="F41" s="11"/>
      <c r="G41" t="str">
        <f>IFERROR(VLOOKUP(F41,'Products Index'!$A:$B,2,FALSE),"")</f>
        <v/>
      </c>
      <c r="H41" s="11"/>
      <c r="I41" s="12"/>
      <c r="J41" s="15"/>
      <c r="K41" s="16">
        <f t="shared" si="0"/>
        <v>0</v>
      </c>
      <c r="L41" s="16">
        <f t="shared" si="1"/>
        <v>0</v>
      </c>
      <c r="M41" s="16">
        <f>IFERROR(AVERAGEIF('Production Batches'!$C:$C,F41,'Production Batches'!$L:$L),0)</f>
        <v>0</v>
      </c>
      <c r="N41" s="16">
        <f t="shared" si="2"/>
        <v>0</v>
      </c>
      <c r="P41" s="11"/>
      <c r="Q41" s="30"/>
    </row>
    <row r="42" spans="2:17">
      <c r="B42" s="30"/>
      <c r="C42" s="11"/>
      <c r="D42" s="11"/>
      <c r="E42" t="str">
        <f>IFERROR(VLOOKUP(D42,Customers!$A:$B,2,FALSE),"")</f>
        <v/>
      </c>
      <c r="F42" s="11"/>
      <c r="G42" t="str">
        <f>IFERROR(VLOOKUP(F42,'Products Index'!$A:$B,2,FALSE),"")</f>
        <v/>
      </c>
      <c r="H42" s="11"/>
      <c r="I42" s="12"/>
      <c r="J42" s="15"/>
      <c r="K42" s="16">
        <f t="shared" si="0"/>
        <v>0</v>
      </c>
      <c r="L42" s="16">
        <f t="shared" si="1"/>
        <v>0</v>
      </c>
      <c r="M42" s="16">
        <f>IFERROR(AVERAGEIF('Production Batches'!$C:$C,F42,'Production Batches'!$L:$L),0)</f>
        <v>0</v>
      </c>
      <c r="N42" s="16">
        <f t="shared" si="2"/>
        <v>0</v>
      </c>
      <c r="P42" s="11"/>
      <c r="Q42" s="30"/>
    </row>
    <row r="43" spans="2:17">
      <c r="B43" s="30"/>
      <c r="C43" s="11"/>
      <c r="D43" s="11"/>
      <c r="E43" t="str">
        <f>IFERROR(VLOOKUP(D43,Customers!$A:$B,2,FALSE),"")</f>
        <v/>
      </c>
      <c r="F43" s="11"/>
      <c r="G43" t="str">
        <f>IFERROR(VLOOKUP(F43,'Products Index'!$A:$B,2,FALSE),"")</f>
        <v/>
      </c>
      <c r="H43" s="11"/>
      <c r="I43" s="12"/>
      <c r="J43" s="15"/>
      <c r="K43" s="16">
        <f t="shared" si="0"/>
        <v>0</v>
      </c>
      <c r="L43" s="16">
        <f t="shared" si="1"/>
        <v>0</v>
      </c>
      <c r="M43" s="16">
        <f>IFERROR(AVERAGEIF('Production Batches'!$C:$C,F43,'Production Batches'!$L:$L),0)</f>
        <v>0</v>
      </c>
      <c r="N43" s="16">
        <f t="shared" si="2"/>
        <v>0</v>
      </c>
      <c r="P43" s="11"/>
      <c r="Q43" s="30"/>
    </row>
    <row r="44" spans="2:17">
      <c r="B44" s="30"/>
      <c r="C44" s="11"/>
      <c r="D44" s="11"/>
      <c r="E44" t="str">
        <f>IFERROR(VLOOKUP(D44,Customers!$A:$B,2,FALSE),"")</f>
        <v/>
      </c>
      <c r="F44" s="11"/>
      <c r="G44" t="str">
        <f>IFERROR(VLOOKUP(F44,'Products Index'!$A:$B,2,FALSE),"")</f>
        <v/>
      </c>
      <c r="H44" s="11"/>
      <c r="I44" s="12"/>
      <c r="J44" s="15"/>
      <c r="K44" s="16">
        <f t="shared" si="0"/>
        <v>0</v>
      </c>
      <c r="L44" s="16">
        <f t="shared" si="1"/>
        <v>0</v>
      </c>
      <c r="M44" s="16">
        <f>IFERROR(AVERAGEIF('Production Batches'!$C:$C,F44,'Production Batches'!$L:$L),0)</f>
        <v>0</v>
      </c>
      <c r="N44" s="16">
        <f t="shared" si="2"/>
        <v>0</v>
      </c>
      <c r="P44" s="11"/>
      <c r="Q44" s="30"/>
    </row>
    <row r="45" spans="2:17">
      <c r="B45" s="30"/>
      <c r="C45" s="11"/>
      <c r="D45" s="11"/>
      <c r="E45" t="str">
        <f>IFERROR(VLOOKUP(D45,Customers!$A:$B,2,FALSE),"")</f>
        <v/>
      </c>
      <c r="F45" s="11"/>
      <c r="G45" t="str">
        <f>IFERROR(VLOOKUP(F45,'Products Index'!$A:$B,2,FALSE),"")</f>
        <v/>
      </c>
      <c r="H45" s="11"/>
      <c r="I45" s="12"/>
      <c r="J45" s="15"/>
      <c r="K45" s="16">
        <f t="shared" si="0"/>
        <v>0</v>
      </c>
      <c r="L45" s="16">
        <f t="shared" si="1"/>
        <v>0</v>
      </c>
      <c r="M45" s="16">
        <f>IFERROR(AVERAGEIF('Production Batches'!$C:$C,F45,'Production Batches'!$L:$L),0)</f>
        <v>0</v>
      </c>
      <c r="N45" s="16">
        <f t="shared" si="2"/>
        <v>0</v>
      </c>
      <c r="P45" s="11"/>
      <c r="Q45" s="30"/>
    </row>
    <row r="46" spans="2:17">
      <c r="B46" s="30"/>
      <c r="C46" s="11"/>
      <c r="D46" s="11"/>
      <c r="E46" t="str">
        <f>IFERROR(VLOOKUP(D46,Customers!$A:$B,2,FALSE),"")</f>
        <v/>
      </c>
      <c r="F46" s="11"/>
      <c r="G46" t="str">
        <f>IFERROR(VLOOKUP(F46,'Products Index'!$A:$B,2,FALSE),"")</f>
        <v/>
      </c>
      <c r="H46" s="11"/>
      <c r="I46" s="12"/>
      <c r="J46" s="15"/>
      <c r="K46" s="16">
        <f t="shared" si="0"/>
        <v>0</v>
      </c>
      <c r="L46" s="16">
        <f t="shared" si="1"/>
        <v>0</v>
      </c>
      <c r="M46" s="16">
        <f>IFERROR(AVERAGEIF('Production Batches'!$C:$C,F46,'Production Batches'!$L:$L),0)</f>
        <v>0</v>
      </c>
      <c r="N46" s="16">
        <f t="shared" si="2"/>
        <v>0</v>
      </c>
      <c r="P46" s="11"/>
      <c r="Q46" s="30"/>
    </row>
    <row r="47" spans="2:17">
      <c r="B47" s="30"/>
      <c r="C47" s="11"/>
      <c r="D47" s="11"/>
      <c r="E47" t="str">
        <f>IFERROR(VLOOKUP(D47,Customers!$A:$B,2,FALSE),"")</f>
        <v/>
      </c>
      <c r="F47" s="11"/>
      <c r="G47" t="str">
        <f>IFERROR(VLOOKUP(F47,'Products Index'!$A:$B,2,FALSE),"")</f>
        <v/>
      </c>
      <c r="H47" s="11"/>
      <c r="I47" s="12"/>
      <c r="J47" s="15"/>
      <c r="K47" s="16">
        <f t="shared" si="0"/>
        <v>0</v>
      </c>
      <c r="L47" s="16">
        <f t="shared" si="1"/>
        <v>0</v>
      </c>
      <c r="M47" s="16">
        <f>IFERROR(AVERAGEIF('Production Batches'!$C:$C,F47,'Production Batches'!$L:$L),0)</f>
        <v>0</v>
      </c>
      <c r="N47" s="16">
        <f t="shared" si="2"/>
        <v>0</v>
      </c>
      <c r="P47" s="11"/>
      <c r="Q47" s="30"/>
    </row>
    <row r="48" spans="2:17">
      <c r="B48" s="30"/>
      <c r="C48" s="11"/>
      <c r="D48" s="11"/>
      <c r="E48" t="str">
        <f>IFERROR(VLOOKUP(D48,Customers!$A:$B,2,FALSE),"")</f>
        <v/>
      </c>
      <c r="F48" s="11"/>
      <c r="G48" t="str">
        <f>IFERROR(VLOOKUP(F48,'Products Index'!$A:$B,2,FALSE),"")</f>
        <v/>
      </c>
      <c r="H48" s="11"/>
      <c r="I48" s="12"/>
      <c r="J48" s="15"/>
      <c r="K48" s="16">
        <f t="shared" si="0"/>
        <v>0</v>
      </c>
      <c r="L48" s="16">
        <f t="shared" si="1"/>
        <v>0</v>
      </c>
      <c r="M48" s="16">
        <f>IFERROR(AVERAGEIF('Production Batches'!$C:$C,F48,'Production Batches'!$L:$L),0)</f>
        <v>0</v>
      </c>
      <c r="N48" s="16">
        <f t="shared" si="2"/>
        <v>0</v>
      </c>
      <c r="P48" s="11"/>
      <c r="Q48" s="30"/>
    </row>
    <row r="49" spans="2:17">
      <c r="B49" s="30"/>
      <c r="C49" s="11"/>
      <c r="D49" s="11"/>
      <c r="E49" t="str">
        <f>IFERROR(VLOOKUP(D49,Customers!$A:$B,2,FALSE),"")</f>
        <v/>
      </c>
      <c r="F49" s="11"/>
      <c r="G49" t="str">
        <f>IFERROR(VLOOKUP(F49,'Products Index'!$A:$B,2,FALSE),"")</f>
        <v/>
      </c>
      <c r="H49" s="11"/>
      <c r="I49" s="12"/>
      <c r="J49" s="15"/>
      <c r="K49" s="16">
        <f t="shared" si="0"/>
        <v>0</v>
      </c>
      <c r="L49" s="16">
        <f t="shared" si="1"/>
        <v>0</v>
      </c>
      <c r="M49" s="16">
        <f>IFERROR(AVERAGEIF('Production Batches'!$C:$C,F49,'Production Batches'!$L:$L),0)</f>
        <v>0</v>
      </c>
      <c r="N49" s="16">
        <f t="shared" si="2"/>
        <v>0</v>
      </c>
      <c r="P49" s="11"/>
      <c r="Q49" s="30"/>
    </row>
    <row r="50" spans="2:17">
      <c r="B50" s="30"/>
      <c r="C50" s="11"/>
      <c r="D50" s="11"/>
      <c r="E50" t="str">
        <f>IFERROR(VLOOKUP(D50,Customers!$A:$B,2,FALSE),"")</f>
        <v/>
      </c>
      <c r="F50" s="11"/>
      <c r="G50" t="str">
        <f>IFERROR(VLOOKUP(F50,'Products Index'!$A:$B,2,FALSE),"")</f>
        <v/>
      </c>
      <c r="H50" s="11"/>
      <c r="I50" s="12"/>
      <c r="J50" s="15"/>
      <c r="K50" s="16">
        <f t="shared" si="0"/>
        <v>0</v>
      </c>
      <c r="L50" s="16">
        <f t="shared" si="1"/>
        <v>0</v>
      </c>
      <c r="M50" s="16">
        <f>IFERROR(AVERAGEIF('Production Batches'!$C:$C,F50,'Production Batches'!$L:$L),0)</f>
        <v>0</v>
      </c>
      <c r="N50" s="16">
        <f t="shared" si="2"/>
        <v>0</v>
      </c>
      <c r="P50" s="11"/>
      <c r="Q50" s="30"/>
    </row>
    <row r="51" spans="2:17">
      <c r="B51" s="30"/>
      <c r="C51" s="11"/>
      <c r="D51" s="11"/>
      <c r="E51" t="str">
        <f>IFERROR(VLOOKUP(D51,Customers!$A:$B,2,FALSE),"")</f>
        <v/>
      </c>
      <c r="F51" s="11"/>
      <c r="G51" t="str">
        <f>IFERROR(VLOOKUP(F51,'Products Index'!$A:$B,2,FALSE),"")</f>
        <v/>
      </c>
      <c r="H51" s="11"/>
      <c r="I51" s="12"/>
      <c r="J51" s="15"/>
      <c r="K51" s="16">
        <f t="shared" si="0"/>
        <v>0</v>
      </c>
      <c r="L51" s="16">
        <f t="shared" si="1"/>
        <v>0</v>
      </c>
      <c r="M51" s="16">
        <f>IFERROR(AVERAGEIF('Production Batches'!$C:$C,F51,'Production Batches'!$L:$L),0)</f>
        <v>0</v>
      </c>
      <c r="N51" s="16">
        <f t="shared" si="2"/>
        <v>0</v>
      </c>
      <c r="P51" s="11"/>
      <c r="Q51" s="30"/>
    </row>
    <row r="52" spans="2:17">
      <c r="B52" s="30"/>
      <c r="C52" s="11"/>
      <c r="D52" s="11"/>
      <c r="E52" t="str">
        <f>IFERROR(VLOOKUP(D52,Customers!$A:$B,2,FALSE),"")</f>
        <v/>
      </c>
      <c r="F52" s="11"/>
      <c r="G52" t="str">
        <f>IFERROR(VLOOKUP(F52,'Products Index'!$A:$B,2,FALSE),"")</f>
        <v/>
      </c>
      <c r="H52" s="11"/>
      <c r="I52" s="12"/>
      <c r="J52" s="15"/>
      <c r="K52" s="16">
        <f t="shared" si="0"/>
        <v>0</v>
      </c>
      <c r="L52" s="16">
        <f t="shared" si="1"/>
        <v>0</v>
      </c>
      <c r="M52" s="16">
        <f>IFERROR(AVERAGEIF('Production Batches'!$C:$C,F52,'Production Batches'!$L:$L),0)</f>
        <v>0</v>
      </c>
      <c r="N52" s="16">
        <f t="shared" si="2"/>
        <v>0</v>
      </c>
      <c r="P52" s="11"/>
      <c r="Q52" s="30"/>
    </row>
    <row r="53" spans="2:17">
      <c r="B53" s="30"/>
      <c r="C53" s="11"/>
      <c r="D53" s="11"/>
      <c r="E53" t="str">
        <f>IFERROR(VLOOKUP(D53,Customers!$A:$B,2,FALSE),"")</f>
        <v/>
      </c>
      <c r="F53" s="11"/>
      <c r="G53" t="str">
        <f>IFERROR(VLOOKUP(F53,'Products Index'!$A:$B,2,FALSE),"")</f>
        <v/>
      </c>
      <c r="H53" s="11"/>
      <c r="I53" s="12"/>
      <c r="J53" s="15"/>
      <c r="K53" s="16">
        <f t="shared" si="0"/>
        <v>0</v>
      </c>
      <c r="L53" s="16">
        <f t="shared" si="1"/>
        <v>0</v>
      </c>
      <c r="M53" s="16">
        <f>IFERROR(AVERAGEIF('Production Batches'!$C:$C,F53,'Production Batches'!$L:$L),0)</f>
        <v>0</v>
      </c>
      <c r="N53" s="16">
        <f t="shared" si="2"/>
        <v>0</v>
      </c>
      <c r="P53" s="11"/>
      <c r="Q53" s="30"/>
    </row>
    <row r="54" spans="2:17">
      <c r="B54" s="30"/>
      <c r="C54" s="11"/>
      <c r="D54" s="11"/>
      <c r="E54" t="str">
        <f>IFERROR(VLOOKUP(D54,Customers!$A:$B,2,FALSE),"")</f>
        <v/>
      </c>
      <c r="F54" s="11"/>
      <c r="G54" t="str">
        <f>IFERROR(VLOOKUP(F54,'Products Index'!$A:$B,2,FALSE),"")</f>
        <v/>
      </c>
      <c r="H54" s="11"/>
      <c r="I54" s="12"/>
      <c r="J54" s="15"/>
      <c r="K54" s="16">
        <f t="shared" si="0"/>
        <v>0</v>
      </c>
      <c r="L54" s="16">
        <f t="shared" si="1"/>
        <v>0</v>
      </c>
      <c r="M54" s="16">
        <f>IFERROR(AVERAGEIF('Production Batches'!$C:$C,F54,'Production Batches'!$L:$L),0)</f>
        <v>0</v>
      </c>
      <c r="N54" s="16">
        <f t="shared" si="2"/>
        <v>0</v>
      </c>
      <c r="P54" s="11"/>
      <c r="Q54" s="30"/>
    </row>
    <row r="55" spans="2:17">
      <c r="B55" s="30"/>
      <c r="C55" s="11"/>
      <c r="D55" s="11"/>
      <c r="E55" t="str">
        <f>IFERROR(VLOOKUP(D55,Customers!$A:$B,2,FALSE),"")</f>
        <v/>
      </c>
      <c r="F55" s="11"/>
      <c r="G55" t="str">
        <f>IFERROR(VLOOKUP(F55,'Products Index'!$A:$B,2,FALSE),"")</f>
        <v/>
      </c>
      <c r="H55" s="11"/>
      <c r="I55" s="12"/>
      <c r="J55" s="15"/>
      <c r="K55" s="16">
        <f t="shared" si="0"/>
        <v>0</v>
      </c>
      <c r="L55" s="16">
        <f t="shared" si="1"/>
        <v>0</v>
      </c>
      <c r="M55" s="16">
        <f>IFERROR(AVERAGEIF('Production Batches'!$C:$C,F55,'Production Batches'!$L:$L),0)</f>
        <v>0</v>
      </c>
      <c r="N55" s="16">
        <f t="shared" si="2"/>
        <v>0</v>
      </c>
      <c r="P55" s="11"/>
      <c r="Q55" s="30"/>
    </row>
    <row r="56" spans="2:17">
      <c r="B56" s="30"/>
      <c r="C56" s="11"/>
      <c r="D56" s="11"/>
      <c r="E56" t="str">
        <f>IFERROR(VLOOKUP(D56,Customers!$A:$B,2,FALSE),"")</f>
        <v/>
      </c>
      <c r="F56" s="11"/>
      <c r="G56" t="str">
        <f>IFERROR(VLOOKUP(F56,'Products Index'!$A:$B,2,FALSE),"")</f>
        <v/>
      </c>
      <c r="H56" s="11"/>
      <c r="I56" s="12"/>
      <c r="J56" s="15"/>
      <c r="K56" s="16">
        <f t="shared" si="0"/>
        <v>0</v>
      </c>
      <c r="L56" s="16">
        <f t="shared" si="1"/>
        <v>0</v>
      </c>
      <c r="M56" s="16">
        <f>IFERROR(AVERAGEIF('Production Batches'!$C:$C,F56,'Production Batches'!$L:$L),0)</f>
        <v>0</v>
      </c>
      <c r="N56" s="16">
        <f t="shared" si="2"/>
        <v>0</v>
      </c>
      <c r="P56" s="11"/>
      <c r="Q56" s="30"/>
    </row>
    <row r="57" spans="2:17">
      <c r="B57" s="30"/>
      <c r="C57" s="11"/>
      <c r="D57" s="11"/>
      <c r="E57" t="str">
        <f>IFERROR(VLOOKUP(D57,Customers!$A:$B,2,FALSE),"")</f>
        <v/>
      </c>
      <c r="F57" s="11"/>
      <c r="G57" t="str">
        <f>IFERROR(VLOOKUP(F57,'Products Index'!$A:$B,2,FALSE),"")</f>
        <v/>
      </c>
      <c r="H57" s="11"/>
      <c r="I57" s="12"/>
      <c r="J57" s="15"/>
      <c r="K57" s="16">
        <f t="shared" si="0"/>
        <v>0</v>
      </c>
      <c r="L57" s="16">
        <f t="shared" si="1"/>
        <v>0</v>
      </c>
      <c r="M57" s="16">
        <f>IFERROR(AVERAGEIF('Production Batches'!$C:$C,F57,'Production Batches'!$L:$L),0)</f>
        <v>0</v>
      </c>
      <c r="N57" s="16">
        <f t="shared" si="2"/>
        <v>0</v>
      </c>
      <c r="P57" s="11"/>
      <c r="Q57" s="30"/>
    </row>
    <row r="58" spans="2:17">
      <c r="B58" s="30"/>
      <c r="C58" s="11"/>
      <c r="D58" s="11"/>
      <c r="E58" t="str">
        <f>IFERROR(VLOOKUP(D58,Customers!$A:$B,2,FALSE),"")</f>
        <v/>
      </c>
      <c r="F58" s="11"/>
      <c r="G58" t="str">
        <f>IFERROR(VLOOKUP(F58,'Products Index'!$A:$B,2,FALSE),"")</f>
        <v/>
      </c>
      <c r="H58" s="11"/>
      <c r="I58" s="12"/>
      <c r="J58" s="15"/>
      <c r="K58" s="16">
        <f t="shared" si="0"/>
        <v>0</v>
      </c>
      <c r="L58" s="16">
        <f t="shared" si="1"/>
        <v>0</v>
      </c>
      <c r="M58" s="16">
        <f>IFERROR(AVERAGEIF('Production Batches'!$C:$C,F58,'Production Batches'!$L:$L),0)</f>
        <v>0</v>
      </c>
      <c r="N58" s="16">
        <f t="shared" si="2"/>
        <v>0</v>
      </c>
      <c r="P58" s="11"/>
      <c r="Q58" s="30"/>
    </row>
    <row r="59" spans="2:17">
      <c r="B59" s="30"/>
      <c r="C59" s="11"/>
      <c r="D59" s="11"/>
      <c r="E59" t="str">
        <f>IFERROR(VLOOKUP(D59,Customers!$A:$B,2,FALSE),"")</f>
        <v/>
      </c>
      <c r="F59" s="11"/>
      <c r="G59" t="str">
        <f>IFERROR(VLOOKUP(F59,'Products Index'!$A:$B,2,FALSE),"")</f>
        <v/>
      </c>
      <c r="H59" s="11"/>
      <c r="I59" s="12"/>
      <c r="J59" s="15"/>
      <c r="K59" s="16">
        <f t="shared" si="0"/>
        <v>0</v>
      </c>
      <c r="L59" s="16">
        <f t="shared" si="1"/>
        <v>0</v>
      </c>
      <c r="M59" s="16">
        <f>IFERROR(AVERAGEIF('Production Batches'!$C:$C,F59,'Production Batches'!$L:$L),0)</f>
        <v>0</v>
      </c>
      <c r="N59" s="16">
        <f t="shared" si="2"/>
        <v>0</v>
      </c>
      <c r="P59" s="11"/>
      <c r="Q59" s="30"/>
    </row>
    <row r="60" spans="2:17">
      <c r="B60" s="30"/>
      <c r="C60" s="11"/>
      <c r="D60" s="11"/>
      <c r="E60" t="str">
        <f>IFERROR(VLOOKUP(D60,Customers!$A:$B,2,FALSE),"")</f>
        <v/>
      </c>
      <c r="F60" s="11"/>
      <c r="G60" t="str">
        <f>IFERROR(VLOOKUP(F60,'Products Index'!$A:$B,2,FALSE),"")</f>
        <v/>
      </c>
      <c r="H60" s="11"/>
      <c r="I60" s="12"/>
      <c r="J60" s="15"/>
      <c r="K60" s="16">
        <f t="shared" si="0"/>
        <v>0</v>
      </c>
      <c r="L60" s="16">
        <f t="shared" si="1"/>
        <v>0</v>
      </c>
      <c r="M60" s="16">
        <f>IFERROR(AVERAGEIF('Production Batches'!$C:$C,F60,'Production Batches'!$L:$L),0)</f>
        <v>0</v>
      </c>
      <c r="N60" s="16">
        <f t="shared" si="2"/>
        <v>0</v>
      </c>
      <c r="P60" s="11"/>
      <c r="Q60" s="30"/>
    </row>
    <row r="61" spans="2:17">
      <c r="B61" s="30"/>
      <c r="C61" s="11"/>
      <c r="D61" s="11"/>
      <c r="E61" t="str">
        <f>IFERROR(VLOOKUP(D61,Customers!$A:$B,2,FALSE),"")</f>
        <v/>
      </c>
      <c r="F61" s="11"/>
      <c r="G61" t="str">
        <f>IFERROR(VLOOKUP(F61,'Products Index'!$A:$B,2,FALSE),"")</f>
        <v/>
      </c>
      <c r="H61" s="11"/>
      <c r="I61" s="12"/>
      <c r="J61" s="15"/>
      <c r="K61" s="16">
        <f t="shared" si="0"/>
        <v>0</v>
      </c>
      <c r="L61" s="16">
        <f t="shared" si="1"/>
        <v>0</v>
      </c>
      <c r="M61" s="16">
        <f>IFERROR(AVERAGEIF('Production Batches'!$C:$C,F61,'Production Batches'!$L:$L),0)</f>
        <v>0</v>
      </c>
      <c r="N61" s="16">
        <f t="shared" si="2"/>
        <v>0</v>
      </c>
      <c r="P61" s="11"/>
      <c r="Q61" s="30"/>
    </row>
    <row r="62" spans="2:17">
      <c r="B62" s="30"/>
      <c r="C62" s="11"/>
      <c r="D62" s="11"/>
      <c r="E62" t="str">
        <f>IFERROR(VLOOKUP(D62,Customers!$A:$B,2,FALSE),"")</f>
        <v/>
      </c>
      <c r="F62" s="11"/>
      <c r="G62" t="str">
        <f>IFERROR(VLOOKUP(F62,'Products Index'!$A:$B,2,FALSE),"")</f>
        <v/>
      </c>
      <c r="H62" s="11"/>
      <c r="I62" s="12"/>
      <c r="J62" s="15"/>
      <c r="K62" s="16">
        <f t="shared" si="0"/>
        <v>0</v>
      </c>
      <c r="L62" s="16">
        <f t="shared" si="1"/>
        <v>0</v>
      </c>
      <c r="M62" s="16">
        <f>IFERROR(AVERAGEIF('Production Batches'!$C:$C,F62,'Production Batches'!$L:$L),0)</f>
        <v>0</v>
      </c>
      <c r="N62" s="16">
        <f t="shared" si="2"/>
        <v>0</v>
      </c>
      <c r="P62" s="11"/>
      <c r="Q62" s="30"/>
    </row>
    <row r="63" spans="2:17">
      <c r="B63" s="30"/>
      <c r="C63" s="11"/>
      <c r="D63" s="11"/>
      <c r="E63" t="str">
        <f>IFERROR(VLOOKUP(D63,Customers!$A:$B,2,FALSE),"")</f>
        <v/>
      </c>
      <c r="F63" s="11"/>
      <c r="G63" t="str">
        <f>IFERROR(VLOOKUP(F63,'Products Index'!$A:$B,2,FALSE),"")</f>
        <v/>
      </c>
      <c r="H63" s="11"/>
      <c r="I63" s="12"/>
      <c r="J63" s="15"/>
      <c r="K63" s="16">
        <f t="shared" si="0"/>
        <v>0</v>
      </c>
      <c r="L63" s="16">
        <f t="shared" si="1"/>
        <v>0</v>
      </c>
      <c r="M63" s="16">
        <f>IFERROR(AVERAGEIF('Production Batches'!$C:$C,F63,'Production Batches'!$L:$L),0)</f>
        <v>0</v>
      </c>
      <c r="N63" s="16">
        <f t="shared" si="2"/>
        <v>0</v>
      </c>
      <c r="P63" s="11"/>
      <c r="Q63" s="30"/>
    </row>
    <row r="64" spans="2:17">
      <c r="B64" s="30"/>
      <c r="C64" s="11"/>
      <c r="D64" s="11"/>
      <c r="E64" t="str">
        <f>IFERROR(VLOOKUP(D64,Customers!$A:$B,2,FALSE),"")</f>
        <v/>
      </c>
      <c r="F64" s="11"/>
      <c r="G64" t="str">
        <f>IFERROR(VLOOKUP(F64,'Products Index'!$A:$B,2,FALSE),"")</f>
        <v/>
      </c>
      <c r="H64" s="11"/>
      <c r="I64" s="12"/>
      <c r="J64" s="15"/>
      <c r="K64" s="16">
        <f t="shared" si="0"/>
        <v>0</v>
      </c>
      <c r="L64" s="16">
        <f t="shared" si="1"/>
        <v>0</v>
      </c>
      <c r="M64" s="16">
        <f>IFERROR(AVERAGEIF('Production Batches'!$C:$C,F64,'Production Batches'!$L:$L),0)</f>
        <v>0</v>
      </c>
      <c r="N64" s="16">
        <f t="shared" si="2"/>
        <v>0</v>
      </c>
      <c r="P64" s="11"/>
      <c r="Q64" s="30"/>
    </row>
    <row r="65" spans="2:17">
      <c r="B65" s="30"/>
      <c r="C65" s="11"/>
      <c r="D65" s="11"/>
      <c r="E65" t="str">
        <f>IFERROR(VLOOKUP(D65,Customers!$A:$B,2,FALSE),"")</f>
        <v/>
      </c>
      <c r="F65" s="11"/>
      <c r="G65" t="str">
        <f>IFERROR(VLOOKUP(F65,'Products Index'!$A:$B,2,FALSE),"")</f>
        <v/>
      </c>
      <c r="H65" s="11"/>
      <c r="I65" s="12"/>
      <c r="J65" s="15"/>
      <c r="K65" s="16">
        <f t="shared" si="0"/>
        <v>0</v>
      </c>
      <c r="L65" s="16">
        <f t="shared" si="1"/>
        <v>0</v>
      </c>
      <c r="M65" s="16">
        <f>IFERROR(AVERAGEIF('Production Batches'!$C:$C,F65,'Production Batches'!$L:$L),0)</f>
        <v>0</v>
      </c>
      <c r="N65" s="16">
        <f t="shared" si="2"/>
        <v>0</v>
      </c>
      <c r="P65" s="11"/>
      <c r="Q65" s="30"/>
    </row>
    <row r="66" spans="2:17">
      <c r="B66" s="30"/>
      <c r="C66" s="11"/>
      <c r="D66" s="11"/>
      <c r="E66" t="str">
        <f>IFERROR(VLOOKUP(D66,Customers!$A:$B,2,FALSE),"")</f>
        <v/>
      </c>
      <c r="F66" s="11"/>
      <c r="G66" t="str">
        <f>IFERROR(VLOOKUP(F66,'Products Index'!$A:$B,2,FALSE),"")</f>
        <v/>
      </c>
      <c r="H66" s="11"/>
      <c r="I66" s="12"/>
      <c r="J66" s="15"/>
      <c r="K66" s="16">
        <f t="shared" ref="K66:K129" si="3">IFERROR(I66*(1-J66),0)</f>
        <v>0</v>
      </c>
      <c r="L66" s="16">
        <f t="shared" ref="L66:L129" si="4">IFERROR(K66*H66,0)</f>
        <v>0</v>
      </c>
      <c r="M66" s="16">
        <f>IFERROR(AVERAGEIF('Production Batches'!$C:$C,F66,'Production Batches'!$L:$L),0)</f>
        <v>0</v>
      </c>
      <c r="N66" s="16">
        <f t="shared" ref="N66:N129" si="5">IFERROR(L66-(M66*H66),0)</f>
        <v>0</v>
      </c>
      <c r="P66" s="11"/>
      <c r="Q66" s="30"/>
    </row>
    <row r="67" spans="2:17">
      <c r="B67" s="30"/>
      <c r="C67" s="11"/>
      <c r="D67" s="11"/>
      <c r="E67" t="str">
        <f>IFERROR(VLOOKUP(D67,Customers!$A:$B,2,FALSE),"")</f>
        <v/>
      </c>
      <c r="F67" s="11"/>
      <c r="G67" t="str">
        <f>IFERROR(VLOOKUP(F67,'Products Index'!$A:$B,2,FALSE),"")</f>
        <v/>
      </c>
      <c r="H67" s="11"/>
      <c r="I67" s="12"/>
      <c r="J67" s="15"/>
      <c r="K67" s="16">
        <f t="shared" si="3"/>
        <v>0</v>
      </c>
      <c r="L67" s="16">
        <f t="shared" si="4"/>
        <v>0</v>
      </c>
      <c r="M67" s="16">
        <f>IFERROR(AVERAGEIF('Production Batches'!$C:$C,F67,'Production Batches'!$L:$L),0)</f>
        <v>0</v>
      </c>
      <c r="N67" s="16">
        <f t="shared" si="5"/>
        <v>0</v>
      </c>
      <c r="P67" s="11"/>
      <c r="Q67" s="30"/>
    </row>
    <row r="68" spans="2:17">
      <c r="B68" s="30"/>
      <c r="C68" s="11"/>
      <c r="D68" s="11"/>
      <c r="E68" t="str">
        <f>IFERROR(VLOOKUP(D68,Customers!$A:$B,2,FALSE),"")</f>
        <v/>
      </c>
      <c r="F68" s="11"/>
      <c r="G68" t="str">
        <f>IFERROR(VLOOKUP(F68,'Products Index'!$A:$B,2,FALSE),"")</f>
        <v/>
      </c>
      <c r="H68" s="11"/>
      <c r="I68" s="12"/>
      <c r="J68" s="15"/>
      <c r="K68" s="16">
        <f t="shared" si="3"/>
        <v>0</v>
      </c>
      <c r="L68" s="16">
        <f t="shared" si="4"/>
        <v>0</v>
      </c>
      <c r="M68" s="16">
        <f>IFERROR(AVERAGEIF('Production Batches'!$C:$C,F68,'Production Batches'!$L:$L),0)</f>
        <v>0</v>
      </c>
      <c r="N68" s="16">
        <f t="shared" si="5"/>
        <v>0</v>
      </c>
      <c r="P68" s="11"/>
      <c r="Q68" s="30"/>
    </row>
    <row r="69" spans="2:17">
      <c r="B69" s="30"/>
      <c r="C69" s="11"/>
      <c r="D69" s="11"/>
      <c r="E69" t="str">
        <f>IFERROR(VLOOKUP(D69,Customers!$A:$B,2,FALSE),"")</f>
        <v/>
      </c>
      <c r="F69" s="11"/>
      <c r="G69" t="str">
        <f>IFERROR(VLOOKUP(F69,'Products Index'!$A:$B,2,FALSE),"")</f>
        <v/>
      </c>
      <c r="H69" s="11"/>
      <c r="I69" s="12"/>
      <c r="J69" s="15"/>
      <c r="K69" s="16">
        <f t="shared" si="3"/>
        <v>0</v>
      </c>
      <c r="L69" s="16">
        <f t="shared" si="4"/>
        <v>0</v>
      </c>
      <c r="M69" s="16">
        <f>IFERROR(AVERAGEIF('Production Batches'!$C:$C,F69,'Production Batches'!$L:$L),0)</f>
        <v>0</v>
      </c>
      <c r="N69" s="16">
        <f t="shared" si="5"/>
        <v>0</v>
      </c>
      <c r="P69" s="11"/>
      <c r="Q69" s="30"/>
    </row>
    <row r="70" spans="2:17">
      <c r="B70" s="30"/>
      <c r="C70" s="11"/>
      <c r="D70" s="11"/>
      <c r="E70" t="str">
        <f>IFERROR(VLOOKUP(D70,Customers!$A:$B,2,FALSE),"")</f>
        <v/>
      </c>
      <c r="F70" s="11"/>
      <c r="G70" t="str">
        <f>IFERROR(VLOOKUP(F70,'Products Index'!$A:$B,2,FALSE),"")</f>
        <v/>
      </c>
      <c r="H70" s="11"/>
      <c r="I70" s="12"/>
      <c r="J70" s="15"/>
      <c r="K70" s="16">
        <f t="shared" si="3"/>
        <v>0</v>
      </c>
      <c r="L70" s="16">
        <f t="shared" si="4"/>
        <v>0</v>
      </c>
      <c r="M70" s="16">
        <f>IFERROR(AVERAGEIF('Production Batches'!$C:$C,F70,'Production Batches'!$L:$L),0)</f>
        <v>0</v>
      </c>
      <c r="N70" s="16">
        <f t="shared" si="5"/>
        <v>0</v>
      </c>
      <c r="P70" s="11"/>
      <c r="Q70" s="30"/>
    </row>
    <row r="71" spans="2:17">
      <c r="B71" s="30"/>
      <c r="C71" s="11"/>
      <c r="D71" s="11"/>
      <c r="E71" t="str">
        <f>IFERROR(VLOOKUP(D71,Customers!$A:$B,2,FALSE),"")</f>
        <v/>
      </c>
      <c r="F71" s="11"/>
      <c r="G71" t="str">
        <f>IFERROR(VLOOKUP(F71,'Products Index'!$A:$B,2,FALSE),"")</f>
        <v/>
      </c>
      <c r="H71" s="11"/>
      <c r="I71" s="12"/>
      <c r="J71" s="15"/>
      <c r="K71" s="16">
        <f t="shared" si="3"/>
        <v>0</v>
      </c>
      <c r="L71" s="16">
        <f t="shared" si="4"/>
        <v>0</v>
      </c>
      <c r="M71" s="16">
        <f>IFERROR(AVERAGEIF('Production Batches'!$C:$C,F71,'Production Batches'!$L:$L),0)</f>
        <v>0</v>
      </c>
      <c r="N71" s="16">
        <f t="shared" si="5"/>
        <v>0</v>
      </c>
      <c r="P71" s="11"/>
      <c r="Q71" s="30"/>
    </row>
    <row r="72" spans="2:17">
      <c r="B72" s="30"/>
      <c r="C72" s="11"/>
      <c r="D72" s="11"/>
      <c r="E72" t="str">
        <f>IFERROR(VLOOKUP(D72,Customers!$A:$B,2,FALSE),"")</f>
        <v/>
      </c>
      <c r="F72" s="11"/>
      <c r="G72" t="str">
        <f>IFERROR(VLOOKUP(F72,'Products Index'!$A:$B,2,FALSE),"")</f>
        <v/>
      </c>
      <c r="H72" s="11"/>
      <c r="I72" s="12"/>
      <c r="J72" s="15"/>
      <c r="K72" s="16">
        <f t="shared" si="3"/>
        <v>0</v>
      </c>
      <c r="L72" s="16">
        <f t="shared" si="4"/>
        <v>0</v>
      </c>
      <c r="M72" s="16">
        <f>IFERROR(AVERAGEIF('Production Batches'!$C:$C,F72,'Production Batches'!$L:$L),0)</f>
        <v>0</v>
      </c>
      <c r="N72" s="16">
        <f t="shared" si="5"/>
        <v>0</v>
      </c>
      <c r="P72" s="11"/>
      <c r="Q72" s="30"/>
    </row>
    <row r="73" spans="2:17">
      <c r="B73" s="30"/>
      <c r="C73" s="11"/>
      <c r="D73" s="11"/>
      <c r="E73" t="str">
        <f>IFERROR(VLOOKUP(D73,Customers!$A:$B,2,FALSE),"")</f>
        <v/>
      </c>
      <c r="F73" s="11"/>
      <c r="G73" t="str">
        <f>IFERROR(VLOOKUP(F73,'Products Index'!$A:$B,2,FALSE),"")</f>
        <v/>
      </c>
      <c r="H73" s="11"/>
      <c r="I73" s="12"/>
      <c r="J73" s="15"/>
      <c r="K73" s="16">
        <f t="shared" si="3"/>
        <v>0</v>
      </c>
      <c r="L73" s="16">
        <f t="shared" si="4"/>
        <v>0</v>
      </c>
      <c r="M73" s="16">
        <f>IFERROR(AVERAGEIF('Production Batches'!$C:$C,F73,'Production Batches'!$L:$L),0)</f>
        <v>0</v>
      </c>
      <c r="N73" s="16">
        <f t="shared" si="5"/>
        <v>0</v>
      </c>
      <c r="P73" s="11"/>
      <c r="Q73" s="30"/>
    </row>
    <row r="74" spans="2:17">
      <c r="B74" s="30"/>
      <c r="C74" s="11"/>
      <c r="D74" s="11"/>
      <c r="E74" t="str">
        <f>IFERROR(VLOOKUP(D74,Customers!$A:$B,2,FALSE),"")</f>
        <v/>
      </c>
      <c r="F74" s="11"/>
      <c r="G74" t="str">
        <f>IFERROR(VLOOKUP(F74,'Products Index'!$A:$B,2,FALSE),"")</f>
        <v/>
      </c>
      <c r="H74" s="11"/>
      <c r="I74" s="12"/>
      <c r="J74" s="15"/>
      <c r="K74" s="16">
        <f t="shared" si="3"/>
        <v>0</v>
      </c>
      <c r="L74" s="16">
        <f t="shared" si="4"/>
        <v>0</v>
      </c>
      <c r="M74" s="16">
        <f>IFERROR(AVERAGEIF('Production Batches'!$C:$C,F74,'Production Batches'!$L:$L),0)</f>
        <v>0</v>
      </c>
      <c r="N74" s="16">
        <f t="shared" si="5"/>
        <v>0</v>
      </c>
      <c r="P74" s="11"/>
      <c r="Q74" s="30"/>
    </row>
    <row r="75" spans="2:17">
      <c r="B75" s="30"/>
      <c r="C75" s="11"/>
      <c r="D75" s="11"/>
      <c r="E75" t="str">
        <f>IFERROR(VLOOKUP(D75,Customers!$A:$B,2,FALSE),"")</f>
        <v/>
      </c>
      <c r="F75" s="11"/>
      <c r="G75" t="str">
        <f>IFERROR(VLOOKUP(F75,'Products Index'!$A:$B,2,FALSE),"")</f>
        <v/>
      </c>
      <c r="H75" s="11"/>
      <c r="I75" s="12"/>
      <c r="J75" s="15"/>
      <c r="K75" s="16">
        <f t="shared" si="3"/>
        <v>0</v>
      </c>
      <c r="L75" s="16">
        <f t="shared" si="4"/>
        <v>0</v>
      </c>
      <c r="M75" s="16">
        <f>IFERROR(AVERAGEIF('Production Batches'!$C:$C,F75,'Production Batches'!$L:$L),0)</f>
        <v>0</v>
      </c>
      <c r="N75" s="16">
        <f t="shared" si="5"/>
        <v>0</v>
      </c>
      <c r="P75" s="11"/>
      <c r="Q75" s="30"/>
    </row>
    <row r="76" spans="2:17">
      <c r="B76" s="30"/>
      <c r="C76" s="11"/>
      <c r="D76" s="11"/>
      <c r="E76" t="str">
        <f>IFERROR(VLOOKUP(D76,Customers!$A:$B,2,FALSE),"")</f>
        <v/>
      </c>
      <c r="F76" s="11"/>
      <c r="G76" t="str">
        <f>IFERROR(VLOOKUP(F76,'Products Index'!$A:$B,2,FALSE),"")</f>
        <v/>
      </c>
      <c r="H76" s="11"/>
      <c r="I76" s="12"/>
      <c r="J76" s="15"/>
      <c r="K76" s="16">
        <f t="shared" si="3"/>
        <v>0</v>
      </c>
      <c r="L76" s="16">
        <f t="shared" si="4"/>
        <v>0</v>
      </c>
      <c r="M76" s="16">
        <f>IFERROR(AVERAGEIF('Production Batches'!$C:$C,F76,'Production Batches'!$L:$L),0)</f>
        <v>0</v>
      </c>
      <c r="N76" s="16">
        <f t="shared" si="5"/>
        <v>0</v>
      </c>
      <c r="P76" s="11"/>
      <c r="Q76" s="30"/>
    </row>
    <row r="77" spans="2:17">
      <c r="B77" s="30"/>
      <c r="C77" s="11"/>
      <c r="D77" s="11"/>
      <c r="E77" t="str">
        <f>IFERROR(VLOOKUP(D77,Customers!$A:$B,2,FALSE),"")</f>
        <v/>
      </c>
      <c r="F77" s="11"/>
      <c r="G77" t="str">
        <f>IFERROR(VLOOKUP(F77,'Products Index'!$A:$B,2,FALSE),"")</f>
        <v/>
      </c>
      <c r="H77" s="11"/>
      <c r="I77" s="12"/>
      <c r="J77" s="15"/>
      <c r="K77" s="16">
        <f t="shared" si="3"/>
        <v>0</v>
      </c>
      <c r="L77" s="16">
        <f t="shared" si="4"/>
        <v>0</v>
      </c>
      <c r="M77" s="16">
        <f>IFERROR(AVERAGEIF('Production Batches'!$C:$C,F77,'Production Batches'!$L:$L),0)</f>
        <v>0</v>
      </c>
      <c r="N77" s="16">
        <f t="shared" si="5"/>
        <v>0</v>
      </c>
      <c r="P77" s="11"/>
      <c r="Q77" s="30"/>
    </row>
    <row r="78" spans="2:17">
      <c r="B78" s="30"/>
      <c r="C78" s="11"/>
      <c r="D78" s="11"/>
      <c r="E78" t="str">
        <f>IFERROR(VLOOKUP(D78,Customers!$A:$B,2,FALSE),"")</f>
        <v/>
      </c>
      <c r="F78" s="11"/>
      <c r="G78" t="str">
        <f>IFERROR(VLOOKUP(F78,'Products Index'!$A:$B,2,FALSE),"")</f>
        <v/>
      </c>
      <c r="H78" s="11"/>
      <c r="I78" s="12"/>
      <c r="J78" s="15"/>
      <c r="K78" s="16">
        <f t="shared" si="3"/>
        <v>0</v>
      </c>
      <c r="L78" s="16">
        <f t="shared" si="4"/>
        <v>0</v>
      </c>
      <c r="M78" s="16">
        <f>IFERROR(AVERAGEIF('Production Batches'!$C:$C,F78,'Production Batches'!$L:$L),0)</f>
        <v>0</v>
      </c>
      <c r="N78" s="16">
        <f t="shared" si="5"/>
        <v>0</v>
      </c>
      <c r="P78" s="11"/>
      <c r="Q78" s="30"/>
    </row>
    <row r="79" spans="2:17">
      <c r="B79" s="30"/>
      <c r="C79" s="11"/>
      <c r="D79" s="11"/>
      <c r="E79" t="str">
        <f>IFERROR(VLOOKUP(D79,Customers!$A:$B,2,FALSE),"")</f>
        <v/>
      </c>
      <c r="F79" s="11"/>
      <c r="G79" t="str">
        <f>IFERROR(VLOOKUP(F79,'Products Index'!$A:$B,2,FALSE),"")</f>
        <v/>
      </c>
      <c r="H79" s="11"/>
      <c r="I79" s="12"/>
      <c r="J79" s="15"/>
      <c r="K79" s="16">
        <f t="shared" si="3"/>
        <v>0</v>
      </c>
      <c r="L79" s="16">
        <f t="shared" si="4"/>
        <v>0</v>
      </c>
      <c r="M79" s="16">
        <f>IFERROR(AVERAGEIF('Production Batches'!$C:$C,F79,'Production Batches'!$L:$L),0)</f>
        <v>0</v>
      </c>
      <c r="N79" s="16">
        <f t="shared" si="5"/>
        <v>0</v>
      </c>
      <c r="P79" s="11"/>
      <c r="Q79" s="30"/>
    </row>
    <row r="80" spans="2:17">
      <c r="B80" s="30"/>
      <c r="C80" s="11"/>
      <c r="D80" s="11"/>
      <c r="E80" t="str">
        <f>IFERROR(VLOOKUP(D80,Customers!$A:$B,2,FALSE),"")</f>
        <v/>
      </c>
      <c r="F80" s="11"/>
      <c r="G80" t="str">
        <f>IFERROR(VLOOKUP(F80,'Products Index'!$A:$B,2,FALSE),"")</f>
        <v/>
      </c>
      <c r="H80" s="11"/>
      <c r="I80" s="12"/>
      <c r="J80" s="15"/>
      <c r="K80" s="16">
        <f t="shared" si="3"/>
        <v>0</v>
      </c>
      <c r="L80" s="16">
        <f t="shared" si="4"/>
        <v>0</v>
      </c>
      <c r="M80" s="16">
        <f>IFERROR(AVERAGEIF('Production Batches'!$C:$C,F80,'Production Batches'!$L:$L),0)</f>
        <v>0</v>
      </c>
      <c r="N80" s="16">
        <f t="shared" si="5"/>
        <v>0</v>
      </c>
      <c r="P80" s="11"/>
      <c r="Q80" s="30"/>
    </row>
    <row r="81" spans="2:17">
      <c r="B81" s="30"/>
      <c r="C81" s="11"/>
      <c r="D81" s="11"/>
      <c r="E81" t="str">
        <f>IFERROR(VLOOKUP(D81,Customers!$A:$B,2,FALSE),"")</f>
        <v/>
      </c>
      <c r="F81" s="11"/>
      <c r="G81" t="str">
        <f>IFERROR(VLOOKUP(F81,'Products Index'!$A:$B,2,FALSE),"")</f>
        <v/>
      </c>
      <c r="H81" s="11"/>
      <c r="I81" s="12"/>
      <c r="J81" s="15"/>
      <c r="K81" s="16">
        <f t="shared" si="3"/>
        <v>0</v>
      </c>
      <c r="L81" s="16">
        <f t="shared" si="4"/>
        <v>0</v>
      </c>
      <c r="M81" s="16">
        <f>IFERROR(AVERAGEIF('Production Batches'!$C:$C,F81,'Production Batches'!$L:$L),0)</f>
        <v>0</v>
      </c>
      <c r="N81" s="16">
        <f t="shared" si="5"/>
        <v>0</v>
      </c>
      <c r="P81" s="11"/>
      <c r="Q81" s="30"/>
    </row>
    <row r="82" spans="2:17">
      <c r="B82" s="30"/>
      <c r="C82" s="11"/>
      <c r="D82" s="11"/>
      <c r="E82" t="str">
        <f>IFERROR(VLOOKUP(D82,Customers!$A:$B,2,FALSE),"")</f>
        <v/>
      </c>
      <c r="F82" s="11"/>
      <c r="G82" t="str">
        <f>IFERROR(VLOOKUP(F82,'Products Index'!$A:$B,2,FALSE),"")</f>
        <v/>
      </c>
      <c r="H82" s="11"/>
      <c r="I82" s="12"/>
      <c r="J82" s="15"/>
      <c r="K82" s="16">
        <f t="shared" si="3"/>
        <v>0</v>
      </c>
      <c r="L82" s="16">
        <f t="shared" si="4"/>
        <v>0</v>
      </c>
      <c r="M82" s="16">
        <f>IFERROR(AVERAGEIF('Production Batches'!$C:$C,F82,'Production Batches'!$L:$L),0)</f>
        <v>0</v>
      </c>
      <c r="N82" s="16">
        <f t="shared" si="5"/>
        <v>0</v>
      </c>
      <c r="P82" s="11"/>
      <c r="Q82" s="30"/>
    </row>
    <row r="83" spans="2:17">
      <c r="B83" s="30"/>
      <c r="C83" s="11"/>
      <c r="D83" s="11"/>
      <c r="E83" t="str">
        <f>IFERROR(VLOOKUP(D83,Customers!$A:$B,2,FALSE),"")</f>
        <v/>
      </c>
      <c r="F83" s="11"/>
      <c r="G83" t="str">
        <f>IFERROR(VLOOKUP(F83,'Products Index'!$A:$B,2,FALSE),"")</f>
        <v/>
      </c>
      <c r="H83" s="11"/>
      <c r="I83" s="12"/>
      <c r="J83" s="15"/>
      <c r="K83" s="16">
        <f t="shared" si="3"/>
        <v>0</v>
      </c>
      <c r="L83" s="16">
        <f t="shared" si="4"/>
        <v>0</v>
      </c>
      <c r="M83" s="16">
        <f>IFERROR(AVERAGEIF('Production Batches'!$C:$C,F83,'Production Batches'!$L:$L),0)</f>
        <v>0</v>
      </c>
      <c r="N83" s="16">
        <f t="shared" si="5"/>
        <v>0</v>
      </c>
      <c r="P83" s="11"/>
      <c r="Q83" s="30"/>
    </row>
    <row r="84" spans="2:17">
      <c r="B84" s="30"/>
      <c r="C84" s="11"/>
      <c r="D84" s="11"/>
      <c r="E84" t="str">
        <f>IFERROR(VLOOKUP(D84,Customers!$A:$B,2,FALSE),"")</f>
        <v/>
      </c>
      <c r="F84" s="11"/>
      <c r="G84" t="str">
        <f>IFERROR(VLOOKUP(F84,'Products Index'!$A:$B,2,FALSE),"")</f>
        <v/>
      </c>
      <c r="H84" s="11"/>
      <c r="I84" s="12"/>
      <c r="J84" s="15"/>
      <c r="K84" s="16">
        <f t="shared" si="3"/>
        <v>0</v>
      </c>
      <c r="L84" s="16">
        <f t="shared" si="4"/>
        <v>0</v>
      </c>
      <c r="M84" s="16">
        <f>IFERROR(AVERAGEIF('Production Batches'!$C:$C,F84,'Production Batches'!$L:$L),0)</f>
        <v>0</v>
      </c>
      <c r="N84" s="16">
        <f t="shared" si="5"/>
        <v>0</v>
      </c>
      <c r="P84" s="11"/>
      <c r="Q84" s="30"/>
    </row>
    <row r="85" spans="2:17">
      <c r="B85" s="30"/>
      <c r="C85" s="11"/>
      <c r="D85" s="11"/>
      <c r="E85" t="str">
        <f>IFERROR(VLOOKUP(D85,Customers!$A:$B,2,FALSE),"")</f>
        <v/>
      </c>
      <c r="F85" s="11"/>
      <c r="G85" t="str">
        <f>IFERROR(VLOOKUP(F85,'Products Index'!$A:$B,2,FALSE),"")</f>
        <v/>
      </c>
      <c r="H85" s="11"/>
      <c r="I85" s="12"/>
      <c r="J85" s="15"/>
      <c r="K85" s="16">
        <f t="shared" si="3"/>
        <v>0</v>
      </c>
      <c r="L85" s="16">
        <f t="shared" si="4"/>
        <v>0</v>
      </c>
      <c r="M85" s="16">
        <f>IFERROR(AVERAGEIF('Production Batches'!$C:$C,F85,'Production Batches'!$L:$L),0)</f>
        <v>0</v>
      </c>
      <c r="N85" s="16">
        <f t="shared" si="5"/>
        <v>0</v>
      </c>
      <c r="P85" s="11"/>
      <c r="Q85" s="30"/>
    </row>
    <row r="86" spans="2:17">
      <c r="B86" s="30"/>
      <c r="C86" s="11"/>
      <c r="D86" s="11"/>
      <c r="E86" t="str">
        <f>IFERROR(VLOOKUP(D86,Customers!$A:$B,2,FALSE),"")</f>
        <v/>
      </c>
      <c r="F86" s="11"/>
      <c r="G86" t="str">
        <f>IFERROR(VLOOKUP(F86,'Products Index'!$A:$B,2,FALSE),"")</f>
        <v/>
      </c>
      <c r="H86" s="11"/>
      <c r="I86" s="12"/>
      <c r="J86" s="15"/>
      <c r="K86" s="16">
        <f t="shared" si="3"/>
        <v>0</v>
      </c>
      <c r="L86" s="16">
        <f t="shared" si="4"/>
        <v>0</v>
      </c>
      <c r="M86" s="16">
        <f>IFERROR(AVERAGEIF('Production Batches'!$C:$C,F86,'Production Batches'!$L:$L),0)</f>
        <v>0</v>
      </c>
      <c r="N86" s="16">
        <f t="shared" si="5"/>
        <v>0</v>
      </c>
      <c r="P86" s="11"/>
      <c r="Q86" s="30"/>
    </row>
    <row r="87" spans="2:17">
      <c r="B87" s="30"/>
      <c r="C87" s="11"/>
      <c r="D87" s="11"/>
      <c r="E87" t="str">
        <f>IFERROR(VLOOKUP(D87,Customers!$A:$B,2,FALSE),"")</f>
        <v/>
      </c>
      <c r="F87" s="11"/>
      <c r="G87" t="str">
        <f>IFERROR(VLOOKUP(F87,'Products Index'!$A:$B,2,FALSE),"")</f>
        <v/>
      </c>
      <c r="H87" s="11"/>
      <c r="I87" s="12"/>
      <c r="J87" s="15"/>
      <c r="K87" s="16">
        <f t="shared" si="3"/>
        <v>0</v>
      </c>
      <c r="L87" s="16">
        <f t="shared" si="4"/>
        <v>0</v>
      </c>
      <c r="M87" s="16">
        <f>IFERROR(AVERAGEIF('Production Batches'!$C:$C,F87,'Production Batches'!$L:$L),0)</f>
        <v>0</v>
      </c>
      <c r="N87" s="16">
        <f t="shared" si="5"/>
        <v>0</v>
      </c>
      <c r="P87" s="11"/>
      <c r="Q87" s="30"/>
    </row>
    <row r="88" spans="2:17">
      <c r="B88" s="30"/>
      <c r="C88" s="11"/>
      <c r="D88" s="11"/>
      <c r="E88" t="str">
        <f>IFERROR(VLOOKUP(D88,Customers!$A:$B,2,FALSE),"")</f>
        <v/>
      </c>
      <c r="F88" s="11"/>
      <c r="G88" t="str">
        <f>IFERROR(VLOOKUP(F88,'Products Index'!$A:$B,2,FALSE),"")</f>
        <v/>
      </c>
      <c r="H88" s="11"/>
      <c r="I88" s="12"/>
      <c r="J88" s="15"/>
      <c r="K88" s="16">
        <f t="shared" si="3"/>
        <v>0</v>
      </c>
      <c r="L88" s="16">
        <f t="shared" si="4"/>
        <v>0</v>
      </c>
      <c r="M88" s="16">
        <f>IFERROR(AVERAGEIF('Production Batches'!$C:$C,F88,'Production Batches'!$L:$L),0)</f>
        <v>0</v>
      </c>
      <c r="N88" s="16">
        <f t="shared" si="5"/>
        <v>0</v>
      </c>
      <c r="P88" s="11"/>
      <c r="Q88" s="30"/>
    </row>
    <row r="89" spans="2:17">
      <c r="B89" s="30"/>
      <c r="C89" s="11"/>
      <c r="D89" s="11"/>
      <c r="E89" t="str">
        <f>IFERROR(VLOOKUP(D89,Customers!$A:$B,2,FALSE),"")</f>
        <v/>
      </c>
      <c r="F89" s="11"/>
      <c r="G89" t="str">
        <f>IFERROR(VLOOKUP(F89,'Products Index'!$A:$B,2,FALSE),"")</f>
        <v/>
      </c>
      <c r="H89" s="11"/>
      <c r="I89" s="12"/>
      <c r="J89" s="15"/>
      <c r="K89" s="16">
        <f t="shared" si="3"/>
        <v>0</v>
      </c>
      <c r="L89" s="16">
        <f t="shared" si="4"/>
        <v>0</v>
      </c>
      <c r="M89" s="16">
        <f>IFERROR(AVERAGEIF('Production Batches'!$C:$C,F89,'Production Batches'!$L:$L),0)</f>
        <v>0</v>
      </c>
      <c r="N89" s="16">
        <f t="shared" si="5"/>
        <v>0</v>
      </c>
      <c r="P89" s="11"/>
      <c r="Q89" s="30"/>
    </row>
    <row r="90" spans="2:17">
      <c r="B90" s="30"/>
      <c r="C90" s="11"/>
      <c r="D90" s="11"/>
      <c r="E90" t="str">
        <f>IFERROR(VLOOKUP(D90,Customers!$A:$B,2,FALSE),"")</f>
        <v/>
      </c>
      <c r="F90" s="11"/>
      <c r="G90" t="str">
        <f>IFERROR(VLOOKUP(F90,'Products Index'!$A:$B,2,FALSE),"")</f>
        <v/>
      </c>
      <c r="H90" s="11"/>
      <c r="I90" s="12"/>
      <c r="J90" s="15"/>
      <c r="K90" s="16">
        <f t="shared" si="3"/>
        <v>0</v>
      </c>
      <c r="L90" s="16">
        <f t="shared" si="4"/>
        <v>0</v>
      </c>
      <c r="M90" s="16">
        <f>IFERROR(AVERAGEIF('Production Batches'!$C:$C,F90,'Production Batches'!$L:$L),0)</f>
        <v>0</v>
      </c>
      <c r="N90" s="16">
        <f t="shared" si="5"/>
        <v>0</v>
      </c>
      <c r="P90" s="11"/>
      <c r="Q90" s="30"/>
    </row>
    <row r="91" spans="2:17">
      <c r="B91" s="30"/>
      <c r="C91" s="11"/>
      <c r="D91" s="11"/>
      <c r="E91" t="str">
        <f>IFERROR(VLOOKUP(D91,Customers!$A:$B,2,FALSE),"")</f>
        <v/>
      </c>
      <c r="F91" s="11"/>
      <c r="G91" t="str">
        <f>IFERROR(VLOOKUP(F91,'Products Index'!$A:$B,2,FALSE),"")</f>
        <v/>
      </c>
      <c r="H91" s="11"/>
      <c r="I91" s="12"/>
      <c r="J91" s="15"/>
      <c r="K91" s="16">
        <f t="shared" si="3"/>
        <v>0</v>
      </c>
      <c r="L91" s="16">
        <f t="shared" si="4"/>
        <v>0</v>
      </c>
      <c r="M91" s="16">
        <f>IFERROR(AVERAGEIF('Production Batches'!$C:$C,F91,'Production Batches'!$L:$L),0)</f>
        <v>0</v>
      </c>
      <c r="N91" s="16">
        <f t="shared" si="5"/>
        <v>0</v>
      </c>
      <c r="P91" s="11"/>
      <c r="Q91" s="30"/>
    </row>
    <row r="92" spans="2:17">
      <c r="B92" s="30"/>
      <c r="C92" s="11"/>
      <c r="D92" s="11"/>
      <c r="E92" t="str">
        <f>IFERROR(VLOOKUP(D92,Customers!$A:$B,2,FALSE),"")</f>
        <v/>
      </c>
      <c r="F92" s="11"/>
      <c r="G92" t="str">
        <f>IFERROR(VLOOKUP(F92,'Products Index'!$A:$B,2,FALSE),"")</f>
        <v/>
      </c>
      <c r="H92" s="11"/>
      <c r="I92" s="12"/>
      <c r="J92" s="15"/>
      <c r="K92" s="16">
        <f t="shared" si="3"/>
        <v>0</v>
      </c>
      <c r="L92" s="16">
        <f t="shared" si="4"/>
        <v>0</v>
      </c>
      <c r="M92" s="16">
        <f>IFERROR(AVERAGEIF('Production Batches'!$C:$C,F92,'Production Batches'!$L:$L),0)</f>
        <v>0</v>
      </c>
      <c r="N92" s="16">
        <f t="shared" si="5"/>
        <v>0</v>
      </c>
      <c r="P92" s="11"/>
      <c r="Q92" s="30"/>
    </row>
    <row r="93" spans="2:17">
      <c r="B93" s="30"/>
      <c r="C93" s="11"/>
      <c r="D93" s="11"/>
      <c r="E93" t="str">
        <f>IFERROR(VLOOKUP(D93,Customers!$A:$B,2,FALSE),"")</f>
        <v/>
      </c>
      <c r="F93" s="11"/>
      <c r="G93" t="str">
        <f>IFERROR(VLOOKUP(F93,'Products Index'!$A:$B,2,FALSE),"")</f>
        <v/>
      </c>
      <c r="H93" s="11"/>
      <c r="I93" s="12"/>
      <c r="J93" s="15"/>
      <c r="K93" s="16">
        <f t="shared" si="3"/>
        <v>0</v>
      </c>
      <c r="L93" s="16">
        <f t="shared" si="4"/>
        <v>0</v>
      </c>
      <c r="M93" s="16">
        <f>IFERROR(AVERAGEIF('Production Batches'!$C:$C,F93,'Production Batches'!$L:$L),0)</f>
        <v>0</v>
      </c>
      <c r="N93" s="16">
        <f t="shared" si="5"/>
        <v>0</v>
      </c>
      <c r="P93" s="11"/>
      <c r="Q93" s="30"/>
    </row>
    <row r="94" spans="2:17">
      <c r="B94" s="30"/>
      <c r="C94" s="11"/>
      <c r="D94" s="11"/>
      <c r="E94" t="str">
        <f>IFERROR(VLOOKUP(D94,Customers!$A:$B,2,FALSE),"")</f>
        <v/>
      </c>
      <c r="F94" s="11"/>
      <c r="G94" t="str">
        <f>IFERROR(VLOOKUP(F94,'Products Index'!$A:$B,2,FALSE),"")</f>
        <v/>
      </c>
      <c r="H94" s="11"/>
      <c r="I94" s="12"/>
      <c r="J94" s="15"/>
      <c r="K94" s="16">
        <f t="shared" si="3"/>
        <v>0</v>
      </c>
      <c r="L94" s="16">
        <f t="shared" si="4"/>
        <v>0</v>
      </c>
      <c r="M94" s="16">
        <f>IFERROR(AVERAGEIF('Production Batches'!$C:$C,F94,'Production Batches'!$L:$L),0)</f>
        <v>0</v>
      </c>
      <c r="N94" s="16">
        <f t="shared" si="5"/>
        <v>0</v>
      </c>
      <c r="P94" s="11"/>
      <c r="Q94" s="30"/>
    </row>
    <row r="95" spans="2:17">
      <c r="B95" s="30"/>
      <c r="C95" s="11"/>
      <c r="D95" s="11"/>
      <c r="E95" t="str">
        <f>IFERROR(VLOOKUP(D95,Customers!$A:$B,2,FALSE),"")</f>
        <v/>
      </c>
      <c r="F95" s="11"/>
      <c r="G95" t="str">
        <f>IFERROR(VLOOKUP(F95,'Products Index'!$A:$B,2,FALSE),"")</f>
        <v/>
      </c>
      <c r="H95" s="11"/>
      <c r="I95" s="12"/>
      <c r="J95" s="15"/>
      <c r="K95" s="16">
        <f t="shared" si="3"/>
        <v>0</v>
      </c>
      <c r="L95" s="16">
        <f t="shared" si="4"/>
        <v>0</v>
      </c>
      <c r="M95" s="16">
        <f>IFERROR(AVERAGEIF('Production Batches'!$C:$C,F95,'Production Batches'!$L:$L),0)</f>
        <v>0</v>
      </c>
      <c r="N95" s="16">
        <f t="shared" si="5"/>
        <v>0</v>
      </c>
      <c r="P95" s="11"/>
      <c r="Q95" s="30"/>
    </row>
    <row r="96" spans="2:17">
      <c r="B96" s="30"/>
      <c r="C96" s="11"/>
      <c r="D96" s="11"/>
      <c r="E96" t="str">
        <f>IFERROR(VLOOKUP(D96,Customers!$A:$B,2,FALSE),"")</f>
        <v/>
      </c>
      <c r="F96" s="11"/>
      <c r="G96" t="str">
        <f>IFERROR(VLOOKUP(F96,'Products Index'!$A:$B,2,FALSE),"")</f>
        <v/>
      </c>
      <c r="H96" s="11"/>
      <c r="I96" s="12"/>
      <c r="J96" s="15"/>
      <c r="K96" s="16">
        <f t="shared" si="3"/>
        <v>0</v>
      </c>
      <c r="L96" s="16">
        <f t="shared" si="4"/>
        <v>0</v>
      </c>
      <c r="M96" s="16">
        <f>IFERROR(AVERAGEIF('Production Batches'!$C:$C,F96,'Production Batches'!$L:$L),0)</f>
        <v>0</v>
      </c>
      <c r="N96" s="16">
        <f t="shared" si="5"/>
        <v>0</v>
      </c>
      <c r="P96" s="11"/>
      <c r="Q96" s="30"/>
    </row>
    <row r="97" spans="2:17">
      <c r="B97" s="30"/>
      <c r="C97" s="11"/>
      <c r="D97" s="11"/>
      <c r="E97" t="str">
        <f>IFERROR(VLOOKUP(D97,Customers!$A:$B,2,FALSE),"")</f>
        <v/>
      </c>
      <c r="F97" s="11"/>
      <c r="G97" t="str">
        <f>IFERROR(VLOOKUP(F97,'Products Index'!$A:$B,2,FALSE),"")</f>
        <v/>
      </c>
      <c r="H97" s="11"/>
      <c r="I97" s="12"/>
      <c r="J97" s="15"/>
      <c r="K97" s="16">
        <f t="shared" si="3"/>
        <v>0</v>
      </c>
      <c r="L97" s="16">
        <f t="shared" si="4"/>
        <v>0</v>
      </c>
      <c r="M97" s="16">
        <f>IFERROR(AVERAGEIF('Production Batches'!$C:$C,F97,'Production Batches'!$L:$L),0)</f>
        <v>0</v>
      </c>
      <c r="N97" s="16">
        <f t="shared" si="5"/>
        <v>0</v>
      </c>
      <c r="P97" s="11"/>
      <c r="Q97" s="30"/>
    </row>
    <row r="98" spans="2:17">
      <c r="B98" s="30"/>
      <c r="C98" s="11"/>
      <c r="D98" s="11"/>
      <c r="E98" t="str">
        <f>IFERROR(VLOOKUP(D98,Customers!$A:$B,2,FALSE),"")</f>
        <v/>
      </c>
      <c r="F98" s="11"/>
      <c r="G98" t="str">
        <f>IFERROR(VLOOKUP(F98,'Products Index'!$A:$B,2,FALSE),"")</f>
        <v/>
      </c>
      <c r="H98" s="11"/>
      <c r="I98" s="12"/>
      <c r="J98" s="15"/>
      <c r="K98" s="16">
        <f t="shared" si="3"/>
        <v>0</v>
      </c>
      <c r="L98" s="16">
        <f t="shared" si="4"/>
        <v>0</v>
      </c>
      <c r="M98" s="16">
        <f>IFERROR(AVERAGEIF('Production Batches'!$C:$C,F98,'Production Batches'!$L:$L),0)</f>
        <v>0</v>
      </c>
      <c r="N98" s="16">
        <f t="shared" si="5"/>
        <v>0</v>
      </c>
      <c r="P98" s="11"/>
      <c r="Q98" s="30"/>
    </row>
    <row r="99" spans="2:17">
      <c r="B99" s="30"/>
      <c r="C99" s="11"/>
      <c r="D99" s="11"/>
      <c r="E99" t="str">
        <f>IFERROR(VLOOKUP(D99,Customers!$A:$B,2,FALSE),"")</f>
        <v/>
      </c>
      <c r="F99" s="11"/>
      <c r="G99" t="str">
        <f>IFERROR(VLOOKUP(F99,'Products Index'!$A:$B,2,FALSE),"")</f>
        <v/>
      </c>
      <c r="H99" s="11"/>
      <c r="I99" s="12"/>
      <c r="J99" s="15"/>
      <c r="K99" s="16">
        <f t="shared" si="3"/>
        <v>0</v>
      </c>
      <c r="L99" s="16">
        <f t="shared" si="4"/>
        <v>0</v>
      </c>
      <c r="M99" s="16">
        <f>IFERROR(AVERAGEIF('Production Batches'!$C:$C,F99,'Production Batches'!$L:$L),0)</f>
        <v>0</v>
      </c>
      <c r="N99" s="16">
        <f t="shared" si="5"/>
        <v>0</v>
      </c>
      <c r="P99" s="11"/>
      <c r="Q99" s="30"/>
    </row>
    <row r="100" spans="2:17">
      <c r="B100" s="30"/>
      <c r="C100" s="11"/>
      <c r="D100" s="11"/>
      <c r="E100" t="str">
        <f>IFERROR(VLOOKUP(D100,Customers!$A:$B,2,FALSE),"")</f>
        <v/>
      </c>
      <c r="F100" s="11"/>
      <c r="G100" t="str">
        <f>IFERROR(VLOOKUP(F100,'Products Index'!$A:$B,2,FALSE),"")</f>
        <v/>
      </c>
      <c r="H100" s="11"/>
      <c r="I100" s="12"/>
      <c r="J100" s="15"/>
      <c r="K100" s="16">
        <f t="shared" si="3"/>
        <v>0</v>
      </c>
      <c r="L100" s="16">
        <f t="shared" si="4"/>
        <v>0</v>
      </c>
      <c r="M100" s="16">
        <f>IFERROR(AVERAGEIF('Production Batches'!$C:$C,F100,'Production Batches'!$L:$L),0)</f>
        <v>0</v>
      </c>
      <c r="N100" s="16">
        <f t="shared" si="5"/>
        <v>0</v>
      </c>
      <c r="P100" s="11"/>
      <c r="Q100" s="30"/>
    </row>
    <row r="101" spans="2:17">
      <c r="B101" s="30"/>
      <c r="C101" s="11"/>
      <c r="D101" s="11"/>
      <c r="E101" t="str">
        <f>IFERROR(VLOOKUP(D101,Customers!$A:$B,2,FALSE),"")</f>
        <v/>
      </c>
      <c r="F101" s="11"/>
      <c r="G101" t="str">
        <f>IFERROR(VLOOKUP(F101,'Products Index'!$A:$B,2,FALSE),"")</f>
        <v/>
      </c>
      <c r="H101" s="11"/>
      <c r="I101" s="12"/>
      <c r="J101" s="15"/>
      <c r="K101" s="16">
        <f t="shared" si="3"/>
        <v>0</v>
      </c>
      <c r="L101" s="16">
        <f t="shared" si="4"/>
        <v>0</v>
      </c>
      <c r="M101" s="16">
        <f>IFERROR(AVERAGEIF('Production Batches'!$C:$C,F101,'Production Batches'!$L:$L),0)</f>
        <v>0</v>
      </c>
      <c r="N101" s="16">
        <f t="shared" si="5"/>
        <v>0</v>
      </c>
      <c r="P101" s="11"/>
      <c r="Q101" s="30"/>
    </row>
    <row r="102" spans="2:17">
      <c r="B102" s="30"/>
      <c r="C102" s="11"/>
      <c r="D102" s="11"/>
      <c r="E102" t="str">
        <f>IFERROR(VLOOKUP(D102,Customers!$A:$B,2,FALSE),"")</f>
        <v/>
      </c>
      <c r="F102" s="11"/>
      <c r="G102" t="str">
        <f>IFERROR(VLOOKUP(F102,'Products Index'!$A:$B,2,FALSE),"")</f>
        <v/>
      </c>
      <c r="H102" s="11"/>
      <c r="I102" s="12"/>
      <c r="J102" s="15"/>
      <c r="K102" s="16">
        <f t="shared" si="3"/>
        <v>0</v>
      </c>
      <c r="L102" s="16">
        <f t="shared" si="4"/>
        <v>0</v>
      </c>
      <c r="M102" s="16">
        <f>IFERROR(AVERAGEIF('Production Batches'!$C:$C,F102,'Production Batches'!$L:$L),0)</f>
        <v>0</v>
      </c>
      <c r="N102" s="16">
        <f t="shared" si="5"/>
        <v>0</v>
      </c>
      <c r="P102" s="11"/>
      <c r="Q102" s="30"/>
    </row>
    <row r="103" spans="2:17">
      <c r="B103" s="30"/>
      <c r="C103" s="11"/>
      <c r="D103" s="11"/>
      <c r="E103" t="str">
        <f>IFERROR(VLOOKUP(D103,Customers!$A:$B,2,FALSE),"")</f>
        <v/>
      </c>
      <c r="F103" s="11"/>
      <c r="G103" t="str">
        <f>IFERROR(VLOOKUP(F103,'Products Index'!$A:$B,2,FALSE),"")</f>
        <v/>
      </c>
      <c r="H103" s="11"/>
      <c r="I103" s="12"/>
      <c r="J103" s="15"/>
      <c r="K103" s="16">
        <f t="shared" si="3"/>
        <v>0</v>
      </c>
      <c r="L103" s="16">
        <f t="shared" si="4"/>
        <v>0</v>
      </c>
      <c r="M103" s="16">
        <f>IFERROR(AVERAGEIF('Production Batches'!$C:$C,F103,'Production Batches'!$L:$L),0)</f>
        <v>0</v>
      </c>
      <c r="N103" s="16">
        <f t="shared" si="5"/>
        <v>0</v>
      </c>
      <c r="P103" s="11"/>
      <c r="Q103" s="30"/>
    </row>
    <row r="104" spans="2:17">
      <c r="B104" s="30"/>
      <c r="C104" s="11"/>
      <c r="D104" s="11"/>
      <c r="E104" t="str">
        <f>IFERROR(VLOOKUP(D104,Customers!$A:$B,2,FALSE),"")</f>
        <v/>
      </c>
      <c r="F104" s="11"/>
      <c r="G104" t="str">
        <f>IFERROR(VLOOKUP(F104,'Products Index'!$A:$B,2,FALSE),"")</f>
        <v/>
      </c>
      <c r="H104" s="11"/>
      <c r="I104" s="12"/>
      <c r="J104" s="15"/>
      <c r="K104" s="16">
        <f t="shared" si="3"/>
        <v>0</v>
      </c>
      <c r="L104" s="16">
        <f t="shared" si="4"/>
        <v>0</v>
      </c>
      <c r="M104" s="16">
        <f>IFERROR(AVERAGEIF('Production Batches'!$C:$C,F104,'Production Batches'!$L:$L),0)</f>
        <v>0</v>
      </c>
      <c r="N104" s="16">
        <f t="shared" si="5"/>
        <v>0</v>
      </c>
      <c r="P104" s="11"/>
      <c r="Q104" s="30"/>
    </row>
    <row r="105" spans="2:17">
      <c r="B105" s="30"/>
      <c r="C105" s="11"/>
      <c r="D105" s="11"/>
      <c r="E105" t="str">
        <f>IFERROR(VLOOKUP(D105,Customers!$A:$B,2,FALSE),"")</f>
        <v/>
      </c>
      <c r="F105" s="11"/>
      <c r="G105" t="str">
        <f>IFERROR(VLOOKUP(F105,'Products Index'!$A:$B,2,FALSE),"")</f>
        <v/>
      </c>
      <c r="H105" s="11"/>
      <c r="I105" s="12"/>
      <c r="J105" s="15"/>
      <c r="K105" s="16">
        <f t="shared" si="3"/>
        <v>0</v>
      </c>
      <c r="L105" s="16">
        <f t="shared" si="4"/>
        <v>0</v>
      </c>
      <c r="M105" s="16">
        <f>IFERROR(AVERAGEIF('Production Batches'!$C:$C,F105,'Production Batches'!$L:$L),0)</f>
        <v>0</v>
      </c>
      <c r="N105" s="16">
        <f t="shared" si="5"/>
        <v>0</v>
      </c>
      <c r="P105" s="11"/>
      <c r="Q105" s="30"/>
    </row>
    <row r="106" spans="2:17">
      <c r="B106" s="30"/>
      <c r="C106" s="11"/>
      <c r="D106" s="11"/>
      <c r="E106" t="str">
        <f>IFERROR(VLOOKUP(D106,Customers!$A:$B,2,FALSE),"")</f>
        <v/>
      </c>
      <c r="F106" s="11"/>
      <c r="G106" t="str">
        <f>IFERROR(VLOOKUP(F106,'Products Index'!$A:$B,2,FALSE),"")</f>
        <v/>
      </c>
      <c r="H106" s="11"/>
      <c r="I106" s="12"/>
      <c r="J106" s="15"/>
      <c r="K106" s="16">
        <f t="shared" si="3"/>
        <v>0</v>
      </c>
      <c r="L106" s="16">
        <f t="shared" si="4"/>
        <v>0</v>
      </c>
      <c r="M106" s="16">
        <f>IFERROR(AVERAGEIF('Production Batches'!$C:$C,F106,'Production Batches'!$L:$L),0)</f>
        <v>0</v>
      </c>
      <c r="N106" s="16">
        <f t="shared" si="5"/>
        <v>0</v>
      </c>
      <c r="P106" s="11"/>
      <c r="Q106" s="30"/>
    </row>
    <row r="107" spans="2:17">
      <c r="B107" s="30"/>
      <c r="C107" s="11"/>
      <c r="D107" s="11"/>
      <c r="E107" t="str">
        <f>IFERROR(VLOOKUP(D107,Customers!$A:$B,2,FALSE),"")</f>
        <v/>
      </c>
      <c r="F107" s="11"/>
      <c r="G107" t="str">
        <f>IFERROR(VLOOKUP(F107,'Products Index'!$A:$B,2,FALSE),"")</f>
        <v/>
      </c>
      <c r="H107" s="11"/>
      <c r="I107" s="12"/>
      <c r="J107" s="15"/>
      <c r="K107" s="16">
        <f t="shared" si="3"/>
        <v>0</v>
      </c>
      <c r="L107" s="16">
        <f t="shared" si="4"/>
        <v>0</v>
      </c>
      <c r="M107" s="16">
        <f>IFERROR(AVERAGEIF('Production Batches'!$C:$C,F107,'Production Batches'!$L:$L),0)</f>
        <v>0</v>
      </c>
      <c r="N107" s="16">
        <f t="shared" si="5"/>
        <v>0</v>
      </c>
      <c r="P107" s="11"/>
      <c r="Q107" s="30"/>
    </row>
    <row r="108" spans="2:17">
      <c r="B108" s="30"/>
      <c r="C108" s="11"/>
      <c r="D108" s="11"/>
      <c r="E108" t="str">
        <f>IFERROR(VLOOKUP(D108,Customers!$A:$B,2,FALSE),"")</f>
        <v/>
      </c>
      <c r="F108" s="11"/>
      <c r="G108" t="str">
        <f>IFERROR(VLOOKUP(F108,'Products Index'!$A:$B,2,FALSE),"")</f>
        <v/>
      </c>
      <c r="H108" s="11"/>
      <c r="I108" s="12"/>
      <c r="J108" s="15"/>
      <c r="K108" s="16">
        <f t="shared" si="3"/>
        <v>0</v>
      </c>
      <c r="L108" s="16">
        <f t="shared" si="4"/>
        <v>0</v>
      </c>
      <c r="M108" s="16">
        <f>IFERROR(AVERAGEIF('Production Batches'!$C:$C,F108,'Production Batches'!$L:$L),0)</f>
        <v>0</v>
      </c>
      <c r="N108" s="16">
        <f t="shared" si="5"/>
        <v>0</v>
      </c>
      <c r="P108" s="11"/>
      <c r="Q108" s="30"/>
    </row>
    <row r="109" spans="2:17">
      <c r="B109" s="30"/>
      <c r="C109" s="11"/>
      <c r="D109" s="11"/>
      <c r="E109" t="str">
        <f>IFERROR(VLOOKUP(D109,Customers!$A:$B,2,FALSE),"")</f>
        <v/>
      </c>
      <c r="F109" s="11"/>
      <c r="G109" t="str">
        <f>IFERROR(VLOOKUP(F109,'Products Index'!$A:$B,2,FALSE),"")</f>
        <v/>
      </c>
      <c r="H109" s="11"/>
      <c r="I109" s="12"/>
      <c r="J109" s="15"/>
      <c r="K109" s="16">
        <f t="shared" si="3"/>
        <v>0</v>
      </c>
      <c r="L109" s="16">
        <f t="shared" si="4"/>
        <v>0</v>
      </c>
      <c r="M109" s="16">
        <f>IFERROR(AVERAGEIF('Production Batches'!$C:$C,F109,'Production Batches'!$L:$L),0)</f>
        <v>0</v>
      </c>
      <c r="N109" s="16">
        <f t="shared" si="5"/>
        <v>0</v>
      </c>
      <c r="P109" s="11"/>
      <c r="Q109" s="30"/>
    </row>
    <row r="110" spans="2:17">
      <c r="B110" s="30"/>
      <c r="C110" s="11"/>
      <c r="D110" s="11"/>
      <c r="E110" t="str">
        <f>IFERROR(VLOOKUP(D110,Customers!$A:$B,2,FALSE),"")</f>
        <v/>
      </c>
      <c r="F110" s="11"/>
      <c r="G110" t="str">
        <f>IFERROR(VLOOKUP(F110,'Products Index'!$A:$B,2,FALSE),"")</f>
        <v/>
      </c>
      <c r="H110" s="11"/>
      <c r="I110" s="12"/>
      <c r="J110" s="15"/>
      <c r="K110" s="16">
        <f t="shared" si="3"/>
        <v>0</v>
      </c>
      <c r="L110" s="16">
        <f t="shared" si="4"/>
        <v>0</v>
      </c>
      <c r="M110" s="16">
        <f>IFERROR(AVERAGEIF('Production Batches'!$C:$C,F110,'Production Batches'!$L:$L),0)</f>
        <v>0</v>
      </c>
      <c r="N110" s="16">
        <f t="shared" si="5"/>
        <v>0</v>
      </c>
      <c r="P110" s="11"/>
      <c r="Q110" s="30"/>
    </row>
    <row r="111" spans="2:17">
      <c r="B111" s="30"/>
      <c r="C111" s="11"/>
      <c r="D111" s="11"/>
      <c r="E111" t="str">
        <f>IFERROR(VLOOKUP(D111,Customers!$A:$B,2,FALSE),"")</f>
        <v/>
      </c>
      <c r="F111" s="11"/>
      <c r="G111" t="str">
        <f>IFERROR(VLOOKUP(F111,'Products Index'!$A:$B,2,FALSE),"")</f>
        <v/>
      </c>
      <c r="H111" s="11"/>
      <c r="I111" s="12"/>
      <c r="J111" s="15"/>
      <c r="K111" s="16">
        <f t="shared" si="3"/>
        <v>0</v>
      </c>
      <c r="L111" s="16">
        <f t="shared" si="4"/>
        <v>0</v>
      </c>
      <c r="M111" s="16">
        <f>IFERROR(AVERAGEIF('Production Batches'!$C:$C,F111,'Production Batches'!$L:$L),0)</f>
        <v>0</v>
      </c>
      <c r="N111" s="16">
        <f t="shared" si="5"/>
        <v>0</v>
      </c>
      <c r="P111" s="11"/>
      <c r="Q111" s="30"/>
    </row>
    <row r="112" spans="2:17">
      <c r="B112" s="30"/>
      <c r="C112" s="11"/>
      <c r="D112" s="11"/>
      <c r="E112" t="str">
        <f>IFERROR(VLOOKUP(D112,Customers!$A:$B,2,FALSE),"")</f>
        <v/>
      </c>
      <c r="F112" s="11"/>
      <c r="G112" t="str">
        <f>IFERROR(VLOOKUP(F112,'Products Index'!$A:$B,2,FALSE),"")</f>
        <v/>
      </c>
      <c r="H112" s="11"/>
      <c r="I112" s="12"/>
      <c r="J112" s="15"/>
      <c r="K112" s="16">
        <f t="shared" si="3"/>
        <v>0</v>
      </c>
      <c r="L112" s="16">
        <f t="shared" si="4"/>
        <v>0</v>
      </c>
      <c r="M112" s="16">
        <f>IFERROR(AVERAGEIF('Production Batches'!$C:$C,F112,'Production Batches'!$L:$L),0)</f>
        <v>0</v>
      </c>
      <c r="N112" s="16">
        <f t="shared" si="5"/>
        <v>0</v>
      </c>
      <c r="P112" s="11"/>
      <c r="Q112" s="30"/>
    </row>
    <row r="113" spans="2:17">
      <c r="B113" s="30"/>
      <c r="C113" s="11"/>
      <c r="D113" s="11"/>
      <c r="E113" t="str">
        <f>IFERROR(VLOOKUP(D113,Customers!$A:$B,2,FALSE),"")</f>
        <v/>
      </c>
      <c r="F113" s="11"/>
      <c r="G113" t="str">
        <f>IFERROR(VLOOKUP(F113,'Products Index'!$A:$B,2,FALSE),"")</f>
        <v/>
      </c>
      <c r="H113" s="11"/>
      <c r="I113" s="12"/>
      <c r="J113" s="15"/>
      <c r="K113" s="16">
        <f t="shared" si="3"/>
        <v>0</v>
      </c>
      <c r="L113" s="16">
        <f t="shared" si="4"/>
        <v>0</v>
      </c>
      <c r="M113" s="16">
        <f>IFERROR(AVERAGEIF('Production Batches'!$C:$C,F113,'Production Batches'!$L:$L),0)</f>
        <v>0</v>
      </c>
      <c r="N113" s="16">
        <f t="shared" si="5"/>
        <v>0</v>
      </c>
      <c r="P113" s="11"/>
      <c r="Q113" s="30"/>
    </row>
    <row r="114" spans="2:17">
      <c r="B114" s="30"/>
      <c r="C114" s="11"/>
      <c r="D114" s="11"/>
      <c r="E114" t="str">
        <f>IFERROR(VLOOKUP(D114,Customers!$A:$B,2,FALSE),"")</f>
        <v/>
      </c>
      <c r="F114" s="11"/>
      <c r="G114" t="str">
        <f>IFERROR(VLOOKUP(F114,'Products Index'!$A:$B,2,FALSE),"")</f>
        <v/>
      </c>
      <c r="H114" s="11"/>
      <c r="I114" s="12"/>
      <c r="J114" s="15"/>
      <c r="K114" s="16">
        <f t="shared" si="3"/>
        <v>0</v>
      </c>
      <c r="L114" s="16">
        <f t="shared" si="4"/>
        <v>0</v>
      </c>
      <c r="M114" s="16">
        <f>IFERROR(AVERAGEIF('Production Batches'!$C:$C,F114,'Production Batches'!$L:$L),0)</f>
        <v>0</v>
      </c>
      <c r="N114" s="16">
        <f t="shared" si="5"/>
        <v>0</v>
      </c>
      <c r="P114" s="11"/>
      <c r="Q114" s="30"/>
    </row>
    <row r="115" spans="2:17">
      <c r="B115" s="30"/>
      <c r="C115" s="11"/>
      <c r="D115" s="11"/>
      <c r="E115" t="str">
        <f>IFERROR(VLOOKUP(D115,Customers!$A:$B,2,FALSE),"")</f>
        <v/>
      </c>
      <c r="F115" s="11"/>
      <c r="G115" t="str">
        <f>IFERROR(VLOOKUP(F115,'Products Index'!$A:$B,2,FALSE),"")</f>
        <v/>
      </c>
      <c r="H115" s="11"/>
      <c r="I115" s="12"/>
      <c r="J115" s="15"/>
      <c r="K115" s="16">
        <f t="shared" si="3"/>
        <v>0</v>
      </c>
      <c r="L115" s="16">
        <f t="shared" si="4"/>
        <v>0</v>
      </c>
      <c r="M115" s="16">
        <f>IFERROR(AVERAGEIF('Production Batches'!$C:$C,F115,'Production Batches'!$L:$L),0)</f>
        <v>0</v>
      </c>
      <c r="N115" s="16">
        <f t="shared" si="5"/>
        <v>0</v>
      </c>
      <c r="P115" s="11"/>
      <c r="Q115" s="30"/>
    </row>
    <row r="116" spans="2:17">
      <c r="B116" s="30"/>
      <c r="C116" s="11"/>
      <c r="D116" s="11"/>
      <c r="E116" t="str">
        <f>IFERROR(VLOOKUP(D116,Customers!$A:$B,2,FALSE),"")</f>
        <v/>
      </c>
      <c r="F116" s="11"/>
      <c r="G116" t="str">
        <f>IFERROR(VLOOKUP(F116,'Products Index'!$A:$B,2,FALSE),"")</f>
        <v/>
      </c>
      <c r="H116" s="11"/>
      <c r="I116" s="12"/>
      <c r="J116" s="15"/>
      <c r="K116" s="16">
        <f t="shared" si="3"/>
        <v>0</v>
      </c>
      <c r="L116" s="16">
        <f t="shared" si="4"/>
        <v>0</v>
      </c>
      <c r="M116" s="16">
        <f>IFERROR(AVERAGEIF('Production Batches'!$C:$C,F116,'Production Batches'!$L:$L),0)</f>
        <v>0</v>
      </c>
      <c r="N116" s="16">
        <f t="shared" si="5"/>
        <v>0</v>
      </c>
      <c r="P116" s="11"/>
      <c r="Q116" s="30"/>
    </row>
    <row r="117" spans="2:17">
      <c r="B117" s="30"/>
      <c r="C117" s="11"/>
      <c r="D117" s="11"/>
      <c r="E117" t="str">
        <f>IFERROR(VLOOKUP(D117,Customers!$A:$B,2,FALSE),"")</f>
        <v/>
      </c>
      <c r="F117" s="11"/>
      <c r="G117" t="str">
        <f>IFERROR(VLOOKUP(F117,'Products Index'!$A:$B,2,FALSE),"")</f>
        <v/>
      </c>
      <c r="H117" s="11"/>
      <c r="I117" s="12"/>
      <c r="J117" s="15"/>
      <c r="K117" s="16">
        <f t="shared" si="3"/>
        <v>0</v>
      </c>
      <c r="L117" s="16">
        <f t="shared" si="4"/>
        <v>0</v>
      </c>
      <c r="M117" s="16">
        <f>IFERROR(AVERAGEIF('Production Batches'!$C:$C,F117,'Production Batches'!$L:$L),0)</f>
        <v>0</v>
      </c>
      <c r="N117" s="16">
        <f t="shared" si="5"/>
        <v>0</v>
      </c>
      <c r="P117" s="11"/>
      <c r="Q117" s="30"/>
    </row>
    <row r="118" spans="2:17">
      <c r="B118" s="30"/>
      <c r="C118" s="11"/>
      <c r="D118" s="11"/>
      <c r="E118" t="str">
        <f>IFERROR(VLOOKUP(D118,Customers!$A:$B,2,FALSE),"")</f>
        <v/>
      </c>
      <c r="F118" s="11"/>
      <c r="G118" t="str">
        <f>IFERROR(VLOOKUP(F118,'Products Index'!$A:$B,2,FALSE),"")</f>
        <v/>
      </c>
      <c r="H118" s="11"/>
      <c r="I118" s="12"/>
      <c r="J118" s="15"/>
      <c r="K118" s="16">
        <f t="shared" si="3"/>
        <v>0</v>
      </c>
      <c r="L118" s="16">
        <f t="shared" si="4"/>
        <v>0</v>
      </c>
      <c r="M118" s="16">
        <f>IFERROR(AVERAGEIF('Production Batches'!$C:$C,F118,'Production Batches'!$L:$L),0)</f>
        <v>0</v>
      </c>
      <c r="N118" s="16">
        <f t="shared" si="5"/>
        <v>0</v>
      </c>
      <c r="P118" s="11"/>
      <c r="Q118" s="30"/>
    </row>
    <row r="119" spans="2:17">
      <c r="B119" s="30"/>
      <c r="C119" s="11"/>
      <c r="D119" s="11"/>
      <c r="E119" t="str">
        <f>IFERROR(VLOOKUP(D119,Customers!$A:$B,2,FALSE),"")</f>
        <v/>
      </c>
      <c r="F119" s="11"/>
      <c r="G119" t="str">
        <f>IFERROR(VLOOKUP(F119,'Products Index'!$A:$B,2,FALSE),"")</f>
        <v/>
      </c>
      <c r="H119" s="11"/>
      <c r="I119" s="12"/>
      <c r="J119" s="15"/>
      <c r="K119" s="16">
        <f t="shared" si="3"/>
        <v>0</v>
      </c>
      <c r="L119" s="16">
        <f t="shared" si="4"/>
        <v>0</v>
      </c>
      <c r="M119" s="16">
        <f>IFERROR(AVERAGEIF('Production Batches'!$C:$C,F119,'Production Batches'!$L:$L),0)</f>
        <v>0</v>
      </c>
      <c r="N119" s="16">
        <f t="shared" si="5"/>
        <v>0</v>
      </c>
      <c r="P119" s="11"/>
      <c r="Q119" s="30"/>
    </row>
    <row r="120" spans="2:17">
      <c r="B120" s="30"/>
      <c r="C120" s="11"/>
      <c r="D120" s="11"/>
      <c r="E120" t="str">
        <f>IFERROR(VLOOKUP(D120,Customers!$A:$B,2,FALSE),"")</f>
        <v/>
      </c>
      <c r="F120" s="11"/>
      <c r="G120" t="str">
        <f>IFERROR(VLOOKUP(F120,'Products Index'!$A:$B,2,FALSE),"")</f>
        <v/>
      </c>
      <c r="H120" s="11"/>
      <c r="I120" s="12"/>
      <c r="J120" s="15"/>
      <c r="K120" s="16">
        <f t="shared" si="3"/>
        <v>0</v>
      </c>
      <c r="L120" s="16">
        <f t="shared" si="4"/>
        <v>0</v>
      </c>
      <c r="M120" s="16">
        <f>IFERROR(AVERAGEIF('Production Batches'!$C:$C,F120,'Production Batches'!$L:$L),0)</f>
        <v>0</v>
      </c>
      <c r="N120" s="16">
        <f t="shared" si="5"/>
        <v>0</v>
      </c>
      <c r="P120" s="11"/>
      <c r="Q120" s="30"/>
    </row>
    <row r="121" spans="2:17">
      <c r="B121" s="30"/>
      <c r="C121" s="11"/>
      <c r="D121" s="11"/>
      <c r="E121" t="str">
        <f>IFERROR(VLOOKUP(D121,Customers!$A:$B,2,FALSE),"")</f>
        <v/>
      </c>
      <c r="F121" s="11"/>
      <c r="G121" t="str">
        <f>IFERROR(VLOOKUP(F121,'Products Index'!$A:$B,2,FALSE),"")</f>
        <v/>
      </c>
      <c r="H121" s="11"/>
      <c r="I121" s="12"/>
      <c r="J121" s="15"/>
      <c r="K121" s="16">
        <f t="shared" si="3"/>
        <v>0</v>
      </c>
      <c r="L121" s="16">
        <f t="shared" si="4"/>
        <v>0</v>
      </c>
      <c r="M121" s="16">
        <f>IFERROR(AVERAGEIF('Production Batches'!$C:$C,F121,'Production Batches'!$L:$L),0)</f>
        <v>0</v>
      </c>
      <c r="N121" s="16">
        <f t="shared" si="5"/>
        <v>0</v>
      </c>
      <c r="P121" s="11"/>
      <c r="Q121" s="30"/>
    </row>
    <row r="122" spans="2:17">
      <c r="B122" s="30"/>
      <c r="C122" s="11"/>
      <c r="D122" s="11"/>
      <c r="E122" t="str">
        <f>IFERROR(VLOOKUP(D122,Customers!$A:$B,2,FALSE),"")</f>
        <v/>
      </c>
      <c r="F122" s="11"/>
      <c r="G122" t="str">
        <f>IFERROR(VLOOKUP(F122,'Products Index'!$A:$B,2,FALSE),"")</f>
        <v/>
      </c>
      <c r="H122" s="11"/>
      <c r="I122" s="12"/>
      <c r="J122" s="15"/>
      <c r="K122" s="16">
        <f t="shared" si="3"/>
        <v>0</v>
      </c>
      <c r="L122" s="16">
        <f t="shared" si="4"/>
        <v>0</v>
      </c>
      <c r="M122" s="16">
        <f>IFERROR(AVERAGEIF('Production Batches'!$C:$C,F122,'Production Batches'!$L:$L),0)</f>
        <v>0</v>
      </c>
      <c r="N122" s="16">
        <f t="shared" si="5"/>
        <v>0</v>
      </c>
      <c r="P122" s="11"/>
      <c r="Q122" s="30"/>
    </row>
    <row r="123" spans="2:17">
      <c r="B123" s="30"/>
      <c r="C123" s="11"/>
      <c r="D123" s="11"/>
      <c r="E123" t="str">
        <f>IFERROR(VLOOKUP(D123,Customers!$A:$B,2,FALSE),"")</f>
        <v/>
      </c>
      <c r="F123" s="11"/>
      <c r="G123" t="str">
        <f>IFERROR(VLOOKUP(F123,'Products Index'!$A:$B,2,FALSE),"")</f>
        <v/>
      </c>
      <c r="H123" s="11"/>
      <c r="I123" s="12"/>
      <c r="J123" s="15"/>
      <c r="K123" s="16">
        <f t="shared" si="3"/>
        <v>0</v>
      </c>
      <c r="L123" s="16">
        <f t="shared" si="4"/>
        <v>0</v>
      </c>
      <c r="M123" s="16">
        <f>IFERROR(AVERAGEIF('Production Batches'!$C:$C,F123,'Production Batches'!$L:$L),0)</f>
        <v>0</v>
      </c>
      <c r="N123" s="16">
        <f t="shared" si="5"/>
        <v>0</v>
      </c>
      <c r="P123" s="11"/>
      <c r="Q123" s="30"/>
    </row>
    <row r="124" spans="2:17">
      <c r="B124" s="30"/>
      <c r="C124" s="11"/>
      <c r="D124" s="11"/>
      <c r="E124" t="str">
        <f>IFERROR(VLOOKUP(D124,Customers!$A:$B,2,FALSE),"")</f>
        <v/>
      </c>
      <c r="F124" s="11"/>
      <c r="G124" t="str">
        <f>IFERROR(VLOOKUP(F124,'Products Index'!$A:$B,2,FALSE),"")</f>
        <v/>
      </c>
      <c r="H124" s="11"/>
      <c r="I124" s="12"/>
      <c r="J124" s="15"/>
      <c r="K124" s="16">
        <f t="shared" si="3"/>
        <v>0</v>
      </c>
      <c r="L124" s="16">
        <f t="shared" si="4"/>
        <v>0</v>
      </c>
      <c r="M124" s="16">
        <f>IFERROR(AVERAGEIF('Production Batches'!$C:$C,F124,'Production Batches'!$L:$L),0)</f>
        <v>0</v>
      </c>
      <c r="N124" s="16">
        <f t="shared" si="5"/>
        <v>0</v>
      </c>
      <c r="P124" s="11"/>
      <c r="Q124" s="30"/>
    </row>
    <row r="125" spans="2:17">
      <c r="B125" s="30"/>
      <c r="C125" s="11"/>
      <c r="D125" s="11"/>
      <c r="E125" t="str">
        <f>IFERROR(VLOOKUP(D125,Customers!$A:$B,2,FALSE),"")</f>
        <v/>
      </c>
      <c r="F125" s="11"/>
      <c r="G125" t="str">
        <f>IFERROR(VLOOKUP(F125,'Products Index'!$A:$B,2,FALSE),"")</f>
        <v/>
      </c>
      <c r="H125" s="11"/>
      <c r="I125" s="12"/>
      <c r="J125" s="15"/>
      <c r="K125" s="16">
        <f t="shared" si="3"/>
        <v>0</v>
      </c>
      <c r="L125" s="16">
        <f t="shared" si="4"/>
        <v>0</v>
      </c>
      <c r="M125" s="16">
        <f>IFERROR(AVERAGEIF('Production Batches'!$C:$C,F125,'Production Batches'!$L:$L),0)</f>
        <v>0</v>
      </c>
      <c r="N125" s="16">
        <f t="shared" si="5"/>
        <v>0</v>
      </c>
      <c r="P125" s="11"/>
      <c r="Q125" s="30"/>
    </row>
    <row r="126" spans="2:17">
      <c r="B126" s="30"/>
      <c r="C126" s="11"/>
      <c r="D126" s="11"/>
      <c r="E126" t="str">
        <f>IFERROR(VLOOKUP(D126,Customers!$A:$B,2,FALSE),"")</f>
        <v/>
      </c>
      <c r="F126" s="11"/>
      <c r="G126" t="str">
        <f>IFERROR(VLOOKUP(F126,'Products Index'!$A:$B,2,FALSE),"")</f>
        <v/>
      </c>
      <c r="H126" s="11"/>
      <c r="I126" s="12"/>
      <c r="J126" s="15"/>
      <c r="K126" s="16">
        <f t="shared" si="3"/>
        <v>0</v>
      </c>
      <c r="L126" s="16">
        <f t="shared" si="4"/>
        <v>0</v>
      </c>
      <c r="M126" s="16">
        <f>IFERROR(AVERAGEIF('Production Batches'!$C:$C,F126,'Production Batches'!$L:$L),0)</f>
        <v>0</v>
      </c>
      <c r="N126" s="16">
        <f t="shared" si="5"/>
        <v>0</v>
      </c>
      <c r="P126" s="11"/>
      <c r="Q126" s="30"/>
    </row>
    <row r="127" spans="2:17">
      <c r="B127" s="30"/>
      <c r="C127" s="11"/>
      <c r="D127" s="11"/>
      <c r="E127" t="str">
        <f>IFERROR(VLOOKUP(D127,Customers!$A:$B,2,FALSE),"")</f>
        <v/>
      </c>
      <c r="F127" s="11"/>
      <c r="G127" t="str">
        <f>IFERROR(VLOOKUP(F127,'Products Index'!$A:$B,2,FALSE),"")</f>
        <v/>
      </c>
      <c r="H127" s="11"/>
      <c r="I127" s="12"/>
      <c r="J127" s="15"/>
      <c r="K127" s="16">
        <f t="shared" si="3"/>
        <v>0</v>
      </c>
      <c r="L127" s="16">
        <f t="shared" si="4"/>
        <v>0</v>
      </c>
      <c r="M127" s="16">
        <f>IFERROR(AVERAGEIF('Production Batches'!$C:$C,F127,'Production Batches'!$L:$L),0)</f>
        <v>0</v>
      </c>
      <c r="N127" s="16">
        <f t="shared" si="5"/>
        <v>0</v>
      </c>
      <c r="P127" s="11"/>
      <c r="Q127" s="30"/>
    </row>
    <row r="128" spans="2:17">
      <c r="B128" s="30"/>
      <c r="C128" s="11"/>
      <c r="D128" s="11"/>
      <c r="E128" t="str">
        <f>IFERROR(VLOOKUP(D128,Customers!$A:$B,2,FALSE),"")</f>
        <v/>
      </c>
      <c r="F128" s="11"/>
      <c r="G128" t="str">
        <f>IFERROR(VLOOKUP(F128,'Products Index'!$A:$B,2,FALSE),"")</f>
        <v/>
      </c>
      <c r="H128" s="11"/>
      <c r="I128" s="12"/>
      <c r="J128" s="15"/>
      <c r="K128" s="16">
        <f t="shared" si="3"/>
        <v>0</v>
      </c>
      <c r="L128" s="16">
        <f t="shared" si="4"/>
        <v>0</v>
      </c>
      <c r="M128" s="16">
        <f>IFERROR(AVERAGEIF('Production Batches'!$C:$C,F128,'Production Batches'!$L:$L),0)</f>
        <v>0</v>
      </c>
      <c r="N128" s="16">
        <f t="shared" si="5"/>
        <v>0</v>
      </c>
      <c r="P128" s="11"/>
      <c r="Q128" s="30"/>
    </row>
    <row r="129" spans="2:17">
      <c r="B129" s="30"/>
      <c r="C129" s="11"/>
      <c r="D129" s="11"/>
      <c r="E129" t="str">
        <f>IFERROR(VLOOKUP(D129,Customers!$A:$B,2,FALSE),"")</f>
        <v/>
      </c>
      <c r="F129" s="11"/>
      <c r="G129" t="str">
        <f>IFERROR(VLOOKUP(F129,'Products Index'!$A:$B,2,FALSE),"")</f>
        <v/>
      </c>
      <c r="H129" s="11"/>
      <c r="I129" s="12"/>
      <c r="J129" s="15"/>
      <c r="K129" s="16">
        <f t="shared" si="3"/>
        <v>0</v>
      </c>
      <c r="L129" s="16">
        <f t="shared" si="4"/>
        <v>0</v>
      </c>
      <c r="M129" s="16">
        <f>IFERROR(AVERAGEIF('Production Batches'!$C:$C,F129,'Production Batches'!$L:$L),0)</f>
        <v>0</v>
      </c>
      <c r="N129" s="16">
        <f t="shared" si="5"/>
        <v>0</v>
      </c>
      <c r="P129" s="11"/>
      <c r="Q129" s="30"/>
    </row>
    <row r="130" spans="2:17">
      <c r="B130" s="30"/>
      <c r="C130" s="11"/>
      <c r="D130" s="11"/>
      <c r="E130" t="str">
        <f>IFERROR(VLOOKUP(D130,Customers!$A:$B,2,FALSE),"")</f>
        <v/>
      </c>
      <c r="F130" s="11"/>
      <c r="G130" t="str">
        <f>IFERROR(VLOOKUP(F130,'Products Index'!$A:$B,2,FALSE),"")</f>
        <v/>
      </c>
      <c r="H130" s="11"/>
      <c r="I130" s="12"/>
      <c r="J130" s="15"/>
      <c r="K130" s="16">
        <f t="shared" ref="K130:K193" si="6">IFERROR(I130*(1-J130),0)</f>
        <v>0</v>
      </c>
      <c r="L130" s="16">
        <f t="shared" ref="L130:L193" si="7">IFERROR(K130*H130,0)</f>
        <v>0</v>
      </c>
      <c r="M130" s="16">
        <f>IFERROR(AVERAGEIF('Production Batches'!$C:$C,F130,'Production Batches'!$L:$L),0)</f>
        <v>0</v>
      </c>
      <c r="N130" s="16">
        <f t="shared" ref="N130:N193" si="8">IFERROR(L130-(M130*H130),0)</f>
        <v>0</v>
      </c>
      <c r="P130" s="11"/>
      <c r="Q130" s="30"/>
    </row>
    <row r="131" spans="2:17">
      <c r="B131" s="30"/>
      <c r="C131" s="11"/>
      <c r="D131" s="11"/>
      <c r="E131" t="str">
        <f>IFERROR(VLOOKUP(D131,Customers!$A:$B,2,FALSE),"")</f>
        <v/>
      </c>
      <c r="F131" s="11"/>
      <c r="G131" t="str">
        <f>IFERROR(VLOOKUP(F131,'Products Index'!$A:$B,2,FALSE),"")</f>
        <v/>
      </c>
      <c r="H131" s="11"/>
      <c r="I131" s="12"/>
      <c r="J131" s="15"/>
      <c r="K131" s="16">
        <f t="shared" si="6"/>
        <v>0</v>
      </c>
      <c r="L131" s="16">
        <f t="shared" si="7"/>
        <v>0</v>
      </c>
      <c r="M131" s="16">
        <f>IFERROR(AVERAGEIF('Production Batches'!$C:$C,F131,'Production Batches'!$L:$L),0)</f>
        <v>0</v>
      </c>
      <c r="N131" s="16">
        <f t="shared" si="8"/>
        <v>0</v>
      </c>
      <c r="P131" s="11"/>
      <c r="Q131" s="30"/>
    </row>
    <row r="132" spans="2:17">
      <c r="B132" s="30"/>
      <c r="C132" s="11"/>
      <c r="D132" s="11"/>
      <c r="E132" t="str">
        <f>IFERROR(VLOOKUP(D132,Customers!$A:$B,2,FALSE),"")</f>
        <v/>
      </c>
      <c r="F132" s="11"/>
      <c r="G132" t="str">
        <f>IFERROR(VLOOKUP(F132,'Products Index'!$A:$B,2,FALSE),"")</f>
        <v/>
      </c>
      <c r="H132" s="11"/>
      <c r="I132" s="12"/>
      <c r="J132" s="15"/>
      <c r="K132" s="16">
        <f t="shared" si="6"/>
        <v>0</v>
      </c>
      <c r="L132" s="16">
        <f t="shared" si="7"/>
        <v>0</v>
      </c>
      <c r="M132" s="16">
        <f>IFERROR(AVERAGEIF('Production Batches'!$C:$C,F132,'Production Batches'!$L:$L),0)</f>
        <v>0</v>
      </c>
      <c r="N132" s="16">
        <f t="shared" si="8"/>
        <v>0</v>
      </c>
      <c r="P132" s="11"/>
      <c r="Q132" s="30"/>
    </row>
    <row r="133" spans="2:17">
      <c r="B133" s="30"/>
      <c r="C133" s="11"/>
      <c r="D133" s="11"/>
      <c r="E133" t="str">
        <f>IFERROR(VLOOKUP(D133,Customers!$A:$B,2,FALSE),"")</f>
        <v/>
      </c>
      <c r="F133" s="11"/>
      <c r="G133" t="str">
        <f>IFERROR(VLOOKUP(F133,'Products Index'!$A:$B,2,FALSE),"")</f>
        <v/>
      </c>
      <c r="H133" s="11"/>
      <c r="I133" s="12"/>
      <c r="J133" s="15"/>
      <c r="K133" s="16">
        <f t="shared" si="6"/>
        <v>0</v>
      </c>
      <c r="L133" s="16">
        <f t="shared" si="7"/>
        <v>0</v>
      </c>
      <c r="M133" s="16">
        <f>IFERROR(AVERAGEIF('Production Batches'!$C:$C,F133,'Production Batches'!$L:$L),0)</f>
        <v>0</v>
      </c>
      <c r="N133" s="16">
        <f t="shared" si="8"/>
        <v>0</v>
      </c>
      <c r="P133" s="11"/>
      <c r="Q133" s="30"/>
    </row>
    <row r="134" spans="2:17">
      <c r="B134" s="30"/>
      <c r="C134" s="11"/>
      <c r="D134" s="11"/>
      <c r="E134" t="str">
        <f>IFERROR(VLOOKUP(D134,Customers!$A:$B,2,FALSE),"")</f>
        <v/>
      </c>
      <c r="F134" s="11"/>
      <c r="G134" t="str">
        <f>IFERROR(VLOOKUP(F134,'Products Index'!$A:$B,2,FALSE),"")</f>
        <v/>
      </c>
      <c r="H134" s="11"/>
      <c r="I134" s="12"/>
      <c r="J134" s="15"/>
      <c r="K134" s="16">
        <f t="shared" si="6"/>
        <v>0</v>
      </c>
      <c r="L134" s="16">
        <f t="shared" si="7"/>
        <v>0</v>
      </c>
      <c r="M134" s="16">
        <f>IFERROR(AVERAGEIF('Production Batches'!$C:$C,F134,'Production Batches'!$L:$L),0)</f>
        <v>0</v>
      </c>
      <c r="N134" s="16">
        <f t="shared" si="8"/>
        <v>0</v>
      </c>
      <c r="P134" s="11"/>
      <c r="Q134" s="30"/>
    </row>
    <row r="135" spans="2:17">
      <c r="B135" s="30"/>
      <c r="C135" s="11"/>
      <c r="D135" s="11"/>
      <c r="E135" t="str">
        <f>IFERROR(VLOOKUP(D135,Customers!$A:$B,2,FALSE),"")</f>
        <v/>
      </c>
      <c r="F135" s="11"/>
      <c r="G135" t="str">
        <f>IFERROR(VLOOKUP(F135,'Products Index'!$A:$B,2,FALSE),"")</f>
        <v/>
      </c>
      <c r="H135" s="11"/>
      <c r="I135" s="12"/>
      <c r="J135" s="15"/>
      <c r="K135" s="16">
        <f t="shared" si="6"/>
        <v>0</v>
      </c>
      <c r="L135" s="16">
        <f t="shared" si="7"/>
        <v>0</v>
      </c>
      <c r="M135" s="16">
        <f>IFERROR(AVERAGEIF('Production Batches'!$C:$C,F135,'Production Batches'!$L:$L),0)</f>
        <v>0</v>
      </c>
      <c r="N135" s="16">
        <f t="shared" si="8"/>
        <v>0</v>
      </c>
      <c r="P135" s="11"/>
      <c r="Q135" s="30"/>
    </row>
    <row r="136" spans="2:17">
      <c r="B136" s="30"/>
      <c r="C136" s="11"/>
      <c r="D136" s="11"/>
      <c r="E136" t="str">
        <f>IFERROR(VLOOKUP(D136,Customers!$A:$B,2,FALSE),"")</f>
        <v/>
      </c>
      <c r="F136" s="11"/>
      <c r="G136" t="str">
        <f>IFERROR(VLOOKUP(F136,'Products Index'!$A:$B,2,FALSE),"")</f>
        <v/>
      </c>
      <c r="H136" s="11"/>
      <c r="I136" s="12"/>
      <c r="J136" s="15"/>
      <c r="K136" s="16">
        <f t="shared" si="6"/>
        <v>0</v>
      </c>
      <c r="L136" s="16">
        <f t="shared" si="7"/>
        <v>0</v>
      </c>
      <c r="M136" s="16">
        <f>IFERROR(AVERAGEIF('Production Batches'!$C:$C,F136,'Production Batches'!$L:$L),0)</f>
        <v>0</v>
      </c>
      <c r="N136" s="16">
        <f t="shared" si="8"/>
        <v>0</v>
      </c>
      <c r="P136" s="11"/>
      <c r="Q136" s="30"/>
    </row>
    <row r="137" spans="2:17">
      <c r="B137" s="30"/>
      <c r="C137" s="11"/>
      <c r="D137" s="11"/>
      <c r="E137" t="str">
        <f>IFERROR(VLOOKUP(D137,Customers!$A:$B,2,FALSE),"")</f>
        <v/>
      </c>
      <c r="F137" s="11"/>
      <c r="G137" t="str">
        <f>IFERROR(VLOOKUP(F137,'Products Index'!$A:$B,2,FALSE),"")</f>
        <v/>
      </c>
      <c r="H137" s="11"/>
      <c r="I137" s="12"/>
      <c r="J137" s="15"/>
      <c r="K137" s="16">
        <f t="shared" si="6"/>
        <v>0</v>
      </c>
      <c r="L137" s="16">
        <f t="shared" si="7"/>
        <v>0</v>
      </c>
      <c r="M137" s="16">
        <f>IFERROR(AVERAGEIF('Production Batches'!$C:$C,F137,'Production Batches'!$L:$L),0)</f>
        <v>0</v>
      </c>
      <c r="N137" s="16">
        <f t="shared" si="8"/>
        <v>0</v>
      </c>
      <c r="P137" s="11"/>
      <c r="Q137" s="30"/>
    </row>
    <row r="138" spans="2:17">
      <c r="B138" s="30"/>
      <c r="C138" s="11"/>
      <c r="D138" s="11"/>
      <c r="E138" t="str">
        <f>IFERROR(VLOOKUP(D138,Customers!$A:$B,2,FALSE),"")</f>
        <v/>
      </c>
      <c r="F138" s="11"/>
      <c r="G138" t="str">
        <f>IFERROR(VLOOKUP(F138,'Products Index'!$A:$B,2,FALSE),"")</f>
        <v/>
      </c>
      <c r="H138" s="11"/>
      <c r="I138" s="12"/>
      <c r="J138" s="15"/>
      <c r="K138" s="16">
        <f t="shared" si="6"/>
        <v>0</v>
      </c>
      <c r="L138" s="16">
        <f t="shared" si="7"/>
        <v>0</v>
      </c>
      <c r="M138" s="16">
        <f>IFERROR(AVERAGEIF('Production Batches'!$C:$C,F138,'Production Batches'!$L:$L),0)</f>
        <v>0</v>
      </c>
      <c r="N138" s="16">
        <f t="shared" si="8"/>
        <v>0</v>
      </c>
      <c r="P138" s="11"/>
      <c r="Q138" s="30"/>
    </row>
    <row r="139" spans="2:17">
      <c r="B139" s="30"/>
      <c r="C139" s="11"/>
      <c r="D139" s="11"/>
      <c r="E139" t="str">
        <f>IFERROR(VLOOKUP(D139,Customers!$A:$B,2,FALSE),"")</f>
        <v/>
      </c>
      <c r="F139" s="11"/>
      <c r="G139" t="str">
        <f>IFERROR(VLOOKUP(F139,'Products Index'!$A:$B,2,FALSE),"")</f>
        <v/>
      </c>
      <c r="H139" s="11"/>
      <c r="I139" s="12"/>
      <c r="J139" s="15"/>
      <c r="K139" s="16">
        <f t="shared" si="6"/>
        <v>0</v>
      </c>
      <c r="L139" s="16">
        <f t="shared" si="7"/>
        <v>0</v>
      </c>
      <c r="M139" s="16">
        <f>IFERROR(AVERAGEIF('Production Batches'!$C:$C,F139,'Production Batches'!$L:$L),0)</f>
        <v>0</v>
      </c>
      <c r="N139" s="16">
        <f t="shared" si="8"/>
        <v>0</v>
      </c>
      <c r="P139" s="11"/>
      <c r="Q139" s="30"/>
    </row>
    <row r="140" spans="2:17">
      <c r="B140" s="30"/>
      <c r="C140" s="11"/>
      <c r="D140" s="11"/>
      <c r="E140" t="str">
        <f>IFERROR(VLOOKUP(D140,Customers!$A:$B,2,FALSE),"")</f>
        <v/>
      </c>
      <c r="F140" s="11"/>
      <c r="G140" t="str">
        <f>IFERROR(VLOOKUP(F140,'Products Index'!$A:$B,2,FALSE),"")</f>
        <v/>
      </c>
      <c r="H140" s="11"/>
      <c r="I140" s="12"/>
      <c r="J140" s="15"/>
      <c r="K140" s="16">
        <f t="shared" si="6"/>
        <v>0</v>
      </c>
      <c r="L140" s="16">
        <f t="shared" si="7"/>
        <v>0</v>
      </c>
      <c r="M140" s="16">
        <f>IFERROR(AVERAGEIF('Production Batches'!$C:$C,F140,'Production Batches'!$L:$L),0)</f>
        <v>0</v>
      </c>
      <c r="N140" s="16">
        <f t="shared" si="8"/>
        <v>0</v>
      </c>
      <c r="P140" s="11"/>
      <c r="Q140" s="30"/>
    </row>
    <row r="141" spans="2:17">
      <c r="B141" s="30"/>
      <c r="C141" s="11"/>
      <c r="D141" s="11"/>
      <c r="E141" t="str">
        <f>IFERROR(VLOOKUP(D141,Customers!$A:$B,2,FALSE),"")</f>
        <v/>
      </c>
      <c r="F141" s="11"/>
      <c r="G141" t="str">
        <f>IFERROR(VLOOKUP(F141,'Products Index'!$A:$B,2,FALSE),"")</f>
        <v/>
      </c>
      <c r="H141" s="11"/>
      <c r="I141" s="12"/>
      <c r="J141" s="15"/>
      <c r="K141" s="16">
        <f t="shared" si="6"/>
        <v>0</v>
      </c>
      <c r="L141" s="16">
        <f t="shared" si="7"/>
        <v>0</v>
      </c>
      <c r="M141" s="16">
        <f>IFERROR(AVERAGEIF('Production Batches'!$C:$C,F141,'Production Batches'!$L:$L),0)</f>
        <v>0</v>
      </c>
      <c r="N141" s="16">
        <f t="shared" si="8"/>
        <v>0</v>
      </c>
      <c r="P141" s="11"/>
      <c r="Q141" s="30"/>
    </row>
    <row r="142" spans="2:17">
      <c r="B142" s="30"/>
      <c r="C142" s="11"/>
      <c r="D142" s="11"/>
      <c r="E142" t="str">
        <f>IFERROR(VLOOKUP(D142,Customers!$A:$B,2,FALSE),"")</f>
        <v/>
      </c>
      <c r="F142" s="11"/>
      <c r="G142" t="str">
        <f>IFERROR(VLOOKUP(F142,'Products Index'!$A:$B,2,FALSE),"")</f>
        <v/>
      </c>
      <c r="H142" s="11"/>
      <c r="I142" s="12"/>
      <c r="J142" s="15"/>
      <c r="K142" s="16">
        <f t="shared" si="6"/>
        <v>0</v>
      </c>
      <c r="L142" s="16">
        <f t="shared" si="7"/>
        <v>0</v>
      </c>
      <c r="M142" s="16">
        <f>IFERROR(AVERAGEIF('Production Batches'!$C:$C,F142,'Production Batches'!$L:$L),0)</f>
        <v>0</v>
      </c>
      <c r="N142" s="16">
        <f t="shared" si="8"/>
        <v>0</v>
      </c>
      <c r="P142" s="11"/>
      <c r="Q142" s="30"/>
    </row>
    <row r="143" spans="2:17">
      <c r="B143" s="30"/>
      <c r="C143" s="11"/>
      <c r="D143" s="11"/>
      <c r="E143" t="str">
        <f>IFERROR(VLOOKUP(D143,Customers!$A:$B,2,FALSE),"")</f>
        <v/>
      </c>
      <c r="F143" s="11"/>
      <c r="G143" t="str">
        <f>IFERROR(VLOOKUP(F143,'Products Index'!$A:$B,2,FALSE),"")</f>
        <v/>
      </c>
      <c r="H143" s="11"/>
      <c r="I143" s="12"/>
      <c r="J143" s="15"/>
      <c r="K143" s="16">
        <f t="shared" si="6"/>
        <v>0</v>
      </c>
      <c r="L143" s="16">
        <f t="shared" si="7"/>
        <v>0</v>
      </c>
      <c r="M143" s="16">
        <f>IFERROR(AVERAGEIF('Production Batches'!$C:$C,F143,'Production Batches'!$L:$L),0)</f>
        <v>0</v>
      </c>
      <c r="N143" s="16">
        <f t="shared" si="8"/>
        <v>0</v>
      </c>
      <c r="P143" s="11"/>
      <c r="Q143" s="30"/>
    </row>
    <row r="144" spans="2:17">
      <c r="B144" s="30"/>
      <c r="C144" s="11"/>
      <c r="D144" s="11"/>
      <c r="E144" t="str">
        <f>IFERROR(VLOOKUP(D144,Customers!$A:$B,2,FALSE),"")</f>
        <v/>
      </c>
      <c r="F144" s="11"/>
      <c r="G144" t="str">
        <f>IFERROR(VLOOKUP(F144,'Products Index'!$A:$B,2,FALSE),"")</f>
        <v/>
      </c>
      <c r="H144" s="11"/>
      <c r="I144" s="12"/>
      <c r="J144" s="15"/>
      <c r="K144" s="16">
        <f t="shared" si="6"/>
        <v>0</v>
      </c>
      <c r="L144" s="16">
        <f t="shared" si="7"/>
        <v>0</v>
      </c>
      <c r="M144" s="16">
        <f>IFERROR(AVERAGEIF('Production Batches'!$C:$C,F144,'Production Batches'!$L:$L),0)</f>
        <v>0</v>
      </c>
      <c r="N144" s="16">
        <f t="shared" si="8"/>
        <v>0</v>
      </c>
      <c r="P144" s="11"/>
      <c r="Q144" s="30"/>
    </row>
    <row r="145" spans="2:17">
      <c r="B145" s="30"/>
      <c r="C145" s="11"/>
      <c r="D145" s="11"/>
      <c r="E145" t="str">
        <f>IFERROR(VLOOKUP(D145,Customers!$A:$B,2,FALSE),"")</f>
        <v/>
      </c>
      <c r="F145" s="11"/>
      <c r="G145" t="str">
        <f>IFERROR(VLOOKUP(F145,'Products Index'!$A:$B,2,FALSE),"")</f>
        <v/>
      </c>
      <c r="H145" s="11"/>
      <c r="I145" s="12"/>
      <c r="J145" s="15"/>
      <c r="K145" s="16">
        <f t="shared" si="6"/>
        <v>0</v>
      </c>
      <c r="L145" s="16">
        <f t="shared" si="7"/>
        <v>0</v>
      </c>
      <c r="M145" s="16">
        <f>IFERROR(AVERAGEIF('Production Batches'!$C:$C,F145,'Production Batches'!$L:$L),0)</f>
        <v>0</v>
      </c>
      <c r="N145" s="16">
        <f t="shared" si="8"/>
        <v>0</v>
      </c>
      <c r="P145" s="11"/>
      <c r="Q145" s="30"/>
    </row>
    <row r="146" spans="2:17">
      <c r="B146" s="30"/>
      <c r="C146" s="11"/>
      <c r="D146" s="11"/>
      <c r="E146" t="str">
        <f>IFERROR(VLOOKUP(D146,Customers!$A:$B,2,FALSE),"")</f>
        <v/>
      </c>
      <c r="F146" s="11"/>
      <c r="G146" t="str">
        <f>IFERROR(VLOOKUP(F146,'Products Index'!$A:$B,2,FALSE),"")</f>
        <v/>
      </c>
      <c r="H146" s="11"/>
      <c r="I146" s="12"/>
      <c r="J146" s="15"/>
      <c r="K146" s="16">
        <f t="shared" si="6"/>
        <v>0</v>
      </c>
      <c r="L146" s="16">
        <f t="shared" si="7"/>
        <v>0</v>
      </c>
      <c r="M146" s="16">
        <f>IFERROR(AVERAGEIF('Production Batches'!$C:$C,F146,'Production Batches'!$L:$L),0)</f>
        <v>0</v>
      </c>
      <c r="N146" s="16">
        <f t="shared" si="8"/>
        <v>0</v>
      </c>
      <c r="P146" s="11"/>
      <c r="Q146" s="30"/>
    </row>
    <row r="147" spans="2:17">
      <c r="B147" s="30"/>
      <c r="C147" s="11"/>
      <c r="D147" s="11"/>
      <c r="E147" t="str">
        <f>IFERROR(VLOOKUP(D147,Customers!$A:$B,2,FALSE),"")</f>
        <v/>
      </c>
      <c r="F147" s="11"/>
      <c r="G147" t="str">
        <f>IFERROR(VLOOKUP(F147,'Products Index'!$A:$B,2,FALSE),"")</f>
        <v/>
      </c>
      <c r="H147" s="11"/>
      <c r="I147" s="12"/>
      <c r="J147" s="15"/>
      <c r="K147" s="16">
        <f t="shared" si="6"/>
        <v>0</v>
      </c>
      <c r="L147" s="16">
        <f t="shared" si="7"/>
        <v>0</v>
      </c>
      <c r="M147" s="16">
        <f>IFERROR(AVERAGEIF('Production Batches'!$C:$C,F147,'Production Batches'!$L:$L),0)</f>
        <v>0</v>
      </c>
      <c r="N147" s="16">
        <f t="shared" si="8"/>
        <v>0</v>
      </c>
      <c r="P147" s="11"/>
      <c r="Q147" s="30"/>
    </row>
    <row r="148" spans="2:17">
      <c r="B148" s="30"/>
      <c r="C148" s="11"/>
      <c r="D148" s="11"/>
      <c r="E148" t="str">
        <f>IFERROR(VLOOKUP(D148,Customers!$A:$B,2,FALSE),"")</f>
        <v/>
      </c>
      <c r="F148" s="11"/>
      <c r="G148" t="str">
        <f>IFERROR(VLOOKUP(F148,'Products Index'!$A:$B,2,FALSE),"")</f>
        <v/>
      </c>
      <c r="H148" s="11"/>
      <c r="I148" s="12"/>
      <c r="J148" s="15"/>
      <c r="K148" s="16">
        <f t="shared" si="6"/>
        <v>0</v>
      </c>
      <c r="L148" s="16">
        <f t="shared" si="7"/>
        <v>0</v>
      </c>
      <c r="M148" s="16">
        <f>IFERROR(AVERAGEIF('Production Batches'!$C:$C,F148,'Production Batches'!$L:$L),0)</f>
        <v>0</v>
      </c>
      <c r="N148" s="16">
        <f t="shared" si="8"/>
        <v>0</v>
      </c>
      <c r="P148" s="11"/>
      <c r="Q148" s="30"/>
    </row>
    <row r="149" spans="2:17">
      <c r="B149" s="30"/>
      <c r="C149" s="11"/>
      <c r="D149" s="11"/>
      <c r="E149" t="str">
        <f>IFERROR(VLOOKUP(D149,Customers!$A:$B,2,FALSE),"")</f>
        <v/>
      </c>
      <c r="F149" s="11"/>
      <c r="G149" t="str">
        <f>IFERROR(VLOOKUP(F149,'Products Index'!$A:$B,2,FALSE),"")</f>
        <v/>
      </c>
      <c r="H149" s="11"/>
      <c r="I149" s="12"/>
      <c r="J149" s="15"/>
      <c r="K149" s="16">
        <f t="shared" si="6"/>
        <v>0</v>
      </c>
      <c r="L149" s="16">
        <f t="shared" si="7"/>
        <v>0</v>
      </c>
      <c r="M149" s="16">
        <f>IFERROR(AVERAGEIF('Production Batches'!$C:$C,F149,'Production Batches'!$L:$L),0)</f>
        <v>0</v>
      </c>
      <c r="N149" s="16">
        <f t="shared" si="8"/>
        <v>0</v>
      </c>
      <c r="P149" s="11"/>
      <c r="Q149" s="30"/>
    </row>
    <row r="150" spans="2:17">
      <c r="B150" s="30"/>
      <c r="C150" s="11"/>
      <c r="D150" s="11"/>
      <c r="E150" t="str">
        <f>IFERROR(VLOOKUP(D150,Customers!$A:$B,2,FALSE),"")</f>
        <v/>
      </c>
      <c r="F150" s="11"/>
      <c r="G150" t="str">
        <f>IFERROR(VLOOKUP(F150,'Products Index'!$A:$B,2,FALSE),"")</f>
        <v/>
      </c>
      <c r="H150" s="11"/>
      <c r="I150" s="12"/>
      <c r="J150" s="15"/>
      <c r="K150" s="16">
        <f t="shared" si="6"/>
        <v>0</v>
      </c>
      <c r="L150" s="16">
        <f t="shared" si="7"/>
        <v>0</v>
      </c>
      <c r="M150" s="16">
        <f>IFERROR(AVERAGEIF('Production Batches'!$C:$C,F150,'Production Batches'!$L:$L),0)</f>
        <v>0</v>
      </c>
      <c r="N150" s="16">
        <f t="shared" si="8"/>
        <v>0</v>
      </c>
      <c r="P150" s="11"/>
      <c r="Q150" s="30"/>
    </row>
    <row r="151" spans="2:17">
      <c r="B151" s="30"/>
      <c r="C151" s="11"/>
      <c r="D151" s="11"/>
      <c r="E151" t="str">
        <f>IFERROR(VLOOKUP(D151,Customers!$A:$B,2,FALSE),"")</f>
        <v/>
      </c>
      <c r="F151" s="11"/>
      <c r="G151" t="str">
        <f>IFERROR(VLOOKUP(F151,'Products Index'!$A:$B,2,FALSE),"")</f>
        <v/>
      </c>
      <c r="H151" s="11"/>
      <c r="I151" s="12"/>
      <c r="J151" s="15"/>
      <c r="K151" s="16">
        <f t="shared" si="6"/>
        <v>0</v>
      </c>
      <c r="L151" s="16">
        <f t="shared" si="7"/>
        <v>0</v>
      </c>
      <c r="M151" s="16">
        <f>IFERROR(AVERAGEIF('Production Batches'!$C:$C,F151,'Production Batches'!$L:$L),0)</f>
        <v>0</v>
      </c>
      <c r="N151" s="16">
        <f t="shared" si="8"/>
        <v>0</v>
      </c>
      <c r="P151" s="11"/>
      <c r="Q151" s="30"/>
    </row>
    <row r="152" spans="2:17">
      <c r="B152" s="30"/>
      <c r="C152" s="11"/>
      <c r="D152" s="11"/>
      <c r="E152" t="str">
        <f>IFERROR(VLOOKUP(D152,Customers!$A:$B,2,FALSE),"")</f>
        <v/>
      </c>
      <c r="F152" s="11"/>
      <c r="G152" t="str">
        <f>IFERROR(VLOOKUP(F152,'Products Index'!$A:$B,2,FALSE),"")</f>
        <v/>
      </c>
      <c r="H152" s="11"/>
      <c r="I152" s="12"/>
      <c r="J152" s="15"/>
      <c r="K152" s="16">
        <f t="shared" si="6"/>
        <v>0</v>
      </c>
      <c r="L152" s="16">
        <f t="shared" si="7"/>
        <v>0</v>
      </c>
      <c r="M152" s="16">
        <f>IFERROR(AVERAGEIF('Production Batches'!$C:$C,F152,'Production Batches'!$L:$L),0)</f>
        <v>0</v>
      </c>
      <c r="N152" s="16">
        <f t="shared" si="8"/>
        <v>0</v>
      </c>
      <c r="P152" s="11"/>
      <c r="Q152" s="30"/>
    </row>
    <row r="153" spans="2:17">
      <c r="B153" s="30"/>
      <c r="C153" s="11"/>
      <c r="D153" s="11"/>
      <c r="E153" t="str">
        <f>IFERROR(VLOOKUP(D153,Customers!$A:$B,2,FALSE),"")</f>
        <v/>
      </c>
      <c r="F153" s="11"/>
      <c r="G153" t="str">
        <f>IFERROR(VLOOKUP(F153,'Products Index'!$A:$B,2,FALSE),"")</f>
        <v/>
      </c>
      <c r="H153" s="11"/>
      <c r="I153" s="12"/>
      <c r="J153" s="15"/>
      <c r="K153" s="16">
        <f t="shared" si="6"/>
        <v>0</v>
      </c>
      <c r="L153" s="16">
        <f t="shared" si="7"/>
        <v>0</v>
      </c>
      <c r="M153" s="16">
        <f>IFERROR(AVERAGEIF('Production Batches'!$C:$C,F153,'Production Batches'!$L:$L),0)</f>
        <v>0</v>
      </c>
      <c r="N153" s="16">
        <f t="shared" si="8"/>
        <v>0</v>
      </c>
      <c r="P153" s="11"/>
      <c r="Q153" s="30"/>
    </row>
    <row r="154" spans="2:17">
      <c r="B154" s="30"/>
      <c r="C154" s="11"/>
      <c r="D154" s="11"/>
      <c r="E154" t="str">
        <f>IFERROR(VLOOKUP(D154,Customers!$A:$B,2,FALSE),"")</f>
        <v/>
      </c>
      <c r="F154" s="11"/>
      <c r="G154" t="str">
        <f>IFERROR(VLOOKUP(F154,'Products Index'!$A:$B,2,FALSE),"")</f>
        <v/>
      </c>
      <c r="H154" s="11"/>
      <c r="I154" s="12"/>
      <c r="J154" s="15"/>
      <c r="K154" s="16">
        <f t="shared" si="6"/>
        <v>0</v>
      </c>
      <c r="L154" s="16">
        <f t="shared" si="7"/>
        <v>0</v>
      </c>
      <c r="M154" s="16">
        <f>IFERROR(AVERAGEIF('Production Batches'!$C:$C,F154,'Production Batches'!$L:$L),0)</f>
        <v>0</v>
      </c>
      <c r="N154" s="16">
        <f t="shared" si="8"/>
        <v>0</v>
      </c>
      <c r="P154" s="11"/>
      <c r="Q154" s="30"/>
    </row>
    <row r="155" spans="2:17">
      <c r="B155" s="30"/>
      <c r="C155" s="11"/>
      <c r="D155" s="11"/>
      <c r="E155" t="str">
        <f>IFERROR(VLOOKUP(D155,Customers!$A:$B,2,FALSE),"")</f>
        <v/>
      </c>
      <c r="F155" s="11"/>
      <c r="G155" t="str">
        <f>IFERROR(VLOOKUP(F155,'Products Index'!$A:$B,2,FALSE),"")</f>
        <v/>
      </c>
      <c r="H155" s="11"/>
      <c r="I155" s="12"/>
      <c r="J155" s="15"/>
      <c r="K155" s="16">
        <f t="shared" si="6"/>
        <v>0</v>
      </c>
      <c r="L155" s="16">
        <f t="shared" si="7"/>
        <v>0</v>
      </c>
      <c r="M155" s="16">
        <f>IFERROR(AVERAGEIF('Production Batches'!$C:$C,F155,'Production Batches'!$L:$L),0)</f>
        <v>0</v>
      </c>
      <c r="N155" s="16">
        <f t="shared" si="8"/>
        <v>0</v>
      </c>
      <c r="P155" s="11"/>
      <c r="Q155" s="30"/>
    </row>
    <row r="156" spans="2:17">
      <c r="B156" s="30"/>
      <c r="C156" s="11"/>
      <c r="D156" s="11"/>
      <c r="E156" t="str">
        <f>IFERROR(VLOOKUP(D156,Customers!$A:$B,2,FALSE),"")</f>
        <v/>
      </c>
      <c r="F156" s="11"/>
      <c r="G156" t="str">
        <f>IFERROR(VLOOKUP(F156,'Products Index'!$A:$B,2,FALSE),"")</f>
        <v/>
      </c>
      <c r="H156" s="11"/>
      <c r="I156" s="12"/>
      <c r="J156" s="15"/>
      <c r="K156" s="16">
        <f t="shared" si="6"/>
        <v>0</v>
      </c>
      <c r="L156" s="16">
        <f t="shared" si="7"/>
        <v>0</v>
      </c>
      <c r="M156" s="16">
        <f>IFERROR(AVERAGEIF('Production Batches'!$C:$C,F156,'Production Batches'!$L:$L),0)</f>
        <v>0</v>
      </c>
      <c r="N156" s="16">
        <f t="shared" si="8"/>
        <v>0</v>
      </c>
      <c r="P156" s="11"/>
      <c r="Q156" s="30"/>
    </row>
    <row r="157" spans="2:17">
      <c r="B157" s="30"/>
      <c r="C157" s="11"/>
      <c r="D157" s="11"/>
      <c r="E157" t="str">
        <f>IFERROR(VLOOKUP(D157,Customers!$A:$B,2,FALSE),"")</f>
        <v/>
      </c>
      <c r="F157" s="11"/>
      <c r="G157" t="str">
        <f>IFERROR(VLOOKUP(F157,'Products Index'!$A:$B,2,FALSE),"")</f>
        <v/>
      </c>
      <c r="H157" s="11"/>
      <c r="I157" s="12"/>
      <c r="J157" s="15"/>
      <c r="K157" s="16">
        <f t="shared" si="6"/>
        <v>0</v>
      </c>
      <c r="L157" s="16">
        <f t="shared" si="7"/>
        <v>0</v>
      </c>
      <c r="M157" s="16">
        <f>IFERROR(AVERAGEIF('Production Batches'!$C:$C,F157,'Production Batches'!$L:$L),0)</f>
        <v>0</v>
      </c>
      <c r="N157" s="16">
        <f t="shared" si="8"/>
        <v>0</v>
      </c>
      <c r="P157" s="11"/>
      <c r="Q157" s="30"/>
    </row>
    <row r="158" spans="2:17">
      <c r="B158" s="30"/>
      <c r="C158" s="11"/>
      <c r="D158" s="11"/>
      <c r="E158" t="str">
        <f>IFERROR(VLOOKUP(D158,Customers!$A:$B,2,FALSE),"")</f>
        <v/>
      </c>
      <c r="F158" s="11"/>
      <c r="G158" t="str">
        <f>IFERROR(VLOOKUP(F158,'Products Index'!$A:$B,2,FALSE),"")</f>
        <v/>
      </c>
      <c r="H158" s="11"/>
      <c r="I158" s="12"/>
      <c r="J158" s="15"/>
      <c r="K158" s="16">
        <f t="shared" si="6"/>
        <v>0</v>
      </c>
      <c r="L158" s="16">
        <f t="shared" si="7"/>
        <v>0</v>
      </c>
      <c r="M158" s="16">
        <f>IFERROR(AVERAGEIF('Production Batches'!$C:$C,F158,'Production Batches'!$L:$L),0)</f>
        <v>0</v>
      </c>
      <c r="N158" s="16">
        <f t="shared" si="8"/>
        <v>0</v>
      </c>
      <c r="P158" s="11"/>
      <c r="Q158" s="30"/>
    </row>
    <row r="159" spans="2:17">
      <c r="B159" s="30"/>
      <c r="C159" s="11"/>
      <c r="D159" s="11"/>
      <c r="E159" t="str">
        <f>IFERROR(VLOOKUP(D159,Customers!$A:$B,2,FALSE),"")</f>
        <v/>
      </c>
      <c r="F159" s="11"/>
      <c r="G159" t="str">
        <f>IFERROR(VLOOKUP(F159,'Products Index'!$A:$B,2,FALSE),"")</f>
        <v/>
      </c>
      <c r="H159" s="11"/>
      <c r="I159" s="12"/>
      <c r="J159" s="15"/>
      <c r="K159" s="16">
        <f t="shared" si="6"/>
        <v>0</v>
      </c>
      <c r="L159" s="16">
        <f t="shared" si="7"/>
        <v>0</v>
      </c>
      <c r="M159" s="16">
        <f>IFERROR(AVERAGEIF('Production Batches'!$C:$C,F159,'Production Batches'!$L:$L),0)</f>
        <v>0</v>
      </c>
      <c r="N159" s="16">
        <f t="shared" si="8"/>
        <v>0</v>
      </c>
      <c r="P159" s="11"/>
      <c r="Q159" s="30"/>
    </row>
    <row r="160" spans="2:17">
      <c r="B160" s="30"/>
      <c r="C160" s="11"/>
      <c r="D160" s="11"/>
      <c r="E160" t="str">
        <f>IFERROR(VLOOKUP(D160,Customers!$A:$B,2,FALSE),"")</f>
        <v/>
      </c>
      <c r="F160" s="11"/>
      <c r="G160" t="str">
        <f>IFERROR(VLOOKUP(F160,'Products Index'!$A:$B,2,FALSE),"")</f>
        <v/>
      </c>
      <c r="H160" s="11"/>
      <c r="I160" s="12"/>
      <c r="J160" s="15"/>
      <c r="K160" s="16">
        <f t="shared" si="6"/>
        <v>0</v>
      </c>
      <c r="L160" s="16">
        <f t="shared" si="7"/>
        <v>0</v>
      </c>
      <c r="M160" s="16">
        <f>IFERROR(AVERAGEIF('Production Batches'!$C:$C,F160,'Production Batches'!$L:$L),0)</f>
        <v>0</v>
      </c>
      <c r="N160" s="16">
        <f t="shared" si="8"/>
        <v>0</v>
      </c>
      <c r="P160" s="11"/>
      <c r="Q160" s="30"/>
    </row>
    <row r="161" spans="2:17">
      <c r="B161" s="30"/>
      <c r="C161" s="11"/>
      <c r="D161" s="11"/>
      <c r="E161" t="str">
        <f>IFERROR(VLOOKUP(D161,Customers!$A:$B,2,FALSE),"")</f>
        <v/>
      </c>
      <c r="F161" s="11"/>
      <c r="G161" t="str">
        <f>IFERROR(VLOOKUP(F161,'Products Index'!$A:$B,2,FALSE),"")</f>
        <v/>
      </c>
      <c r="H161" s="11"/>
      <c r="I161" s="12"/>
      <c r="J161" s="15"/>
      <c r="K161" s="16">
        <f t="shared" si="6"/>
        <v>0</v>
      </c>
      <c r="L161" s="16">
        <f t="shared" si="7"/>
        <v>0</v>
      </c>
      <c r="M161" s="16">
        <f>IFERROR(AVERAGEIF('Production Batches'!$C:$C,F161,'Production Batches'!$L:$L),0)</f>
        <v>0</v>
      </c>
      <c r="N161" s="16">
        <f t="shared" si="8"/>
        <v>0</v>
      </c>
      <c r="P161" s="11"/>
      <c r="Q161" s="30"/>
    </row>
    <row r="162" spans="2:17">
      <c r="B162" s="30"/>
      <c r="C162" s="11"/>
      <c r="D162" s="11"/>
      <c r="E162" t="str">
        <f>IFERROR(VLOOKUP(D162,Customers!$A:$B,2,FALSE),"")</f>
        <v/>
      </c>
      <c r="F162" s="11"/>
      <c r="G162" t="str">
        <f>IFERROR(VLOOKUP(F162,'Products Index'!$A:$B,2,FALSE),"")</f>
        <v/>
      </c>
      <c r="H162" s="11"/>
      <c r="I162" s="12"/>
      <c r="J162" s="15"/>
      <c r="K162" s="16">
        <f t="shared" si="6"/>
        <v>0</v>
      </c>
      <c r="L162" s="16">
        <f t="shared" si="7"/>
        <v>0</v>
      </c>
      <c r="M162" s="16">
        <f>IFERROR(AVERAGEIF('Production Batches'!$C:$C,F162,'Production Batches'!$L:$L),0)</f>
        <v>0</v>
      </c>
      <c r="N162" s="16">
        <f t="shared" si="8"/>
        <v>0</v>
      </c>
      <c r="P162" s="11"/>
      <c r="Q162" s="30"/>
    </row>
    <row r="163" spans="2:17">
      <c r="B163" s="30"/>
      <c r="C163" s="11"/>
      <c r="D163" s="11"/>
      <c r="E163" t="str">
        <f>IFERROR(VLOOKUP(D163,Customers!$A:$B,2,FALSE),"")</f>
        <v/>
      </c>
      <c r="F163" s="11"/>
      <c r="G163" t="str">
        <f>IFERROR(VLOOKUP(F163,'Products Index'!$A:$B,2,FALSE),"")</f>
        <v/>
      </c>
      <c r="H163" s="11"/>
      <c r="I163" s="12"/>
      <c r="J163" s="15"/>
      <c r="K163" s="16">
        <f t="shared" si="6"/>
        <v>0</v>
      </c>
      <c r="L163" s="16">
        <f t="shared" si="7"/>
        <v>0</v>
      </c>
      <c r="M163" s="16">
        <f>IFERROR(AVERAGEIF('Production Batches'!$C:$C,F163,'Production Batches'!$L:$L),0)</f>
        <v>0</v>
      </c>
      <c r="N163" s="16">
        <f t="shared" si="8"/>
        <v>0</v>
      </c>
      <c r="P163" s="11"/>
      <c r="Q163" s="30"/>
    </row>
    <row r="164" spans="2:17">
      <c r="B164" s="30"/>
      <c r="C164" s="11"/>
      <c r="D164" s="11"/>
      <c r="E164" t="str">
        <f>IFERROR(VLOOKUP(D164,Customers!$A:$B,2,FALSE),"")</f>
        <v/>
      </c>
      <c r="F164" s="11"/>
      <c r="G164" t="str">
        <f>IFERROR(VLOOKUP(F164,'Products Index'!$A:$B,2,FALSE),"")</f>
        <v/>
      </c>
      <c r="H164" s="11"/>
      <c r="I164" s="12"/>
      <c r="J164" s="15"/>
      <c r="K164" s="16">
        <f t="shared" si="6"/>
        <v>0</v>
      </c>
      <c r="L164" s="16">
        <f t="shared" si="7"/>
        <v>0</v>
      </c>
      <c r="M164" s="16">
        <f>IFERROR(AVERAGEIF('Production Batches'!$C:$C,F164,'Production Batches'!$L:$L),0)</f>
        <v>0</v>
      </c>
      <c r="N164" s="16">
        <f t="shared" si="8"/>
        <v>0</v>
      </c>
      <c r="P164" s="11"/>
      <c r="Q164" s="30"/>
    </row>
    <row r="165" spans="2:17">
      <c r="B165" s="30"/>
      <c r="C165" s="11"/>
      <c r="D165" s="11"/>
      <c r="E165" t="str">
        <f>IFERROR(VLOOKUP(D165,Customers!$A:$B,2,FALSE),"")</f>
        <v/>
      </c>
      <c r="F165" s="11"/>
      <c r="G165" t="str">
        <f>IFERROR(VLOOKUP(F165,'Products Index'!$A:$B,2,FALSE),"")</f>
        <v/>
      </c>
      <c r="H165" s="11"/>
      <c r="I165" s="12"/>
      <c r="J165" s="15"/>
      <c r="K165" s="16">
        <f t="shared" si="6"/>
        <v>0</v>
      </c>
      <c r="L165" s="16">
        <f t="shared" si="7"/>
        <v>0</v>
      </c>
      <c r="M165" s="16">
        <f>IFERROR(AVERAGEIF('Production Batches'!$C:$C,F165,'Production Batches'!$L:$L),0)</f>
        <v>0</v>
      </c>
      <c r="N165" s="16">
        <f t="shared" si="8"/>
        <v>0</v>
      </c>
      <c r="P165" s="11"/>
      <c r="Q165" s="30"/>
    </row>
    <row r="166" spans="2:17">
      <c r="B166" s="30"/>
      <c r="C166" s="11"/>
      <c r="D166" s="11"/>
      <c r="E166" t="str">
        <f>IFERROR(VLOOKUP(D166,Customers!$A:$B,2,FALSE),"")</f>
        <v/>
      </c>
      <c r="F166" s="11"/>
      <c r="G166" t="str">
        <f>IFERROR(VLOOKUP(F166,'Products Index'!$A:$B,2,FALSE),"")</f>
        <v/>
      </c>
      <c r="H166" s="11"/>
      <c r="I166" s="12"/>
      <c r="J166" s="15"/>
      <c r="K166" s="16">
        <f t="shared" si="6"/>
        <v>0</v>
      </c>
      <c r="L166" s="16">
        <f t="shared" si="7"/>
        <v>0</v>
      </c>
      <c r="M166" s="16">
        <f>IFERROR(AVERAGEIF('Production Batches'!$C:$C,F166,'Production Batches'!$L:$L),0)</f>
        <v>0</v>
      </c>
      <c r="N166" s="16">
        <f t="shared" si="8"/>
        <v>0</v>
      </c>
      <c r="P166" s="11"/>
      <c r="Q166" s="30"/>
    </row>
    <row r="167" spans="2:17">
      <c r="B167" s="30"/>
      <c r="C167" s="11"/>
      <c r="D167" s="11"/>
      <c r="E167" t="str">
        <f>IFERROR(VLOOKUP(D167,Customers!$A:$B,2,FALSE),"")</f>
        <v/>
      </c>
      <c r="F167" s="11"/>
      <c r="G167" t="str">
        <f>IFERROR(VLOOKUP(F167,'Products Index'!$A:$B,2,FALSE),"")</f>
        <v/>
      </c>
      <c r="H167" s="11"/>
      <c r="I167" s="12"/>
      <c r="J167" s="15"/>
      <c r="K167" s="16">
        <f t="shared" si="6"/>
        <v>0</v>
      </c>
      <c r="L167" s="16">
        <f t="shared" si="7"/>
        <v>0</v>
      </c>
      <c r="M167" s="16">
        <f>IFERROR(AVERAGEIF('Production Batches'!$C:$C,F167,'Production Batches'!$L:$L),0)</f>
        <v>0</v>
      </c>
      <c r="N167" s="16">
        <f t="shared" si="8"/>
        <v>0</v>
      </c>
      <c r="P167" s="11"/>
      <c r="Q167" s="30"/>
    </row>
    <row r="168" spans="2:17">
      <c r="B168" s="30"/>
      <c r="C168" s="11"/>
      <c r="D168" s="11"/>
      <c r="E168" t="str">
        <f>IFERROR(VLOOKUP(D168,Customers!$A:$B,2,FALSE),"")</f>
        <v/>
      </c>
      <c r="F168" s="11"/>
      <c r="G168" t="str">
        <f>IFERROR(VLOOKUP(F168,'Products Index'!$A:$B,2,FALSE),"")</f>
        <v/>
      </c>
      <c r="H168" s="11"/>
      <c r="I168" s="12"/>
      <c r="J168" s="15"/>
      <c r="K168" s="16">
        <f t="shared" si="6"/>
        <v>0</v>
      </c>
      <c r="L168" s="16">
        <f t="shared" si="7"/>
        <v>0</v>
      </c>
      <c r="M168" s="16">
        <f>IFERROR(AVERAGEIF('Production Batches'!$C:$C,F168,'Production Batches'!$L:$L),0)</f>
        <v>0</v>
      </c>
      <c r="N168" s="16">
        <f t="shared" si="8"/>
        <v>0</v>
      </c>
      <c r="P168" s="11"/>
      <c r="Q168" s="30"/>
    </row>
    <row r="169" spans="2:17">
      <c r="B169" s="30"/>
      <c r="C169" s="11"/>
      <c r="D169" s="11"/>
      <c r="E169" t="str">
        <f>IFERROR(VLOOKUP(D169,Customers!$A:$B,2,FALSE),"")</f>
        <v/>
      </c>
      <c r="F169" s="11"/>
      <c r="G169" t="str">
        <f>IFERROR(VLOOKUP(F169,'Products Index'!$A:$B,2,FALSE),"")</f>
        <v/>
      </c>
      <c r="H169" s="11"/>
      <c r="I169" s="12"/>
      <c r="J169" s="15"/>
      <c r="K169" s="16">
        <f t="shared" si="6"/>
        <v>0</v>
      </c>
      <c r="L169" s="16">
        <f t="shared" si="7"/>
        <v>0</v>
      </c>
      <c r="M169" s="16">
        <f>IFERROR(AVERAGEIF('Production Batches'!$C:$C,F169,'Production Batches'!$L:$L),0)</f>
        <v>0</v>
      </c>
      <c r="N169" s="16">
        <f t="shared" si="8"/>
        <v>0</v>
      </c>
      <c r="P169" s="11"/>
      <c r="Q169" s="30"/>
    </row>
    <row r="170" spans="2:17">
      <c r="B170" s="30"/>
      <c r="C170" s="11"/>
      <c r="D170" s="11"/>
      <c r="E170" t="str">
        <f>IFERROR(VLOOKUP(D170,Customers!$A:$B,2,FALSE),"")</f>
        <v/>
      </c>
      <c r="F170" s="11"/>
      <c r="G170" t="str">
        <f>IFERROR(VLOOKUP(F170,'Products Index'!$A:$B,2,FALSE),"")</f>
        <v/>
      </c>
      <c r="H170" s="11"/>
      <c r="I170" s="12"/>
      <c r="J170" s="15"/>
      <c r="K170" s="16">
        <f t="shared" si="6"/>
        <v>0</v>
      </c>
      <c r="L170" s="16">
        <f t="shared" si="7"/>
        <v>0</v>
      </c>
      <c r="M170" s="16">
        <f>IFERROR(AVERAGEIF('Production Batches'!$C:$C,F170,'Production Batches'!$L:$L),0)</f>
        <v>0</v>
      </c>
      <c r="N170" s="16">
        <f t="shared" si="8"/>
        <v>0</v>
      </c>
      <c r="P170" s="11"/>
      <c r="Q170" s="30"/>
    </row>
    <row r="171" spans="2:17">
      <c r="B171" s="30"/>
      <c r="C171" s="11"/>
      <c r="D171" s="11"/>
      <c r="E171" t="str">
        <f>IFERROR(VLOOKUP(D171,Customers!$A:$B,2,FALSE),"")</f>
        <v/>
      </c>
      <c r="F171" s="11"/>
      <c r="G171" t="str">
        <f>IFERROR(VLOOKUP(F171,'Products Index'!$A:$B,2,FALSE),"")</f>
        <v/>
      </c>
      <c r="H171" s="11"/>
      <c r="I171" s="12"/>
      <c r="J171" s="15"/>
      <c r="K171" s="16">
        <f t="shared" si="6"/>
        <v>0</v>
      </c>
      <c r="L171" s="16">
        <f t="shared" si="7"/>
        <v>0</v>
      </c>
      <c r="M171" s="16">
        <f>IFERROR(AVERAGEIF('Production Batches'!$C:$C,F171,'Production Batches'!$L:$L),0)</f>
        <v>0</v>
      </c>
      <c r="N171" s="16">
        <f t="shared" si="8"/>
        <v>0</v>
      </c>
      <c r="P171" s="11"/>
      <c r="Q171" s="30"/>
    </row>
    <row r="172" spans="2:17">
      <c r="B172" s="30"/>
      <c r="C172" s="11"/>
      <c r="D172" s="11"/>
      <c r="E172" t="str">
        <f>IFERROR(VLOOKUP(D172,Customers!$A:$B,2,FALSE),"")</f>
        <v/>
      </c>
      <c r="F172" s="11"/>
      <c r="G172" t="str">
        <f>IFERROR(VLOOKUP(F172,'Products Index'!$A:$B,2,FALSE),"")</f>
        <v/>
      </c>
      <c r="H172" s="11"/>
      <c r="I172" s="12"/>
      <c r="J172" s="15"/>
      <c r="K172" s="16">
        <f t="shared" si="6"/>
        <v>0</v>
      </c>
      <c r="L172" s="16">
        <f t="shared" si="7"/>
        <v>0</v>
      </c>
      <c r="M172" s="16">
        <f>IFERROR(AVERAGEIF('Production Batches'!$C:$C,F172,'Production Batches'!$L:$L),0)</f>
        <v>0</v>
      </c>
      <c r="N172" s="16">
        <f t="shared" si="8"/>
        <v>0</v>
      </c>
      <c r="P172" s="11"/>
      <c r="Q172" s="30"/>
    </row>
    <row r="173" spans="2:17">
      <c r="B173" s="30"/>
      <c r="C173" s="11"/>
      <c r="D173" s="11"/>
      <c r="E173" t="str">
        <f>IFERROR(VLOOKUP(D173,Customers!$A:$B,2,FALSE),"")</f>
        <v/>
      </c>
      <c r="F173" s="11"/>
      <c r="G173" t="str">
        <f>IFERROR(VLOOKUP(F173,'Products Index'!$A:$B,2,FALSE),"")</f>
        <v/>
      </c>
      <c r="H173" s="11"/>
      <c r="I173" s="12"/>
      <c r="J173" s="15"/>
      <c r="K173" s="16">
        <f t="shared" si="6"/>
        <v>0</v>
      </c>
      <c r="L173" s="16">
        <f t="shared" si="7"/>
        <v>0</v>
      </c>
      <c r="M173" s="16">
        <f>IFERROR(AVERAGEIF('Production Batches'!$C:$C,F173,'Production Batches'!$L:$L),0)</f>
        <v>0</v>
      </c>
      <c r="N173" s="16">
        <f t="shared" si="8"/>
        <v>0</v>
      </c>
      <c r="P173" s="11"/>
      <c r="Q173" s="30"/>
    </row>
    <row r="174" spans="2:17">
      <c r="B174" s="30"/>
      <c r="C174" s="11"/>
      <c r="D174" s="11"/>
      <c r="E174" t="str">
        <f>IFERROR(VLOOKUP(D174,Customers!$A:$B,2,FALSE),"")</f>
        <v/>
      </c>
      <c r="F174" s="11"/>
      <c r="G174" t="str">
        <f>IFERROR(VLOOKUP(F174,'Products Index'!$A:$B,2,FALSE),"")</f>
        <v/>
      </c>
      <c r="H174" s="11"/>
      <c r="I174" s="12"/>
      <c r="J174" s="15"/>
      <c r="K174" s="16">
        <f t="shared" si="6"/>
        <v>0</v>
      </c>
      <c r="L174" s="16">
        <f t="shared" si="7"/>
        <v>0</v>
      </c>
      <c r="M174" s="16">
        <f>IFERROR(AVERAGEIF('Production Batches'!$C:$C,F174,'Production Batches'!$L:$L),0)</f>
        <v>0</v>
      </c>
      <c r="N174" s="16">
        <f t="shared" si="8"/>
        <v>0</v>
      </c>
      <c r="P174" s="11"/>
      <c r="Q174" s="30"/>
    </row>
    <row r="175" spans="2:17">
      <c r="B175" s="30"/>
      <c r="C175" s="11"/>
      <c r="D175" s="11"/>
      <c r="E175" t="str">
        <f>IFERROR(VLOOKUP(D175,Customers!$A:$B,2,FALSE),"")</f>
        <v/>
      </c>
      <c r="F175" s="11"/>
      <c r="G175" t="str">
        <f>IFERROR(VLOOKUP(F175,'Products Index'!$A:$B,2,FALSE),"")</f>
        <v/>
      </c>
      <c r="H175" s="11"/>
      <c r="I175" s="12"/>
      <c r="J175" s="15"/>
      <c r="K175" s="16">
        <f t="shared" si="6"/>
        <v>0</v>
      </c>
      <c r="L175" s="16">
        <f t="shared" si="7"/>
        <v>0</v>
      </c>
      <c r="M175" s="16">
        <f>IFERROR(AVERAGEIF('Production Batches'!$C:$C,F175,'Production Batches'!$L:$L),0)</f>
        <v>0</v>
      </c>
      <c r="N175" s="16">
        <f t="shared" si="8"/>
        <v>0</v>
      </c>
      <c r="P175" s="11"/>
      <c r="Q175" s="30"/>
    </row>
    <row r="176" spans="2:17">
      <c r="B176" s="30"/>
      <c r="C176" s="11"/>
      <c r="D176" s="11"/>
      <c r="E176" t="str">
        <f>IFERROR(VLOOKUP(D176,Customers!$A:$B,2,FALSE),"")</f>
        <v/>
      </c>
      <c r="F176" s="11"/>
      <c r="G176" t="str">
        <f>IFERROR(VLOOKUP(F176,'Products Index'!$A:$B,2,FALSE),"")</f>
        <v/>
      </c>
      <c r="H176" s="11"/>
      <c r="I176" s="12"/>
      <c r="J176" s="15"/>
      <c r="K176" s="16">
        <f t="shared" si="6"/>
        <v>0</v>
      </c>
      <c r="L176" s="16">
        <f t="shared" si="7"/>
        <v>0</v>
      </c>
      <c r="M176" s="16">
        <f>IFERROR(AVERAGEIF('Production Batches'!$C:$C,F176,'Production Batches'!$L:$L),0)</f>
        <v>0</v>
      </c>
      <c r="N176" s="16">
        <f t="shared" si="8"/>
        <v>0</v>
      </c>
      <c r="P176" s="11"/>
      <c r="Q176" s="30"/>
    </row>
    <row r="177" spans="2:17">
      <c r="B177" s="30"/>
      <c r="C177" s="11"/>
      <c r="D177" s="11"/>
      <c r="E177" t="str">
        <f>IFERROR(VLOOKUP(D177,Customers!$A:$B,2,FALSE),"")</f>
        <v/>
      </c>
      <c r="F177" s="11"/>
      <c r="G177" t="str">
        <f>IFERROR(VLOOKUP(F177,'Products Index'!$A:$B,2,FALSE),"")</f>
        <v/>
      </c>
      <c r="H177" s="11"/>
      <c r="I177" s="12"/>
      <c r="J177" s="15"/>
      <c r="K177" s="16">
        <f t="shared" si="6"/>
        <v>0</v>
      </c>
      <c r="L177" s="16">
        <f t="shared" si="7"/>
        <v>0</v>
      </c>
      <c r="M177" s="16">
        <f>IFERROR(AVERAGEIF('Production Batches'!$C:$C,F177,'Production Batches'!$L:$L),0)</f>
        <v>0</v>
      </c>
      <c r="N177" s="16">
        <f t="shared" si="8"/>
        <v>0</v>
      </c>
      <c r="P177" s="11"/>
      <c r="Q177" s="30"/>
    </row>
    <row r="178" spans="2:17">
      <c r="B178" s="30"/>
      <c r="C178" s="11"/>
      <c r="D178" s="11"/>
      <c r="E178" t="str">
        <f>IFERROR(VLOOKUP(D178,Customers!$A:$B,2,FALSE),"")</f>
        <v/>
      </c>
      <c r="F178" s="11"/>
      <c r="G178" t="str">
        <f>IFERROR(VLOOKUP(F178,'Products Index'!$A:$B,2,FALSE),"")</f>
        <v/>
      </c>
      <c r="H178" s="11"/>
      <c r="I178" s="12"/>
      <c r="J178" s="15"/>
      <c r="K178" s="16">
        <f t="shared" si="6"/>
        <v>0</v>
      </c>
      <c r="L178" s="16">
        <f t="shared" si="7"/>
        <v>0</v>
      </c>
      <c r="M178" s="16">
        <f>IFERROR(AVERAGEIF('Production Batches'!$C:$C,F178,'Production Batches'!$L:$L),0)</f>
        <v>0</v>
      </c>
      <c r="N178" s="16">
        <f t="shared" si="8"/>
        <v>0</v>
      </c>
      <c r="P178" s="11"/>
      <c r="Q178" s="30"/>
    </row>
    <row r="179" spans="2:17">
      <c r="B179" s="30"/>
      <c r="C179" s="11"/>
      <c r="D179" s="11"/>
      <c r="E179" t="str">
        <f>IFERROR(VLOOKUP(D179,Customers!$A:$B,2,FALSE),"")</f>
        <v/>
      </c>
      <c r="F179" s="11"/>
      <c r="G179" t="str">
        <f>IFERROR(VLOOKUP(F179,'Products Index'!$A:$B,2,FALSE),"")</f>
        <v/>
      </c>
      <c r="H179" s="11"/>
      <c r="I179" s="12"/>
      <c r="J179" s="15"/>
      <c r="K179" s="16">
        <f t="shared" si="6"/>
        <v>0</v>
      </c>
      <c r="L179" s="16">
        <f t="shared" si="7"/>
        <v>0</v>
      </c>
      <c r="M179" s="16">
        <f>IFERROR(AVERAGEIF('Production Batches'!$C:$C,F179,'Production Batches'!$L:$L),0)</f>
        <v>0</v>
      </c>
      <c r="N179" s="16">
        <f t="shared" si="8"/>
        <v>0</v>
      </c>
      <c r="P179" s="11"/>
      <c r="Q179" s="30"/>
    </row>
    <row r="180" spans="2:17">
      <c r="B180" s="30"/>
      <c r="C180" s="11"/>
      <c r="D180" s="11"/>
      <c r="E180" t="str">
        <f>IFERROR(VLOOKUP(D180,Customers!$A:$B,2,FALSE),"")</f>
        <v/>
      </c>
      <c r="F180" s="11"/>
      <c r="G180" t="str">
        <f>IFERROR(VLOOKUP(F180,'Products Index'!$A:$B,2,FALSE),"")</f>
        <v/>
      </c>
      <c r="H180" s="11"/>
      <c r="I180" s="12"/>
      <c r="J180" s="15"/>
      <c r="K180" s="16">
        <f t="shared" si="6"/>
        <v>0</v>
      </c>
      <c r="L180" s="16">
        <f t="shared" si="7"/>
        <v>0</v>
      </c>
      <c r="M180" s="16">
        <f>IFERROR(AVERAGEIF('Production Batches'!$C:$C,F180,'Production Batches'!$L:$L),0)</f>
        <v>0</v>
      </c>
      <c r="N180" s="16">
        <f t="shared" si="8"/>
        <v>0</v>
      </c>
      <c r="P180" s="11"/>
      <c r="Q180" s="30"/>
    </row>
    <row r="181" spans="2:17">
      <c r="B181" s="30"/>
      <c r="C181" s="11"/>
      <c r="D181" s="11"/>
      <c r="E181" t="str">
        <f>IFERROR(VLOOKUP(D181,Customers!$A:$B,2,FALSE),"")</f>
        <v/>
      </c>
      <c r="F181" s="11"/>
      <c r="G181" t="str">
        <f>IFERROR(VLOOKUP(F181,'Products Index'!$A:$B,2,FALSE),"")</f>
        <v/>
      </c>
      <c r="H181" s="11"/>
      <c r="I181" s="12"/>
      <c r="J181" s="15"/>
      <c r="K181" s="16">
        <f t="shared" si="6"/>
        <v>0</v>
      </c>
      <c r="L181" s="16">
        <f t="shared" si="7"/>
        <v>0</v>
      </c>
      <c r="M181" s="16">
        <f>IFERROR(AVERAGEIF('Production Batches'!$C:$C,F181,'Production Batches'!$L:$L),0)</f>
        <v>0</v>
      </c>
      <c r="N181" s="16">
        <f t="shared" si="8"/>
        <v>0</v>
      </c>
      <c r="P181" s="11"/>
      <c r="Q181" s="30"/>
    </row>
    <row r="182" spans="2:17">
      <c r="B182" s="30"/>
      <c r="C182" s="11"/>
      <c r="D182" s="11"/>
      <c r="E182" t="str">
        <f>IFERROR(VLOOKUP(D182,Customers!$A:$B,2,FALSE),"")</f>
        <v/>
      </c>
      <c r="F182" s="11"/>
      <c r="G182" t="str">
        <f>IFERROR(VLOOKUP(F182,'Products Index'!$A:$B,2,FALSE),"")</f>
        <v/>
      </c>
      <c r="H182" s="11"/>
      <c r="I182" s="12"/>
      <c r="J182" s="15"/>
      <c r="K182" s="16">
        <f t="shared" si="6"/>
        <v>0</v>
      </c>
      <c r="L182" s="16">
        <f t="shared" si="7"/>
        <v>0</v>
      </c>
      <c r="M182" s="16">
        <f>IFERROR(AVERAGEIF('Production Batches'!$C:$C,F182,'Production Batches'!$L:$L),0)</f>
        <v>0</v>
      </c>
      <c r="N182" s="16">
        <f t="shared" si="8"/>
        <v>0</v>
      </c>
      <c r="P182" s="11"/>
      <c r="Q182" s="30"/>
    </row>
    <row r="183" spans="2:17">
      <c r="B183" s="30"/>
      <c r="C183" s="11"/>
      <c r="D183" s="11"/>
      <c r="E183" t="str">
        <f>IFERROR(VLOOKUP(D183,Customers!$A:$B,2,FALSE),"")</f>
        <v/>
      </c>
      <c r="F183" s="11"/>
      <c r="G183" t="str">
        <f>IFERROR(VLOOKUP(F183,'Products Index'!$A:$B,2,FALSE),"")</f>
        <v/>
      </c>
      <c r="H183" s="11"/>
      <c r="I183" s="12"/>
      <c r="J183" s="15"/>
      <c r="K183" s="16">
        <f t="shared" si="6"/>
        <v>0</v>
      </c>
      <c r="L183" s="16">
        <f t="shared" si="7"/>
        <v>0</v>
      </c>
      <c r="M183" s="16">
        <f>IFERROR(AVERAGEIF('Production Batches'!$C:$C,F183,'Production Batches'!$L:$L),0)</f>
        <v>0</v>
      </c>
      <c r="N183" s="16">
        <f t="shared" si="8"/>
        <v>0</v>
      </c>
      <c r="P183" s="11"/>
      <c r="Q183" s="30"/>
    </row>
    <row r="184" spans="2:17">
      <c r="B184" s="30"/>
      <c r="C184" s="11"/>
      <c r="D184" s="11"/>
      <c r="E184" t="str">
        <f>IFERROR(VLOOKUP(D184,Customers!$A:$B,2,FALSE),"")</f>
        <v/>
      </c>
      <c r="F184" s="11"/>
      <c r="G184" t="str">
        <f>IFERROR(VLOOKUP(F184,'Products Index'!$A:$B,2,FALSE),"")</f>
        <v/>
      </c>
      <c r="H184" s="11"/>
      <c r="I184" s="12"/>
      <c r="J184" s="15"/>
      <c r="K184" s="16">
        <f t="shared" si="6"/>
        <v>0</v>
      </c>
      <c r="L184" s="16">
        <f t="shared" si="7"/>
        <v>0</v>
      </c>
      <c r="M184" s="16">
        <f>IFERROR(AVERAGEIF('Production Batches'!$C:$C,F184,'Production Batches'!$L:$L),0)</f>
        <v>0</v>
      </c>
      <c r="N184" s="16">
        <f t="shared" si="8"/>
        <v>0</v>
      </c>
      <c r="P184" s="11"/>
      <c r="Q184" s="30"/>
    </row>
    <row r="185" spans="2:17">
      <c r="B185" s="30"/>
      <c r="C185" s="11"/>
      <c r="D185" s="11"/>
      <c r="E185" t="str">
        <f>IFERROR(VLOOKUP(D185,Customers!$A:$B,2,FALSE),"")</f>
        <v/>
      </c>
      <c r="F185" s="11"/>
      <c r="G185" t="str">
        <f>IFERROR(VLOOKUP(F185,'Products Index'!$A:$B,2,FALSE),"")</f>
        <v/>
      </c>
      <c r="H185" s="11"/>
      <c r="I185" s="12"/>
      <c r="J185" s="15"/>
      <c r="K185" s="16">
        <f t="shared" si="6"/>
        <v>0</v>
      </c>
      <c r="L185" s="16">
        <f t="shared" si="7"/>
        <v>0</v>
      </c>
      <c r="M185" s="16">
        <f>IFERROR(AVERAGEIF('Production Batches'!$C:$C,F185,'Production Batches'!$L:$L),0)</f>
        <v>0</v>
      </c>
      <c r="N185" s="16">
        <f t="shared" si="8"/>
        <v>0</v>
      </c>
      <c r="P185" s="11"/>
      <c r="Q185" s="30"/>
    </row>
    <row r="186" spans="2:17">
      <c r="B186" s="30"/>
      <c r="C186" s="11"/>
      <c r="D186" s="11"/>
      <c r="E186" t="str">
        <f>IFERROR(VLOOKUP(D186,Customers!$A:$B,2,FALSE),"")</f>
        <v/>
      </c>
      <c r="F186" s="11"/>
      <c r="G186" t="str">
        <f>IFERROR(VLOOKUP(F186,'Products Index'!$A:$B,2,FALSE),"")</f>
        <v/>
      </c>
      <c r="H186" s="11"/>
      <c r="I186" s="12"/>
      <c r="J186" s="15"/>
      <c r="K186" s="16">
        <f t="shared" si="6"/>
        <v>0</v>
      </c>
      <c r="L186" s="16">
        <f t="shared" si="7"/>
        <v>0</v>
      </c>
      <c r="M186" s="16">
        <f>IFERROR(AVERAGEIF('Production Batches'!$C:$C,F186,'Production Batches'!$L:$L),0)</f>
        <v>0</v>
      </c>
      <c r="N186" s="16">
        <f t="shared" si="8"/>
        <v>0</v>
      </c>
      <c r="P186" s="11"/>
      <c r="Q186" s="30"/>
    </row>
    <row r="187" spans="2:17">
      <c r="B187" s="30"/>
      <c r="C187" s="11"/>
      <c r="D187" s="11"/>
      <c r="E187" t="str">
        <f>IFERROR(VLOOKUP(D187,Customers!$A:$B,2,FALSE),"")</f>
        <v/>
      </c>
      <c r="F187" s="11"/>
      <c r="G187" t="str">
        <f>IFERROR(VLOOKUP(F187,'Products Index'!$A:$B,2,FALSE),"")</f>
        <v/>
      </c>
      <c r="H187" s="11"/>
      <c r="I187" s="12"/>
      <c r="J187" s="15"/>
      <c r="K187" s="16">
        <f t="shared" si="6"/>
        <v>0</v>
      </c>
      <c r="L187" s="16">
        <f t="shared" si="7"/>
        <v>0</v>
      </c>
      <c r="M187" s="16">
        <f>IFERROR(AVERAGEIF('Production Batches'!$C:$C,F187,'Production Batches'!$L:$L),0)</f>
        <v>0</v>
      </c>
      <c r="N187" s="16">
        <f t="shared" si="8"/>
        <v>0</v>
      </c>
      <c r="P187" s="11"/>
      <c r="Q187" s="30"/>
    </row>
    <row r="188" spans="2:17">
      <c r="B188" s="30"/>
      <c r="C188" s="11"/>
      <c r="D188" s="11"/>
      <c r="E188" t="str">
        <f>IFERROR(VLOOKUP(D188,Customers!$A:$B,2,FALSE),"")</f>
        <v/>
      </c>
      <c r="F188" s="11"/>
      <c r="G188" t="str">
        <f>IFERROR(VLOOKUP(F188,'Products Index'!$A:$B,2,FALSE),"")</f>
        <v/>
      </c>
      <c r="H188" s="11"/>
      <c r="I188" s="12"/>
      <c r="J188" s="15"/>
      <c r="K188" s="16">
        <f t="shared" si="6"/>
        <v>0</v>
      </c>
      <c r="L188" s="16">
        <f t="shared" si="7"/>
        <v>0</v>
      </c>
      <c r="M188" s="16">
        <f>IFERROR(AVERAGEIF('Production Batches'!$C:$C,F188,'Production Batches'!$L:$L),0)</f>
        <v>0</v>
      </c>
      <c r="N188" s="16">
        <f t="shared" si="8"/>
        <v>0</v>
      </c>
      <c r="P188" s="11"/>
      <c r="Q188" s="30"/>
    </row>
    <row r="189" spans="2:17">
      <c r="B189" s="30"/>
      <c r="C189" s="11"/>
      <c r="D189" s="11"/>
      <c r="E189" t="str">
        <f>IFERROR(VLOOKUP(D189,Customers!$A:$B,2,FALSE),"")</f>
        <v/>
      </c>
      <c r="F189" s="11"/>
      <c r="G189" t="str">
        <f>IFERROR(VLOOKUP(F189,'Products Index'!$A:$B,2,FALSE),"")</f>
        <v/>
      </c>
      <c r="H189" s="11"/>
      <c r="I189" s="12"/>
      <c r="J189" s="15"/>
      <c r="K189" s="16">
        <f t="shared" si="6"/>
        <v>0</v>
      </c>
      <c r="L189" s="16">
        <f t="shared" si="7"/>
        <v>0</v>
      </c>
      <c r="M189" s="16">
        <f>IFERROR(AVERAGEIF('Production Batches'!$C:$C,F189,'Production Batches'!$L:$L),0)</f>
        <v>0</v>
      </c>
      <c r="N189" s="16">
        <f t="shared" si="8"/>
        <v>0</v>
      </c>
      <c r="P189" s="11"/>
      <c r="Q189" s="30"/>
    </row>
    <row r="190" spans="2:17">
      <c r="B190" s="30"/>
      <c r="C190" s="11"/>
      <c r="D190" s="11"/>
      <c r="E190" t="str">
        <f>IFERROR(VLOOKUP(D190,Customers!$A:$B,2,FALSE),"")</f>
        <v/>
      </c>
      <c r="F190" s="11"/>
      <c r="G190" t="str">
        <f>IFERROR(VLOOKUP(F190,'Products Index'!$A:$B,2,FALSE),"")</f>
        <v/>
      </c>
      <c r="H190" s="11"/>
      <c r="I190" s="12"/>
      <c r="J190" s="15"/>
      <c r="K190" s="16">
        <f t="shared" si="6"/>
        <v>0</v>
      </c>
      <c r="L190" s="16">
        <f t="shared" si="7"/>
        <v>0</v>
      </c>
      <c r="M190" s="16">
        <f>IFERROR(AVERAGEIF('Production Batches'!$C:$C,F190,'Production Batches'!$L:$L),0)</f>
        <v>0</v>
      </c>
      <c r="N190" s="16">
        <f t="shared" si="8"/>
        <v>0</v>
      </c>
      <c r="P190" s="11"/>
      <c r="Q190" s="30"/>
    </row>
    <row r="191" spans="2:17">
      <c r="B191" s="30"/>
      <c r="C191" s="11"/>
      <c r="D191" s="11"/>
      <c r="E191" t="str">
        <f>IFERROR(VLOOKUP(D191,Customers!$A:$B,2,FALSE),"")</f>
        <v/>
      </c>
      <c r="F191" s="11"/>
      <c r="G191" t="str">
        <f>IFERROR(VLOOKUP(F191,'Products Index'!$A:$B,2,FALSE),"")</f>
        <v/>
      </c>
      <c r="H191" s="11"/>
      <c r="I191" s="12"/>
      <c r="J191" s="15"/>
      <c r="K191" s="16">
        <f t="shared" si="6"/>
        <v>0</v>
      </c>
      <c r="L191" s="16">
        <f t="shared" si="7"/>
        <v>0</v>
      </c>
      <c r="M191" s="16">
        <f>IFERROR(AVERAGEIF('Production Batches'!$C:$C,F191,'Production Batches'!$L:$L),0)</f>
        <v>0</v>
      </c>
      <c r="N191" s="16">
        <f t="shared" si="8"/>
        <v>0</v>
      </c>
      <c r="P191" s="11"/>
      <c r="Q191" s="30"/>
    </row>
    <row r="192" spans="2:17">
      <c r="B192" s="30"/>
      <c r="C192" s="11"/>
      <c r="D192" s="11"/>
      <c r="E192" t="str">
        <f>IFERROR(VLOOKUP(D192,Customers!$A:$B,2,FALSE),"")</f>
        <v/>
      </c>
      <c r="F192" s="11"/>
      <c r="G192" t="str">
        <f>IFERROR(VLOOKUP(F192,'Products Index'!$A:$B,2,FALSE),"")</f>
        <v/>
      </c>
      <c r="H192" s="11"/>
      <c r="I192" s="12"/>
      <c r="J192" s="15"/>
      <c r="K192" s="16">
        <f t="shared" si="6"/>
        <v>0</v>
      </c>
      <c r="L192" s="16">
        <f t="shared" si="7"/>
        <v>0</v>
      </c>
      <c r="M192" s="16">
        <f>IFERROR(AVERAGEIF('Production Batches'!$C:$C,F192,'Production Batches'!$L:$L),0)</f>
        <v>0</v>
      </c>
      <c r="N192" s="16">
        <f t="shared" si="8"/>
        <v>0</v>
      </c>
      <c r="P192" s="11"/>
      <c r="Q192" s="30"/>
    </row>
    <row r="193" spans="2:17">
      <c r="B193" s="30"/>
      <c r="C193" s="11"/>
      <c r="D193" s="11"/>
      <c r="E193" t="str">
        <f>IFERROR(VLOOKUP(D193,Customers!$A:$B,2,FALSE),"")</f>
        <v/>
      </c>
      <c r="F193" s="11"/>
      <c r="G193" t="str">
        <f>IFERROR(VLOOKUP(F193,'Products Index'!$A:$B,2,FALSE),"")</f>
        <v/>
      </c>
      <c r="H193" s="11"/>
      <c r="I193" s="12"/>
      <c r="J193" s="15"/>
      <c r="K193" s="16">
        <f t="shared" si="6"/>
        <v>0</v>
      </c>
      <c r="L193" s="16">
        <f t="shared" si="7"/>
        <v>0</v>
      </c>
      <c r="M193" s="16">
        <f>IFERROR(AVERAGEIF('Production Batches'!$C:$C,F193,'Production Batches'!$L:$L),0)</f>
        <v>0</v>
      </c>
      <c r="N193" s="16">
        <f t="shared" si="8"/>
        <v>0</v>
      </c>
      <c r="P193" s="11"/>
      <c r="Q193" s="30"/>
    </row>
    <row r="194" spans="2:17">
      <c r="B194" s="30"/>
      <c r="C194" s="11"/>
      <c r="D194" s="11"/>
      <c r="E194" t="str">
        <f>IFERROR(VLOOKUP(D194,Customers!$A:$B,2,FALSE),"")</f>
        <v/>
      </c>
      <c r="F194" s="11"/>
      <c r="G194" t="str">
        <f>IFERROR(VLOOKUP(F194,'Products Index'!$A:$B,2,FALSE),"")</f>
        <v/>
      </c>
      <c r="H194" s="11"/>
      <c r="I194" s="12"/>
      <c r="J194" s="15"/>
      <c r="K194" s="16">
        <f t="shared" ref="K194:K257" si="9">IFERROR(I194*(1-J194),0)</f>
        <v>0</v>
      </c>
      <c r="L194" s="16">
        <f t="shared" ref="L194:L257" si="10">IFERROR(K194*H194,0)</f>
        <v>0</v>
      </c>
      <c r="M194" s="16">
        <f>IFERROR(AVERAGEIF('Production Batches'!$C:$C,F194,'Production Batches'!$L:$L),0)</f>
        <v>0</v>
      </c>
      <c r="N194" s="16">
        <f t="shared" ref="N194:N257" si="11">IFERROR(L194-(M194*H194),0)</f>
        <v>0</v>
      </c>
      <c r="P194" s="11"/>
      <c r="Q194" s="30"/>
    </row>
    <row r="195" spans="2:17">
      <c r="B195" s="30"/>
      <c r="C195" s="11"/>
      <c r="D195" s="11"/>
      <c r="E195" t="str">
        <f>IFERROR(VLOOKUP(D195,Customers!$A:$B,2,FALSE),"")</f>
        <v/>
      </c>
      <c r="F195" s="11"/>
      <c r="G195" t="str">
        <f>IFERROR(VLOOKUP(F195,'Products Index'!$A:$B,2,FALSE),"")</f>
        <v/>
      </c>
      <c r="H195" s="11"/>
      <c r="I195" s="12"/>
      <c r="J195" s="15"/>
      <c r="K195" s="16">
        <f t="shared" si="9"/>
        <v>0</v>
      </c>
      <c r="L195" s="16">
        <f t="shared" si="10"/>
        <v>0</v>
      </c>
      <c r="M195" s="16">
        <f>IFERROR(AVERAGEIF('Production Batches'!$C:$C,F195,'Production Batches'!$L:$L),0)</f>
        <v>0</v>
      </c>
      <c r="N195" s="16">
        <f t="shared" si="11"/>
        <v>0</v>
      </c>
      <c r="P195" s="11"/>
      <c r="Q195" s="30"/>
    </row>
    <row r="196" spans="2:17">
      <c r="B196" s="30"/>
      <c r="C196" s="11"/>
      <c r="D196" s="11"/>
      <c r="E196" t="str">
        <f>IFERROR(VLOOKUP(D196,Customers!$A:$B,2,FALSE),"")</f>
        <v/>
      </c>
      <c r="F196" s="11"/>
      <c r="G196" t="str">
        <f>IFERROR(VLOOKUP(F196,'Products Index'!$A:$B,2,FALSE),"")</f>
        <v/>
      </c>
      <c r="H196" s="11"/>
      <c r="I196" s="12"/>
      <c r="J196" s="15"/>
      <c r="K196" s="16">
        <f t="shared" si="9"/>
        <v>0</v>
      </c>
      <c r="L196" s="16">
        <f t="shared" si="10"/>
        <v>0</v>
      </c>
      <c r="M196" s="16">
        <f>IFERROR(AVERAGEIF('Production Batches'!$C:$C,F196,'Production Batches'!$L:$L),0)</f>
        <v>0</v>
      </c>
      <c r="N196" s="16">
        <f t="shared" si="11"/>
        <v>0</v>
      </c>
      <c r="P196" s="11"/>
      <c r="Q196" s="30"/>
    </row>
    <row r="197" spans="2:17">
      <c r="B197" s="30"/>
      <c r="C197" s="11"/>
      <c r="D197" s="11"/>
      <c r="E197" t="str">
        <f>IFERROR(VLOOKUP(D197,Customers!$A:$B,2,FALSE),"")</f>
        <v/>
      </c>
      <c r="F197" s="11"/>
      <c r="G197" t="str">
        <f>IFERROR(VLOOKUP(F197,'Products Index'!$A:$B,2,FALSE),"")</f>
        <v/>
      </c>
      <c r="H197" s="11"/>
      <c r="I197" s="12"/>
      <c r="J197" s="15"/>
      <c r="K197" s="16">
        <f t="shared" si="9"/>
        <v>0</v>
      </c>
      <c r="L197" s="16">
        <f t="shared" si="10"/>
        <v>0</v>
      </c>
      <c r="M197" s="16">
        <f>IFERROR(AVERAGEIF('Production Batches'!$C:$C,F197,'Production Batches'!$L:$L),0)</f>
        <v>0</v>
      </c>
      <c r="N197" s="16">
        <f t="shared" si="11"/>
        <v>0</v>
      </c>
      <c r="P197" s="11"/>
      <c r="Q197" s="30"/>
    </row>
    <row r="198" spans="2:17">
      <c r="B198" s="30"/>
      <c r="C198" s="11"/>
      <c r="D198" s="11"/>
      <c r="E198" t="str">
        <f>IFERROR(VLOOKUP(D198,Customers!$A:$B,2,FALSE),"")</f>
        <v/>
      </c>
      <c r="F198" s="11"/>
      <c r="G198" t="str">
        <f>IFERROR(VLOOKUP(F198,'Products Index'!$A:$B,2,FALSE),"")</f>
        <v/>
      </c>
      <c r="H198" s="11"/>
      <c r="I198" s="12"/>
      <c r="J198" s="15"/>
      <c r="K198" s="16">
        <f t="shared" si="9"/>
        <v>0</v>
      </c>
      <c r="L198" s="16">
        <f t="shared" si="10"/>
        <v>0</v>
      </c>
      <c r="M198" s="16">
        <f>IFERROR(AVERAGEIF('Production Batches'!$C:$C,F198,'Production Batches'!$L:$L),0)</f>
        <v>0</v>
      </c>
      <c r="N198" s="16">
        <f t="shared" si="11"/>
        <v>0</v>
      </c>
      <c r="P198" s="11"/>
      <c r="Q198" s="30"/>
    </row>
    <row r="199" spans="2:17">
      <c r="B199" s="30"/>
      <c r="C199" s="11"/>
      <c r="D199" s="11"/>
      <c r="E199" t="str">
        <f>IFERROR(VLOOKUP(D199,Customers!$A:$B,2,FALSE),"")</f>
        <v/>
      </c>
      <c r="F199" s="11"/>
      <c r="G199" t="str">
        <f>IFERROR(VLOOKUP(F199,'Products Index'!$A:$B,2,FALSE),"")</f>
        <v/>
      </c>
      <c r="H199" s="11"/>
      <c r="I199" s="12"/>
      <c r="J199" s="15"/>
      <c r="K199" s="16">
        <f t="shared" si="9"/>
        <v>0</v>
      </c>
      <c r="L199" s="16">
        <f t="shared" si="10"/>
        <v>0</v>
      </c>
      <c r="M199" s="16">
        <f>IFERROR(AVERAGEIF('Production Batches'!$C:$C,F199,'Production Batches'!$L:$L),0)</f>
        <v>0</v>
      </c>
      <c r="N199" s="16">
        <f t="shared" si="11"/>
        <v>0</v>
      </c>
      <c r="P199" s="11"/>
      <c r="Q199" s="30"/>
    </row>
    <row r="200" spans="2:17">
      <c r="B200" s="30"/>
      <c r="C200" s="11"/>
      <c r="D200" s="11"/>
      <c r="E200" t="str">
        <f>IFERROR(VLOOKUP(D200,Customers!$A:$B,2,FALSE),"")</f>
        <v/>
      </c>
      <c r="F200" s="11"/>
      <c r="G200" t="str">
        <f>IFERROR(VLOOKUP(F200,'Products Index'!$A:$B,2,FALSE),"")</f>
        <v/>
      </c>
      <c r="H200" s="11"/>
      <c r="I200" s="12"/>
      <c r="J200" s="15"/>
      <c r="K200" s="16">
        <f t="shared" si="9"/>
        <v>0</v>
      </c>
      <c r="L200" s="16">
        <f t="shared" si="10"/>
        <v>0</v>
      </c>
      <c r="M200" s="16">
        <f>IFERROR(AVERAGEIF('Production Batches'!$C:$C,F200,'Production Batches'!$L:$L),0)</f>
        <v>0</v>
      </c>
      <c r="N200" s="16">
        <f t="shared" si="11"/>
        <v>0</v>
      </c>
      <c r="P200" s="11"/>
      <c r="Q200" s="30"/>
    </row>
    <row r="201" spans="2:17">
      <c r="B201" s="30"/>
      <c r="C201" s="11"/>
      <c r="D201" s="11"/>
      <c r="E201" t="str">
        <f>IFERROR(VLOOKUP(D201,Customers!$A:$B,2,FALSE),"")</f>
        <v/>
      </c>
      <c r="F201" s="11"/>
      <c r="G201" t="str">
        <f>IFERROR(VLOOKUP(F201,'Products Index'!$A:$B,2,FALSE),"")</f>
        <v/>
      </c>
      <c r="H201" s="11"/>
      <c r="I201" s="12"/>
      <c r="J201" s="15"/>
      <c r="K201" s="16">
        <f t="shared" si="9"/>
        <v>0</v>
      </c>
      <c r="L201" s="16">
        <f t="shared" si="10"/>
        <v>0</v>
      </c>
      <c r="M201" s="16">
        <f>IFERROR(AVERAGEIF('Production Batches'!$C:$C,F201,'Production Batches'!$L:$L),0)</f>
        <v>0</v>
      </c>
      <c r="N201" s="16">
        <f t="shared" si="11"/>
        <v>0</v>
      </c>
      <c r="P201" s="11"/>
      <c r="Q201" s="30"/>
    </row>
    <row r="202" spans="2:17">
      <c r="B202" s="30"/>
      <c r="C202" s="11"/>
      <c r="D202" s="11"/>
      <c r="E202" t="str">
        <f>IFERROR(VLOOKUP(D202,Customers!$A:$B,2,FALSE),"")</f>
        <v/>
      </c>
      <c r="F202" s="11"/>
      <c r="G202" t="str">
        <f>IFERROR(VLOOKUP(F202,'Products Index'!$A:$B,2,FALSE),"")</f>
        <v/>
      </c>
      <c r="H202" s="11"/>
      <c r="I202" s="12"/>
      <c r="J202" s="15"/>
      <c r="K202" s="16">
        <f t="shared" si="9"/>
        <v>0</v>
      </c>
      <c r="L202" s="16">
        <f t="shared" si="10"/>
        <v>0</v>
      </c>
      <c r="M202" s="16">
        <f>IFERROR(AVERAGEIF('Production Batches'!$C:$C,F202,'Production Batches'!$L:$L),0)</f>
        <v>0</v>
      </c>
      <c r="N202" s="16">
        <f t="shared" si="11"/>
        <v>0</v>
      </c>
      <c r="P202" s="11"/>
      <c r="Q202" s="30"/>
    </row>
    <row r="203" spans="2:17">
      <c r="B203" s="30"/>
      <c r="C203" s="11"/>
      <c r="D203" s="11"/>
      <c r="E203" t="str">
        <f>IFERROR(VLOOKUP(D203,Customers!$A:$B,2,FALSE),"")</f>
        <v/>
      </c>
      <c r="F203" s="11"/>
      <c r="G203" t="str">
        <f>IFERROR(VLOOKUP(F203,'Products Index'!$A:$B,2,FALSE),"")</f>
        <v/>
      </c>
      <c r="H203" s="11"/>
      <c r="I203" s="12"/>
      <c r="J203" s="15"/>
      <c r="K203" s="16">
        <f t="shared" si="9"/>
        <v>0</v>
      </c>
      <c r="L203" s="16">
        <f t="shared" si="10"/>
        <v>0</v>
      </c>
      <c r="M203" s="16">
        <f>IFERROR(AVERAGEIF('Production Batches'!$C:$C,F203,'Production Batches'!$L:$L),0)</f>
        <v>0</v>
      </c>
      <c r="N203" s="16">
        <f t="shared" si="11"/>
        <v>0</v>
      </c>
      <c r="P203" s="11"/>
      <c r="Q203" s="30"/>
    </row>
    <row r="204" spans="2:17">
      <c r="B204" s="30"/>
      <c r="C204" s="11"/>
      <c r="D204" s="11"/>
      <c r="E204" t="str">
        <f>IFERROR(VLOOKUP(D204,Customers!$A:$B,2,FALSE),"")</f>
        <v/>
      </c>
      <c r="F204" s="11"/>
      <c r="G204" t="str">
        <f>IFERROR(VLOOKUP(F204,'Products Index'!$A:$B,2,FALSE),"")</f>
        <v/>
      </c>
      <c r="H204" s="11"/>
      <c r="I204" s="12"/>
      <c r="J204" s="15"/>
      <c r="K204" s="16">
        <f t="shared" si="9"/>
        <v>0</v>
      </c>
      <c r="L204" s="16">
        <f t="shared" si="10"/>
        <v>0</v>
      </c>
      <c r="M204" s="16">
        <f>IFERROR(AVERAGEIF('Production Batches'!$C:$C,F204,'Production Batches'!$L:$L),0)</f>
        <v>0</v>
      </c>
      <c r="N204" s="16">
        <f t="shared" si="11"/>
        <v>0</v>
      </c>
      <c r="P204" s="11"/>
      <c r="Q204" s="30"/>
    </row>
    <row r="205" spans="2:17">
      <c r="B205" s="30"/>
      <c r="C205" s="11"/>
      <c r="D205" s="11"/>
      <c r="E205" t="str">
        <f>IFERROR(VLOOKUP(D205,Customers!$A:$B,2,FALSE),"")</f>
        <v/>
      </c>
      <c r="F205" s="11"/>
      <c r="G205" t="str">
        <f>IFERROR(VLOOKUP(F205,'Products Index'!$A:$B,2,FALSE),"")</f>
        <v/>
      </c>
      <c r="H205" s="11"/>
      <c r="I205" s="12"/>
      <c r="J205" s="15"/>
      <c r="K205" s="16">
        <f t="shared" si="9"/>
        <v>0</v>
      </c>
      <c r="L205" s="16">
        <f t="shared" si="10"/>
        <v>0</v>
      </c>
      <c r="M205" s="16">
        <f>IFERROR(AVERAGEIF('Production Batches'!$C:$C,F205,'Production Batches'!$L:$L),0)</f>
        <v>0</v>
      </c>
      <c r="N205" s="16">
        <f t="shared" si="11"/>
        <v>0</v>
      </c>
      <c r="P205" s="11"/>
      <c r="Q205" s="30"/>
    </row>
    <row r="206" spans="2:17">
      <c r="B206" s="30"/>
      <c r="C206" s="11"/>
      <c r="D206" s="11"/>
      <c r="E206" t="str">
        <f>IFERROR(VLOOKUP(D206,Customers!$A:$B,2,FALSE),"")</f>
        <v/>
      </c>
      <c r="F206" s="11"/>
      <c r="G206" t="str">
        <f>IFERROR(VLOOKUP(F206,'Products Index'!$A:$B,2,FALSE),"")</f>
        <v/>
      </c>
      <c r="H206" s="11"/>
      <c r="I206" s="12"/>
      <c r="J206" s="15"/>
      <c r="K206" s="16">
        <f t="shared" si="9"/>
        <v>0</v>
      </c>
      <c r="L206" s="16">
        <f t="shared" si="10"/>
        <v>0</v>
      </c>
      <c r="M206" s="16">
        <f>IFERROR(AVERAGEIF('Production Batches'!$C:$C,F206,'Production Batches'!$L:$L),0)</f>
        <v>0</v>
      </c>
      <c r="N206" s="16">
        <f t="shared" si="11"/>
        <v>0</v>
      </c>
      <c r="P206" s="11"/>
      <c r="Q206" s="30"/>
    </row>
    <row r="207" spans="2:17">
      <c r="B207" s="30"/>
      <c r="C207" s="11"/>
      <c r="D207" s="11"/>
      <c r="E207" t="str">
        <f>IFERROR(VLOOKUP(D207,Customers!$A:$B,2,FALSE),"")</f>
        <v/>
      </c>
      <c r="F207" s="11"/>
      <c r="G207" t="str">
        <f>IFERROR(VLOOKUP(F207,'Products Index'!$A:$B,2,FALSE),"")</f>
        <v/>
      </c>
      <c r="H207" s="11"/>
      <c r="I207" s="12"/>
      <c r="J207" s="15"/>
      <c r="K207" s="16">
        <f t="shared" si="9"/>
        <v>0</v>
      </c>
      <c r="L207" s="16">
        <f t="shared" si="10"/>
        <v>0</v>
      </c>
      <c r="M207" s="16">
        <f>IFERROR(AVERAGEIF('Production Batches'!$C:$C,F207,'Production Batches'!$L:$L),0)</f>
        <v>0</v>
      </c>
      <c r="N207" s="16">
        <f t="shared" si="11"/>
        <v>0</v>
      </c>
      <c r="P207" s="11"/>
      <c r="Q207" s="30"/>
    </row>
    <row r="208" spans="2:17">
      <c r="B208" s="30"/>
      <c r="C208" s="11"/>
      <c r="D208" s="11"/>
      <c r="E208" t="str">
        <f>IFERROR(VLOOKUP(D208,Customers!$A:$B,2,FALSE),"")</f>
        <v/>
      </c>
      <c r="F208" s="11"/>
      <c r="G208" t="str">
        <f>IFERROR(VLOOKUP(F208,'Products Index'!$A:$B,2,FALSE),"")</f>
        <v/>
      </c>
      <c r="H208" s="11"/>
      <c r="I208" s="12"/>
      <c r="J208" s="15"/>
      <c r="K208" s="16">
        <f t="shared" si="9"/>
        <v>0</v>
      </c>
      <c r="L208" s="16">
        <f t="shared" si="10"/>
        <v>0</v>
      </c>
      <c r="M208" s="16">
        <f>IFERROR(AVERAGEIF('Production Batches'!$C:$C,F208,'Production Batches'!$L:$L),0)</f>
        <v>0</v>
      </c>
      <c r="N208" s="16">
        <f t="shared" si="11"/>
        <v>0</v>
      </c>
      <c r="P208" s="11"/>
      <c r="Q208" s="30"/>
    </row>
    <row r="209" spans="2:17">
      <c r="B209" s="30"/>
      <c r="C209" s="11"/>
      <c r="D209" s="11"/>
      <c r="E209" t="str">
        <f>IFERROR(VLOOKUP(D209,Customers!$A:$B,2,FALSE),"")</f>
        <v/>
      </c>
      <c r="F209" s="11"/>
      <c r="G209" t="str">
        <f>IFERROR(VLOOKUP(F209,'Products Index'!$A:$B,2,FALSE),"")</f>
        <v/>
      </c>
      <c r="H209" s="11"/>
      <c r="I209" s="12"/>
      <c r="J209" s="15"/>
      <c r="K209" s="16">
        <f t="shared" si="9"/>
        <v>0</v>
      </c>
      <c r="L209" s="16">
        <f t="shared" si="10"/>
        <v>0</v>
      </c>
      <c r="M209" s="16">
        <f>IFERROR(AVERAGEIF('Production Batches'!$C:$C,F209,'Production Batches'!$L:$L),0)</f>
        <v>0</v>
      </c>
      <c r="N209" s="16">
        <f t="shared" si="11"/>
        <v>0</v>
      </c>
      <c r="P209" s="11"/>
      <c r="Q209" s="30"/>
    </row>
    <row r="210" spans="2:17">
      <c r="B210" s="30"/>
      <c r="C210" s="11"/>
      <c r="D210" s="11"/>
      <c r="E210" t="str">
        <f>IFERROR(VLOOKUP(D210,Customers!$A:$B,2,FALSE),"")</f>
        <v/>
      </c>
      <c r="F210" s="11"/>
      <c r="G210" t="str">
        <f>IFERROR(VLOOKUP(F210,'Products Index'!$A:$B,2,FALSE),"")</f>
        <v/>
      </c>
      <c r="H210" s="11"/>
      <c r="I210" s="12"/>
      <c r="J210" s="15"/>
      <c r="K210" s="16">
        <f t="shared" si="9"/>
        <v>0</v>
      </c>
      <c r="L210" s="16">
        <f t="shared" si="10"/>
        <v>0</v>
      </c>
      <c r="M210" s="16">
        <f>IFERROR(AVERAGEIF('Production Batches'!$C:$C,F210,'Production Batches'!$L:$L),0)</f>
        <v>0</v>
      </c>
      <c r="N210" s="16">
        <f t="shared" si="11"/>
        <v>0</v>
      </c>
      <c r="P210" s="11"/>
      <c r="Q210" s="30"/>
    </row>
    <row r="211" spans="2:17">
      <c r="B211" s="30"/>
      <c r="C211" s="11"/>
      <c r="D211" s="11"/>
      <c r="E211" t="str">
        <f>IFERROR(VLOOKUP(D211,Customers!$A:$B,2,FALSE),"")</f>
        <v/>
      </c>
      <c r="F211" s="11"/>
      <c r="G211" t="str">
        <f>IFERROR(VLOOKUP(F211,'Products Index'!$A:$B,2,FALSE),"")</f>
        <v/>
      </c>
      <c r="H211" s="11"/>
      <c r="I211" s="12"/>
      <c r="J211" s="15"/>
      <c r="K211" s="16">
        <f t="shared" si="9"/>
        <v>0</v>
      </c>
      <c r="L211" s="16">
        <f t="shared" si="10"/>
        <v>0</v>
      </c>
      <c r="M211" s="16">
        <f>IFERROR(AVERAGEIF('Production Batches'!$C:$C,F211,'Production Batches'!$L:$L),0)</f>
        <v>0</v>
      </c>
      <c r="N211" s="16">
        <f t="shared" si="11"/>
        <v>0</v>
      </c>
      <c r="P211" s="11"/>
      <c r="Q211" s="30"/>
    </row>
    <row r="212" spans="2:17">
      <c r="B212" s="30"/>
      <c r="C212" s="11"/>
      <c r="D212" s="11"/>
      <c r="E212" t="str">
        <f>IFERROR(VLOOKUP(D212,Customers!$A:$B,2,FALSE),"")</f>
        <v/>
      </c>
      <c r="F212" s="11"/>
      <c r="G212" t="str">
        <f>IFERROR(VLOOKUP(F212,'Products Index'!$A:$B,2,FALSE),"")</f>
        <v/>
      </c>
      <c r="H212" s="11"/>
      <c r="I212" s="12"/>
      <c r="J212" s="15"/>
      <c r="K212" s="16">
        <f t="shared" si="9"/>
        <v>0</v>
      </c>
      <c r="L212" s="16">
        <f t="shared" si="10"/>
        <v>0</v>
      </c>
      <c r="M212" s="16">
        <f>IFERROR(AVERAGEIF('Production Batches'!$C:$C,F212,'Production Batches'!$L:$L),0)</f>
        <v>0</v>
      </c>
      <c r="N212" s="16">
        <f t="shared" si="11"/>
        <v>0</v>
      </c>
      <c r="P212" s="11"/>
      <c r="Q212" s="30"/>
    </row>
    <row r="213" spans="2:17">
      <c r="B213" s="30"/>
      <c r="C213" s="11"/>
      <c r="D213" s="11"/>
      <c r="E213" t="str">
        <f>IFERROR(VLOOKUP(D213,Customers!$A:$B,2,FALSE),"")</f>
        <v/>
      </c>
      <c r="F213" s="11"/>
      <c r="G213" t="str">
        <f>IFERROR(VLOOKUP(F213,'Products Index'!$A:$B,2,FALSE),"")</f>
        <v/>
      </c>
      <c r="H213" s="11"/>
      <c r="I213" s="12"/>
      <c r="J213" s="15"/>
      <c r="K213" s="16">
        <f t="shared" si="9"/>
        <v>0</v>
      </c>
      <c r="L213" s="16">
        <f t="shared" si="10"/>
        <v>0</v>
      </c>
      <c r="M213" s="16">
        <f>IFERROR(AVERAGEIF('Production Batches'!$C:$C,F213,'Production Batches'!$L:$L),0)</f>
        <v>0</v>
      </c>
      <c r="N213" s="16">
        <f t="shared" si="11"/>
        <v>0</v>
      </c>
      <c r="P213" s="11"/>
      <c r="Q213" s="30"/>
    </row>
    <row r="214" spans="2:17">
      <c r="B214" s="30"/>
      <c r="C214" s="11"/>
      <c r="D214" s="11"/>
      <c r="E214" t="str">
        <f>IFERROR(VLOOKUP(D214,Customers!$A:$B,2,FALSE),"")</f>
        <v/>
      </c>
      <c r="F214" s="11"/>
      <c r="G214" t="str">
        <f>IFERROR(VLOOKUP(F214,'Products Index'!$A:$B,2,FALSE),"")</f>
        <v/>
      </c>
      <c r="H214" s="11"/>
      <c r="I214" s="12"/>
      <c r="J214" s="15"/>
      <c r="K214" s="16">
        <f t="shared" si="9"/>
        <v>0</v>
      </c>
      <c r="L214" s="16">
        <f t="shared" si="10"/>
        <v>0</v>
      </c>
      <c r="M214" s="16">
        <f>IFERROR(AVERAGEIF('Production Batches'!$C:$C,F214,'Production Batches'!$L:$L),0)</f>
        <v>0</v>
      </c>
      <c r="N214" s="16">
        <f t="shared" si="11"/>
        <v>0</v>
      </c>
      <c r="P214" s="11"/>
      <c r="Q214" s="30"/>
    </row>
    <row r="215" spans="2:17">
      <c r="B215" s="30"/>
      <c r="C215" s="11"/>
      <c r="D215" s="11"/>
      <c r="E215" t="str">
        <f>IFERROR(VLOOKUP(D215,Customers!$A:$B,2,FALSE),"")</f>
        <v/>
      </c>
      <c r="F215" s="11"/>
      <c r="G215" t="str">
        <f>IFERROR(VLOOKUP(F215,'Products Index'!$A:$B,2,FALSE),"")</f>
        <v/>
      </c>
      <c r="H215" s="11"/>
      <c r="I215" s="12"/>
      <c r="J215" s="15"/>
      <c r="K215" s="16">
        <f t="shared" si="9"/>
        <v>0</v>
      </c>
      <c r="L215" s="16">
        <f t="shared" si="10"/>
        <v>0</v>
      </c>
      <c r="M215" s="16">
        <f>IFERROR(AVERAGEIF('Production Batches'!$C:$C,F215,'Production Batches'!$L:$L),0)</f>
        <v>0</v>
      </c>
      <c r="N215" s="16">
        <f t="shared" si="11"/>
        <v>0</v>
      </c>
      <c r="P215" s="11"/>
      <c r="Q215" s="30"/>
    </row>
    <row r="216" spans="2:17">
      <c r="B216" s="30"/>
      <c r="C216" s="11"/>
      <c r="D216" s="11"/>
      <c r="E216" t="str">
        <f>IFERROR(VLOOKUP(D216,Customers!$A:$B,2,FALSE),"")</f>
        <v/>
      </c>
      <c r="F216" s="11"/>
      <c r="G216" t="str">
        <f>IFERROR(VLOOKUP(F216,'Products Index'!$A:$B,2,FALSE),"")</f>
        <v/>
      </c>
      <c r="H216" s="11"/>
      <c r="I216" s="12"/>
      <c r="J216" s="15"/>
      <c r="K216" s="16">
        <f t="shared" si="9"/>
        <v>0</v>
      </c>
      <c r="L216" s="16">
        <f t="shared" si="10"/>
        <v>0</v>
      </c>
      <c r="M216" s="16">
        <f>IFERROR(AVERAGEIF('Production Batches'!$C:$C,F216,'Production Batches'!$L:$L),0)</f>
        <v>0</v>
      </c>
      <c r="N216" s="16">
        <f t="shared" si="11"/>
        <v>0</v>
      </c>
      <c r="P216" s="11"/>
      <c r="Q216" s="30"/>
    </row>
    <row r="217" spans="2:17">
      <c r="B217" s="30"/>
      <c r="C217" s="11"/>
      <c r="D217" s="11"/>
      <c r="E217" t="str">
        <f>IFERROR(VLOOKUP(D217,Customers!$A:$B,2,FALSE),"")</f>
        <v/>
      </c>
      <c r="F217" s="11"/>
      <c r="G217" t="str">
        <f>IFERROR(VLOOKUP(F217,'Products Index'!$A:$B,2,FALSE),"")</f>
        <v/>
      </c>
      <c r="H217" s="11"/>
      <c r="I217" s="12"/>
      <c r="J217" s="15"/>
      <c r="K217" s="16">
        <f t="shared" si="9"/>
        <v>0</v>
      </c>
      <c r="L217" s="16">
        <f t="shared" si="10"/>
        <v>0</v>
      </c>
      <c r="M217" s="16">
        <f>IFERROR(AVERAGEIF('Production Batches'!$C:$C,F217,'Production Batches'!$L:$L),0)</f>
        <v>0</v>
      </c>
      <c r="N217" s="16">
        <f t="shared" si="11"/>
        <v>0</v>
      </c>
      <c r="P217" s="11"/>
      <c r="Q217" s="30"/>
    </row>
    <row r="218" spans="2:17">
      <c r="B218" s="30"/>
      <c r="C218" s="11"/>
      <c r="D218" s="11"/>
      <c r="E218" t="str">
        <f>IFERROR(VLOOKUP(D218,Customers!$A:$B,2,FALSE),"")</f>
        <v/>
      </c>
      <c r="F218" s="11"/>
      <c r="G218" t="str">
        <f>IFERROR(VLOOKUP(F218,'Products Index'!$A:$B,2,FALSE),"")</f>
        <v/>
      </c>
      <c r="H218" s="11"/>
      <c r="I218" s="12"/>
      <c r="J218" s="15"/>
      <c r="K218" s="16">
        <f t="shared" si="9"/>
        <v>0</v>
      </c>
      <c r="L218" s="16">
        <f t="shared" si="10"/>
        <v>0</v>
      </c>
      <c r="M218" s="16">
        <f>IFERROR(AVERAGEIF('Production Batches'!$C:$C,F218,'Production Batches'!$L:$L),0)</f>
        <v>0</v>
      </c>
      <c r="N218" s="16">
        <f t="shared" si="11"/>
        <v>0</v>
      </c>
      <c r="P218" s="11"/>
      <c r="Q218" s="30"/>
    </row>
    <row r="219" spans="2:17">
      <c r="B219" s="30"/>
      <c r="C219" s="11"/>
      <c r="D219" s="11"/>
      <c r="E219" t="str">
        <f>IFERROR(VLOOKUP(D219,Customers!$A:$B,2,FALSE),"")</f>
        <v/>
      </c>
      <c r="F219" s="11"/>
      <c r="G219" t="str">
        <f>IFERROR(VLOOKUP(F219,'Products Index'!$A:$B,2,FALSE),"")</f>
        <v/>
      </c>
      <c r="H219" s="11"/>
      <c r="I219" s="12"/>
      <c r="J219" s="15"/>
      <c r="K219" s="16">
        <f t="shared" si="9"/>
        <v>0</v>
      </c>
      <c r="L219" s="16">
        <f t="shared" si="10"/>
        <v>0</v>
      </c>
      <c r="M219" s="16">
        <f>IFERROR(AVERAGEIF('Production Batches'!$C:$C,F219,'Production Batches'!$L:$L),0)</f>
        <v>0</v>
      </c>
      <c r="N219" s="16">
        <f t="shared" si="11"/>
        <v>0</v>
      </c>
      <c r="P219" s="11"/>
      <c r="Q219" s="30"/>
    </row>
    <row r="220" spans="2:17">
      <c r="B220" s="30"/>
      <c r="C220" s="11"/>
      <c r="D220" s="11"/>
      <c r="E220" t="str">
        <f>IFERROR(VLOOKUP(D220,Customers!$A:$B,2,FALSE),"")</f>
        <v/>
      </c>
      <c r="F220" s="11"/>
      <c r="G220" t="str">
        <f>IFERROR(VLOOKUP(F220,'Products Index'!$A:$B,2,FALSE),"")</f>
        <v/>
      </c>
      <c r="H220" s="11"/>
      <c r="I220" s="12"/>
      <c r="J220" s="15"/>
      <c r="K220" s="16">
        <f t="shared" si="9"/>
        <v>0</v>
      </c>
      <c r="L220" s="16">
        <f t="shared" si="10"/>
        <v>0</v>
      </c>
      <c r="M220" s="16">
        <f>IFERROR(AVERAGEIF('Production Batches'!$C:$C,F220,'Production Batches'!$L:$L),0)</f>
        <v>0</v>
      </c>
      <c r="N220" s="16">
        <f t="shared" si="11"/>
        <v>0</v>
      </c>
      <c r="P220" s="11"/>
      <c r="Q220" s="30"/>
    </row>
    <row r="221" spans="2:17">
      <c r="B221" s="30"/>
      <c r="C221" s="11"/>
      <c r="D221" s="11"/>
      <c r="E221" t="str">
        <f>IFERROR(VLOOKUP(D221,Customers!$A:$B,2,FALSE),"")</f>
        <v/>
      </c>
      <c r="F221" s="11"/>
      <c r="G221" t="str">
        <f>IFERROR(VLOOKUP(F221,'Products Index'!$A:$B,2,FALSE),"")</f>
        <v/>
      </c>
      <c r="H221" s="11"/>
      <c r="I221" s="12"/>
      <c r="J221" s="15"/>
      <c r="K221" s="16">
        <f t="shared" si="9"/>
        <v>0</v>
      </c>
      <c r="L221" s="16">
        <f t="shared" si="10"/>
        <v>0</v>
      </c>
      <c r="M221" s="16">
        <f>IFERROR(AVERAGEIF('Production Batches'!$C:$C,F221,'Production Batches'!$L:$L),0)</f>
        <v>0</v>
      </c>
      <c r="N221" s="16">
        <f t="shared" si="11"/>
        <v>0</v>
      </c>
      <c r="P221" s="11"/>
      <c r="Q221" s="30"/>
    </row>
    <row r="222" spans="2:17">
      <c r="B222" s="30"/>
      <c r="C222" s="11"/>
      <c r="D222" s="11"/>
      <c r="E222" t="str">
        <f>IFERROR(VLOOKUP(D222,Customers!$A:$B,2,FALSE),"")</f>
        <v/>
      </c>
      <c r="F222" s="11"/>
      <c r="G222" t="str">
        <f>IFERROR(VLOOKUP(F222,'Products Index'!$A:$B,2,FALSE),"")</f>
        <v/>
      </c>
      <c r="H222" s="11"/>
      <c r="I222" s="12"/>
      <c r="J222" s="15"/>
      <c r="K222" s="16">
        <f t="shared" si="9"/>
        <v>0</v>
      </c>
      <c r="L222" s="16">
        <f t="shared" si="10"/>
        <v>0</v>
      </c>
      <c r="M222" s="16">
        <f>IFERROR(AVERAGEIF('Production Batches'!$C:$C,F222,'Production Batches'!$L:$L),0)</f>
        <v>0</v>
      </c>
      <c r="N222" s="16">
        <f t="shared" si="11"/>
        <v>0</v>
      </c>
      <c r="P222" s="11"/>
      <c r="Q222" s="30"/>
    </row>
    <row r="223" spans="2:17">
      <c r="B223" s="30"/>
      <c r="C223" s="11"/>
      <c r="D223" s="11"/>
      <c r="E223" t="str">
        <f>IFERROR(VLOOKUP(D223,Customers!$A:$B,2,FALSE),"")</f>
        <v/>
      </c>
      <c r="F223" s="11"/>
      <c r="G223" t="str">
        <f>IFERROR(VLOOKUP(F223,'Products Index'!$A:$B,2,FALSE),"")</f>
        <v/>
      </c>
      <c r="H223" s="11"/>
      <c r="I223" s="12"/>
      <c r="J223" s="15"/>
      <c r="K223" s="16">
        <f t="shared" si="9"/>
        <v>0</v>
      </c>
      <c r="L223" s="16">
        <f t="shared" si="10"/>
        <v>0</v>
      </c>
      <c r="M223" s="16">
        <f>IFERROR(AVERAGEIF('Production Batches'!$C:$C,F223,'Production Batches'!$L:$L),0)</f>
        <v>0</v>
      </c>
      <c r="N223" s="16">
        <f t="shared" si="11"/>
        <v>0</v>
      </c>
      <c r="P223" s="11"/>
      <c r="Q223" s="30"/>
    </row>
    <row r="224" spans="2:17">
      <c r="B224" s="30"/>
      <c r="C224" s="11"/>
      <c r="D224" s="11"/>
      <c r="E224" t="str">
        <f>IFERROR(VLOOKUP(D224,Customers!$A:$B,2,FALSE),"")</f>
        <v/>
      </c>
      <c r="F224" s="11"/>
      <c r="G224" t="str">
        <f>IFERROR(VLOOKUP(F224,'Products Index'!$A:$B,2,FALSE),"")</f>
        <v/>
      </c>
      <c r="H224" s="11"/>
      <c r="I224" s="12"/>
      <c r="J224" s="15"/>
      <c r="K224" s="16">
        <f t="shared" si="9"/>
        <v>0</v>
      </c>
      <c r="L224" s="16">
        <f t="shared" si="10"/>
        <v>0</v>
      </c>
      <c r="M224" s="16">
        <f>IFERROR(AVERAGEIF('Production Batches'!$C:$C,F224,'Production Batches'!$L:$L),0)</f>
        <v>0</v>
      </c>
      <c r="N224" s="16">
        <f t="shared" si="11"/>
        <v>0</v>
      </c>
      <c r="P224" s="11"/>
      <c r="Q224" s="30"/>
    </row>
    <row r="225" spans="2:17">
      <c r="B225" s="30"/>
      <c r="C225" s="11"/>
      <c r="D225" s="11"/>
      <c r="E225" t="str">
        <f>IFERROR(VLOOKUP(D225,Customers!$A:$B,2,FALSE),"")</f>
        <v/>
      </c>
      <c r="F225" s="11"/>
      <c r="G225" t="str">
        <f>IFERROR(VLOOKUP(F225,'Products Index'!$A:$B,2,FALSE),"")</f>
        <v/>
      </c>
      <c r="H225" s="11"/>
      <c r="I225" s="12"/>
      <c r="J225" s="15"/>
      <c r="K225" s="16">
        <f t="shared" si="9"/>
        <v>0</v>
      </c>
      <c r="L225" s="16">
        <f t="shared" si="10"/>
        <v>0</v>
      </c>
      <c r="M225" s="16">
        <f>IFERROR(AVERAGEIF('Production Batches'!$C:$C,F225,'Production Batches'!$L:$L),0)</f>
        <v>0</v>
      </c>
      <c r="N225" s="16">
        <f t="shared" si="11"/>
        <v>0</v>
      </c>
      <c r="P225" s="11"/>
      <c r="Q225" s="30"/>
    </row>
    <row r="226" spans="2:17">
      <c r="B226" s="30"/>
      <c r="C226" s="11"/>
      <c r="D226" s="11"/>
      <c r="E226" t="str">
        <f>IFERROR(VLOOKUP(D226,Customers!$A:$B,2,FALSE),"")</f>
        <v/>
      </c>
      <c r="F226" s="11"/>
      <c r="G226" t="str">
        <f>IFERROR(VLOOKUP(F226,'Products Index'!$A:$B,2,FALSE),"")</f>
        <v/>
      </c>
      <c r="H226" s="11"/>
      <c r="I226" s="12"/>
      <c r="J226" s="15"/>
      <c r="K226" s="16">
        <f t="shared" si="9"/>
        <v>0</v>
      </c>
      <c r="L226" s="16">
        <f t="shared" si="10"/>
        <v>0</v>
      </c>
      <c r="M226" s="16">
        <f>IFERROR(AVERAGEIF('Production Batches'!$C:$C,F226,'Production Batches'!$L:$L),0)</f>
        <v>0</v>
      </c>
      <c r="N226" s="16">
        <f t="shared" si="11"/>
        <v>0</v>
      </c>
      <c r="P226" s="11"/>
      <c r="Q226" s="30"/>
    </row>
    <row r="227" spans="2:17">
      <c r="B227" s="30"/>
      <c r="C227" s="11"/>
      <c r="D227" s="11"/>
      <c r="E227" t="str">
        <f>IFERROR(VLOOKUP(D227,Customers!$A:$B,2,FALSE),"")</f>
        <v/>
      </c>
      <c r="F227" s="11"/>
      <c r="G227" t="str">
        <f>IFERROR(VLOOKUP(F227,'Products Index'!$A:$B,2,FALSE),"")</f>
        <v/>
      </c>
      <c r="H227" s="11"/>
      <c r="I227" s="12"/>
      <c r="J227" s="15"/>
      <c r="K227" s="16">
        <f t="shared" si="9"/>
        <v>0</v>
      </c>
      <c r="L227" s="16">
        <f t="shared" si="10"/>
        <v>0</v>
      </c>
      <c r="M227" s="16">
        <f>IFERROR(AVERAGEIF('Production Batches'!$C:$C,F227,'Production Batches'!$L:$L),0)</f>
        <v>0</v>
      </c>
      <c r="N227" s="16">
        <f t="shared" si="11"/>
        <v>0</v>
      </c>
      <c r="P227" s="11"/>
      <c r="Q227" s="30"/>
    </row>
    <row r="228" spans="2:17">
      <c r="B228" s="30"/>
      <c r="C228" s="11"/>
      <c r="D228" s="11"/>
      <c r="E228" t="str">
        <f>IFERROR(VLOOKUP(D228,Customers!$A:$B,2,FALSE),"")</f>
        <v/>
      </c>
      <c r="F228" s="11"/>
      <c r="G228" t="str">
        <f>IFERROR(VLOOKUP(F228,'Products Index'!$A:$B,2,FALSE),"")</f>
        <v/>
      </c>
      <c r="H228" s="11"/>
      <c r="I228" s="12"/>
      <c r="J228" s="15"/>
      <c r="K228" s="16">
        <f t="shared" si="9"/>
        <v>0</v>
      </c>
      <c r="L228" s="16">
        <f t="shared" si="10"/>
        <v>0</v>
      </c>
      <c r="M228" s="16">
        <f>IFERROR(AVERAGEIF('Production Batches'!$C:$C,F228,'Production Batches'!$L:$L),0)</f>
        <v>0</v>
      </c>
      <c r="N228" s="16">
        <f t="shared" si="11"/>
        <v>0</v>
      </c>
      <c r="P228" s="11"/>
      <c r="Q228" s="30"/>
    </row>
    <row r="229" spans="2:17">
      <c r="B229" s="30"/>
      <c r="C229" s="11"/>
      <c r="D229" s="11"/>
      <c r="E229" t="str">
        <f>IFERROR(VLOOKUP(D229,Customers!$A:$B,2,FALSE),"")</f>
        <v/>
      </c>
      <c r="F229" s="11"/>
      <c r="G229" t="str">
        <f>IFERROR(VLOOKUP(F229,'Products Index'!$A:$B,2,FALSE),"")</f>
        <v/>
      </c>
      <c r="H229" s="11"/>
      <c r="I229" s="12"/>
      <c r="J229" s="15"/>
      <c r="K229" s="16">
        <f t="shared" si="9"/>
        <v>0</v>
      </c>
      <c r="L229" s="16">
        <f t="shared" si="10"/>
        <v>0</v>
      </c>
      <c r="M229" s="16">
        <f>IFERROR(AVERAGEIF('Production Batches'!$C:$C,F229,'Production Batches'!$L:$L),0)</f>
        <v>0</v>
      </c>
      <c r="N229" s="16">
        <f t="shared" si="11"/>
        <v>0</v>
      </c>
      <c r="P229" s="11"/>
      <c r="Q229" s="30"/>
    </row>
    <row r="230" spans="2:17">
      <c r="B230" s="30"/>
      <c r="C230" s="11"/>
      <c r="D230" s="11"/>
      <c r="E230" t="str">
        <f>IFERROR(VLOOKUP(D230,Customers!$A:$B,2,FALSE),"")</f>
        <v/>
      </c>
      <c r="F230" s="11"/>
      <c r="G230" t="str">
        <f>IFERROR(VLOOKUP(F230,'Products Index'!$A:$B,2,FALSE),"")</f>
        <v/>
      </c>
      <c r="H230" s="11"/>
      <c r="I230" s="12"/>
      <c r="J230" s="15"/>
      <c r="K230" s="16">
        <f t="shared" si="9"/>
        <v>0</v>
      </c>
      <c r="L230" s="16">
        <f t="shared" si="10"/>
        <v>0</v>
      </c>
      <c r="M230" s="16">
        <f>IFERROR(AVERAGEIF('Production Batches'!$C:$C,F230,'Production Batches'!$L:$L),0)</f>
        <v>0</v>
      </c>
      <c r="N230" s="16">
        <f t="shared" si="11"/>
        <v>0</v>
      </c>
      <c r="P230" s="11"/>
      <c r="Q230" s="30"/>
    </row>
    <row r="231" spans="2:17">
      <c r="B231" s="30"/>
      <c r="C231" s="11"/>
      <c r="D231" s="11"/>
      <c r="E231" t="str">
        <f>IFERROR(VLOOKUP(D231,Customers!$A:$B,2,FALSE),"")</f>
        <v/>
      </c>
      <c r="F231" s="11"/>
      <c r="G231" t="str">
        <f>IFERROR(VLOOKUP(F231,'Products Index'!$A:$B,2,FALSE),"")</f>
        <v/>
      </c>
      <c r="H231" s="11"/>
      <c r="I231" s="12"/>
      <c r="J231" s="15"/>
      <c r="K231" s="16">
        <f t="shared" si="9"/>
        <v>0</v>
      </c>
      <c r="L231" s="16">
        <f t="shared" si="10"/>
        <v>0</v>
      </c>
      <c r="M231" s="16">
        <f>IFERROR(AVERAGEIF('Production Batches'!$C:$C,F231,'Production Batches'!$L:$L),0)</f>
        <v>0</v>
      </c>
      <c r="N231" s="16">
        <f t="shared" si="11"/>
        <v>0</v>
      </c>
      <c r="P231" s="11"/>
      <c r="Q231" s="30"/>
    </row>
    <row r="232" spans="2:17">
      <c r="B232" s="30"/>
      <c r="C232" s="11"/>
      <c r="D232" s="11"/>
      <c r="E232" t="str">
        <f>IFERROR(VLOOKUP(D232,Customers!$A:$B,2,FALSE),"")</f>
        <v/>
      </c>
      <c r="F232" s="11"/>
      <c r="G232" t="str">
        <f>IFERROR(VLOOKUP(F232,'Products Index'!$A:$B,2,FALSE),"")</f>
        <v/>
      </c>
      <c r="H232" s="11"/>
      <c r="I232" s="12"/>
      <c r="J232" s="15"/>
      <c r="K232" s="16">
        <f t="shared" si="9"/>
        <v>0</v>
      </c>
      <c r="L232" s="16">
        <f t="shared" si="10"/>
        <v>0</v>
      </c>
      <c r="M232" s="16">
        <f>IFERROR(AVERAGEIF('Production Batches'!$C:$C,F232,'Production Batches'!$L:$L),0)</f>
        <v>0</v>
      </c>
      <c r="N232" s="16">
        <f t="shared" si="11"/>
        <v>0</v>
      </c>
      <c r="P232" s="11"/>
      <c r="Q232" s="30"/>
    </row>
    <row r="233" spans="2:17">
      <c r="B233" s="30"/>
      <c r="C233" s="11"/>
      <c r="D233" s="11"/>
      <c r="E233" t="str">
        <f>IFERROR(VLOOKUP(D233,Customers!$A:$B,2,FALSE),"")</f>
        <v/>
      </c>
      <c r="F233" s="11"/>
      <c r="G233" t="str">
        <f>IFERROR(VLOOKUP(F233,'Products Index'!$A:$B,2,FALSE),"")</f>
        <v/>
      </c>
      <c r="H233" s="11"/>
      <c r="I233" s="12"/>
      <c r="J233" s="15"/>
      <c r="K233" s="16">
        <f t="shared" si="9"/>
        <v>0</v>
      </c>
      <c r="L233" s="16">
        <f t="shared" si="10"/>
        <v>0</v>
      </c>
      <c r="M233" s="16">
        <f>IFERROR(AVERAGEIF('Production Batches'!$C:$C,F233,'Production Batches'!$L:$L),0)</f>
        <v>0</v>
      </c>
      <c r="N233" s="16">
        <f t="shared" si="11"/>
        <v>0</v>
      </c>
      <c r="P233" s="11"/>
      <c r="Q233" s="30"/>
    </row>
    <row r="234" spans="2:17">
      <c r="B234" s="30"/>
      <c r="C234" s="11"/>
      <c r="D234" s="11"/>
      <c r="E234" t="str">
        <f>IFERROR(VLOOKUP(D234,Customers!$A:$B,2,FALSE),"")</f>
        <v/>
      </c>
      <c r="F234" s="11"/>
      <c r="G234" t="str">
        <f>IFERROR(VLOOKUP(F234,'Products Index'!$A:$B,2,FALSE),"")</f>
        <v/>
      </c>
      <c r="H234" s="11"/>
      <c r="I234" s="12"/>
      <c r="J234" s="15"/>
      <c r="K234" s="16">
        <f t="shared" si="9"/>
        <v>0</v>
      </c>
      <c r="L234" s="16">
        <f t="shared" si="10"/>
        <v>0</v>
      </c>
      <c r="M234" s="16">
        <f>IFERROR(AVERAGEIF('Production Batches'!$C:$C,F234,'Production Batches'!$L:$L),0)</f>
        <v>0</v>
      </c>
      <c r="N234" s="16">
        <f t="shared" si="11"/>
        <v>0</v>
      </c>
      <c r="P234" s="11"/>
      <c r="Q234" s="30"/>
    </row>
    <row r="235" spans="2:17">
      <c r="B235" s="30"/>
      <c r="C235" s="11"/>
      <c r="D235" s="11"/>
      <c r="E235" t="str">
        <f>IFERROR(VLOOKUP(D235,Customers!$A:$B,2,FALSE),"")</f>
        <v/>
      </c>
      <c r="F235" s="11"/>
      <c r="G235" t="str">
        <f>IFERROR(VLOOKUP(F235,'Products Index'!$A:$B,2,FALSE),"")</f>
        <v/>
      </c>
      <c r="H235" s="11"/>
      <c r="I235" s="12"/>
      <c r="J235" s="15"/>
      <c r="K235" s="16">
        <f t="shared" si="9"/>
        <v>0</v>
      </c>
      <c r="L235" s="16">
        <f t="shared" si="10"/>
        <v>0</v>
      </c>
      <c r="M235" s="16">
        <f>IFERROR(AVERAGEIF('Production Batches'!$C:$C,F235,'Production Batches'!$L:$L),0)</f>
        <v>0</v>
      </c>
      <c r="N235" s="16">
        <f t="shared" si="11"/>
        <v>0</v>
      </c>
      <c r="P235" s="11"/>
      <c r="Q235" s="30"/>
    </row>
    <row r="236" spans="2:17">
      <c r="B236" s="30"/>
      <c r="C236" s="11"/>
      <c r="D236" s="11"/>
      <c r="E236" t="str">
        <f>IFERROR(VLOOKUP(D236,Customers!$A:$B,2,FALSE),"")</f>
        <v/>
      </c>
      <c r="F236" s="11"/>
      <c r="G236" t="str">
        <f>IFERROR(VLOOKUP(F236,'Products Index'!$A:$B,2,FALSE),"")</f>
        <v/>
      </c>
      <c r="H236" s="11"/>
      <c r="I236" s="12"/>
      <c r="J236" s="15"/>
      <c r="K236" s="16">
        <f t="shared" si="9"/>
        <v>0</v>
      </c>
      <c r="L236" s="16">
        <f t="shared" si="10"/>
        <v>0</v>
      </c>
      <c r="M236" s="16">
        <f>IFERROR(AVERAGEIF('Production Batches'!$C:$C,F236,'Production Batches'!$L:$L),0)</f>
        <v>0</v>
      </c>
      <c r="N236" s="16">
        <f t="shared" si="11"/>
        <v>0</v>
      </c>
      <c r="P236" s="11"/>
      <c r="Q236" s="30"/>
    </row>
    <row r="237" spans="2:17">
      <c r="B237" s="30"/>
      <c r="C237" s="11"/>
      <c r="D237" s="11"/>
      <c r="E237" t="str">
        <f>IFERROR(VLOOKUP(D237,Customers!$A:$B,2,FALSE),"")</f>
        <v/>
      </c>
      <c r="F237" s="11"/>
      <c r="G237" t="str">
        <f>IFERROR(VLOOKUP(F237,'Products Index'!$A:$B,2,FALSE),"")</f>
        <v/>
      </c>
      <c r="H237" s="11"/>
      <c r="I237" s="12"/>
      <c r="J237" s="15"/>
      <c r="K237" s="16">
        <f t="shared" si="9"/>
        <v>0</v>
      </c>
      <c r="L237" s="16">
        <f t="shared" si="10"/>
        <v>0</v>
      </c>
      <c r="M237" s="16">
        <f>IFERROR(AVERAGEIF('Production Batches'!$C:$C,F237,'Production Batches'!$L:$L),0)</f>
        <v>0</v>
      </c>
      <c r="N237" s="16">
        <f t="shared" si="11"/>
        <v>0</v>
      </c>
      <c r="P237" s="11"/>
      <c r="Q237" s="30"/>
    </row>
    <row r="238" spans="2:17">
      <c r="B238" s="30"/>
      <c r="C238" s="11"/>
      <c r="D238" s="11"/>
      <c r="E238" t="str">
        <f>IFERROR(VLOOKUP(D238,Customers!$A:$B,2,FALSE),"")</f>
        <v/>
      </c>
      <c r="F238" s="11"/>
      <c r="G238" t="str">
        <f>IFERROR(VLOOKUP(F238,'Products Index'!$A:$B,2,FALSE),"")</f>
        <v/>
      </c>
      <c r="H238" s="11"/>
      <c r="I238" s="12"/>
      <c r="J238" s="15"/>
      <c r="K238" s="16">
        <f t="shared" si="9"/>
        <v>0</v>
      </c>
      <c r="L238" s="16">
        <f t="shared" si="10"/>
        <v>0</v>
      </c>
      <c r="M238" s="16">
        <f>IFERROR(AVERAGEIF('Production Batches'!$C:$C,F238,'Production Batches'!$L:$L),0)</f>
        <v>0</v>
      </c>
      <c r="N238" s="16">
        <f t="shared" si="11"/>
        <v>0</v>
      </c>
      <c r="P238" s="11"/>
      <c r="Q238" s="30"/>
    </row>
    <row r="239" spans="2:17">
      <c r="B239" s="30"/>
      <c r="C239" s="11"/>
      <c r="D239" s="11"/>
      <c r="E239" t="str">
        <f>IFERROR(VLOOKUP(D239,Customers!$A:$B,2,FALSE),"")</f>
        <v/>
      </c>
      <c r="F239" s="11"/>
      <c r="G239" t="str">
        <f>IFERROR(VLOOKUP(F239,'Products Index'!$A:$B,2,FALSE),"")</f>
        <v/>
      </c>
      <c r="H239" s="11"/>
      <c r="I239" s="12"/>
      <c r="J239" s="15"/>
      <c r="K239" s="16">
        <f t="shared" si="9"/>
        <v>0</v>
      </c>
      <c r="L239" s="16">
        <f t="shared" si="10"/>
        <v>0</v>
      </c>
      <c r="M239" s="16">
        <f>IFERROR(AVERAGEIF('Production Batches'!$C:$C,F239,'Production Batches'!$L:$L),0)</f>
        <v>0</v>
      </c>
      <c r="N239" s="16">
        <f t="shared" si="11"/>
        <v>0</v>
      </c>
      <c r="P239" s="11"/>
      <c r="Q239" s="30"/>
    </row>
    <row r="240" spans="2:17">
      <c r="B240" s="30"/>
      <c r="C240" s="11"/>
      <c r="D240" s="11"/>
      <c r="E240" t="str">
        <f>IFERROR(VLOOKUP(D240,Customers!$A:$B,2,FALSE),"")</f>
        <v/>
      </c>
      <c r="F240" s="11"/>
      <c r="G240" t="str">
        <f>IFERROR(VLOOKUP(F240,'Products Index'!$A:$B,2,FALSE),"")</f>
        <v/>
      </c>
      <c r="H240" s="11"/>
      <c r="I240" s="12"/>
      <c r="J240" s="15"/>
      <c r="K240" s="16">
        <f t="shared" si="9"/>
        <v>0</v>
      </c>
      <c r="L240" s="16">
        <f t="shared" si="10"/>
        <v>0</v>
      </c>
      <c r="M240" s="16">
        <f>IFERROR(AVERAGEIF('Production Batches'!$C:$C,F240,'Production Batches'!$L:$L),0)</f>
        <v>0</v>
      </c>
      <c r="N240" s="16">
        <f t="shared" si="11"/>
        <v>0</v>
      </c>
      <c r="P240" s="11"/>
      <c r="Q240" s="30"/>
    </row>
    <row r="241" spans="2:17">
      <c r="B241" s="30"/>
      <c r="C241" s="11"/>
      <c r="D241" s="11"/>
      <c r="E241" t="str">
        <f>IFERROR(VLOOKUP(D241,Customers!$A:$B,2,FALSE),"")</f>
        <v/>
      </c>
      <c r="F241" s="11"/>
      <c r="G241" t="str">
        <f>IFERROR(VLOOKUP(F241,'Products Index'!$A:$B,2,FALSE),"")</f>
        <v/>
      </c>
      <c r="H241" s="11"/>
      <c r="I241" s="12"/>
      <c r="J241" s="15"/>
      <c r="K241" s="16">
        <f t="shared" si="9"/>
        <v>0</v>
      </c>
      <c r="L241" s="16">
        <f t="shared" si="10"/>
        <v>0</v>
      </c>
      <c r="M241" s="16">
        <f>IFERROR(AVERAGEIF('Production Batches'!$C:$C,F241,'Production Batches'!$L:$L),0)</f>
        <v>0</v>
      </c>
      <c r="N241" s="16">
        <f t="shared" si="11"/>
        <v>0</v>
      </c>
      <c r="P241" s="11"/>
      <c r="Q241" s="30"/>
    </row>
    <row r="242" spans="2:17">
      <c r="B242" s="30"/>
      <c r="C242" s="11"/>
      <c r="D242" s="11"/>
      <c r="E242" t="str">
        <f>IFERROR(VLOOKUP(D242,Customers!$A:$B,2,FALSE),"")</f>
        <v/>
      </c>
      <c r="F242" s="11"/>
      <c r="G242" t="str">
        <f>IFERROR(VLOOKUP(F242,'Products Index'!$A:$B,2,FALSE),"")</f>
        <v/>
      </c>
      <c r="H242" s="11"/>
      <c r="I242" s="12"/>
      <c r="J242" s="15"/>
      <c r="K242" s="16">
        <f t="shared" si="9"/>
        <v>0</v>
      </c>
      <c r="L242" s="16">
        <f t="shared" si="10"/>
        <v>0</v>
      </c>
      <c r="M242" s="16">
        <f>IFERROR(AVERAGEIF('Production Batches'!$C:$C,F242,'Production Batches'!$L:$L),0)</f>
        <v>0</v>
      </c>
      <c r="N242" s="16">
        <f t="shared" si="11"/>
        <v>0</v>
      </c>
      <c r="P242" s="11"/>
      <c r="Q242" s="30"/>
    </row>
    <row r="243" spans="2:17">
      <c r="B243" s="30"/>
      <c r="C243" s="11"/>
      <c r="D243" s="11"/>
      <c r="E243" t="str">
        <f>IFERROR(VLOOKUP(D243,Customers!$A:$B,2,FALSE),"")</f>
        <v/>
      </c>
      <c r="F243" s="11"/>
      <c r="G243" t="str">
        <f>IFERROR(VLOOKUP(F243,'Products Index'!$A:$B,2,FALSE),"")</f>
        <v/>
      </c>
      <c r="H243" s="11"/>
      <c r="I243" s="12"/>
      <c r="J243" s="15"/>
      <c r="K243" s="16">
        <f t="shared" si="9"/>
        <v>0</v>
      </c>
      <c r="L243" s="16">
        <f t="shared" si="10"/>
        <v>0</v>
      </c>
      <c r="M243" s="16">
        <f>IFERROR(AVERAGEIF('Production Batches'!$C:$C,F243,'Production Batches'!$L:$L),0)</f>
        <v>0</v>
      </c>
      <c r="N243" s="16">
        <f t="shared" si="11"/>
        <v>0</v>
      </c>
      <c r="P243" s="11"/>
      <c r="Q243" s="30"/>
    </row>
    <row r="244" spans="2:17">
      <c r="B244" s="30"/>
      <c r="C244" s="11"/>
      <c r="D244" s="11"/>
      <c r="E244" t="str">
        <f>IFERROR(VLOOKUP(D244,Customers!$A:$B,2,FALSE),"")</f>
        <v/>
      </c>
      <c r="F244" s="11"/>
      <c r="G244" t="str">
        <f>IFERROR(VLOOKUP(F244,'Products Index'!$A:$B,2,FALSE),"")</f>
        <v/>
      </c>
      <c r="H244" s="11"/>
      <c r="I244" s="12"/>
      <c r="J244" s="15"/>
      <c r="K244" s="16">
        <f t="shared" si="9"/>
        <v>0</v>
      </c>
      <c r="L244" s="16">
        <f t="shared" si="10"/>
        <v>0</v>
      </c>
      <c r="M244" s="16">
        <f>IFERROR(AVERAGEIF('Production Batches'!$C:$C,F244,'Production Batches'!$L:$L),0)</f>
        <v>0</v>
      </c>
      <c r="N244" s="16">
        <f t="shared" si="11"/>
        <v>0</v>
      </c>
      <c r="P244" s="11"/>
      <c r="Q244" s="30"/>
    </row>
    <row r="245" spans="2:17">
      <c r="B245" s="30"/>
      <c r="C245" s="11"/>
      <c r="D245" s="11"/>
      <c r="E245" t="str">
        <f>IFERROR(VLOOKUP(D245,Customers!$A:$B,2,FALSE),"")</f>
        <v/>
      </c>
      <c r="F245" s="11"/>
      <c r="G245" t="str">
        <f>IFERROR(VLOOKUP(F245,'Products Index'!$A:$B,2,FALSE),"")</f>
        <v/>
      </c>
      <c r="H245" s="11"/>
      <c r="I245" s="12"/>
      <c r="J245" s="15"/>
      <c r="K245" s="16">
        <f t="shared" si="9"/>
        <v>0</v>
      </c>
      <c r="L245" s="16">
        <f t="shared" si="10"/>
        <v>0</v>
      </c>
      <c r="M245" s="16">
        <f>IFERROR(AVERAGEIF('Production Batches'!$C:$C,F245,'Production Batches'!$L:$L),0)</f>
        <v>0</v>
      </c>
      <c r="N245" s="16">
        <f t="shared" si="11"/>
        <v>0</v>
      </c>
      <c r="P245" s="11"/>
      <c r="Q245" s="30"/>
    </row>
    <row r="246" spans="2:17">
      <c r="B246" s="30"/>
      <c r="C246" s="11"/>
      <c r="D246" s="11"/>
      <c r="E246" t="str">
        <f>IFERROR(VLOOKUP(D246,Customers!$A:$B,2,FALSE),"")</f>
        <v/>
      </c>
      <c r="F246" s="11"/>
      <c r="G246" t="str">
        <f>IFERROR(VLOOKUP(F246,'Products Index'!$A:$B,2,FALSE),"")</f>
        <v/>
      </c>
      <c r="H246" s="11"/>
      <c r="I246" s="12"/>
      <c r="J246" s="15"/>
      <c r="K246" s="16">
        <f t="shared" si="9"/>
        <v>0</v>
      </c>
      <c r="L246" s="16">
        <f t="shared" si="10"/>
        <v>0</v>
      </c>
      <c r="M246" s="16">
        <f>IFERROR(AVERAGEIF('Production Batches'!$C:$C,F246,'Production Batches'!$L:$L),0)</f>
        <v>0</v>
      </c>
      <c r="N246" s="16">
        <f t="shared" si="11"/>
        <v>0</v>
      </c>
      <c r="P246" s="11"/>
      <c r="Q246" s="30"/>
    </row>
    <row r="247" spans="2:17">
      <c r="B247" s="30"/>
      <c r="C247" s="11"/>
      <c r="D247" s="11"/>
      <c r="E247" t="str">
        <f>IFERROR(VLOOKUP(D247,Customers!$A:$B,2,FALSE),"")</f>
        <v/>
      </c>
      <c r="F247" s="11"/>
      <c r="G247" t="str">
        <f>IFERROR(VLOOKUP(F247,'Products Index'!$A:$B,2,FALSE),"")</f>
        <v/>
      </c>
      <c r="H247" s="11"/>
      <c r="I247" s="12"/>
      <c r="J247" s="15"/>
      <c r="K247" s="16">
        <f t="shared" si="9"/>
        <v>0</v>
      </c>
      <c r="L247" s="16">
        <f t="shared" si="10"/>
        <v>0</v>
      </c>
      <c r="M247" s="16">
        <f>IFERROR(AVERAGEIF('Production Batches'!$C:$C,F247,'Production Batches'!$L:$L),0)</f>
        <v>0</v>
      </c>
      <c r="N247" s="16">
        <f t="shared" si="11"/>
        <v>0</v>
      </c>
      <c r="P247" s="11"/>
      <c r="Q247" s="30"/>
    </row>
    <row r="248" spans="2:17">
      <c r="B248" s="30"/>
      <c r="C248" s="11"/>
      <c r="D248" s="11"/>
      <c r="E248" t="str">
        <f>IFERROR(VLOOKUP(D248,Customers!$A:$B,2,FALSE),"")</f>
        <v/>
      </c>
      <c r="F248" s="11"/>
      <c r="G248" t="str">
        <f>IFERROR(VLOOKUP(F248,'Products Index'!$A:$B,2,FALSE),"")</f>
        <v/>
      </c>
      <c r="H248" s="11"/>
      <c r="I248" s="12"/>
      <c r="J248" s="15"/>
      <c r="K248" s="16">
        <f t="shared" si="9"/>
        <v>0</v>
      </c>
      <c r="L248" s="16">
        <f t="shared" si="10"/>
        <v>0</v>
      </c>
      <c r="M248" s="16">
        <f>IFERROR(AVERAGEIF('Production Batches'!$C:$C,F248,'Production Batches'!$L:$L),0)</f>
        <v>0</v>
      </c>
      <c r="N248" s="16">
        <f t="shared" si="11"/>
        <v>0</v>
      </c>
      <c r="P248" s="11"/>
      <c r="Q248" s="30"/>
    </row>
    <row r="249" spans="2:17">
      <c r="B249" s="30"/>
      <c r="C249" s="11"/>
      <c r="D249" s="11"/>
      <c r="E249" t="str">
        <f>IFERROR(VLOOKUP(D249,Customers!$A:$B,2,FALSE),"")</f>
        <v/>
      </c>
      <c r="F249" s="11"/>
      <c r="G249" t="str">
        <f>IFERROR(VLOOKUP(F249,'Products Index'!$A:$B,2,FALSE),"")</f>
        <v/>
      </c>
      <c r="H249" s="11"/>
      <c r="I249" s="12"/>
      <c r="J249" s="15"/>
      <c r="K249" s="16">
        <f t="shared" si="9"/>
        <v>0</v>
      </c>
      <c r="L249" s="16">
        <f t="shared" si="10"/>
        <v>0</v>
      </c>
      <c r="M249" s="16">
        <f>IFERROR(AVERAGEIF('Production Batches'!$C:$C,F249,'Production Batches'!$L:$L),0)</f>
        <v>0</v>
      </c>
      <c r="N249" s="16">
        <f t="shared" si="11"/>
        <v>0</v>
      </c>
      <c r="P249" s="11"/>
      <c r="Q249" s="30"/>
    </row>
    <row r="250" spans="2:17">
      <c r="B250" s="30"/>
      <c r="C250" s="11"/>
      <c r="D250" s="11"/>
      <c r="E250" t="str">
        <f>IFERROR(VLOOKUP(D250,Customers!$A:$B,2,FALSE),"")</f>
        <v/>
      </c>
      <c r="F250" s="11"/>
      <c r="G250" t="str">
        <f>IFERROR(VLOOKUP(F250,'Products Index'!$A:$B,2,FALSE),"")</f>
        <v/>
      </c>
      <c r="H250" s="11"/>
      <c r="I250" s="12"/>
      <c r="J250" s="15"/>
      <c r="K250" s="16">
        <f t="shared" si="9"/>
        <v>0</v>
      </c>
      <c r="L250" s="16">
        <f t="shared" si="10"/>
        <v>0</v>
      </c>
      <c r="M250" s="16">
        <f>IFERROR(AVERAGEIF('Production Batches'!$C:$C,F250,'Production Batches'!$L:$L),0)</f>
        <v>0</v>
      </c>
      <c r="N250" s="16">
        <f t="shared" si="11"/>
        <v>0</v>
      </c>
      <c r="P250" s="11"/>
      <c r="Q250" s="30"/>
    </row>
    <row r="251" spans="2:17">
      <c r="B251" s="30"/>
      <c r="C251" s="11"/>
      <c r="D251" s="11"/>
      <c r="E251" t="str">
        <f>IFERROR(VLOOKUP(D251,Customers!$A:$B,2,FALSE),"")</f>
        <v/>
      </c>
      <c r="F251" s="11"/>
      <c r="G251" t="str">
        <f>IFERROR(VLOOKUP(F251,'Products Index'!$A:$B,2,FALSE),"")</f>
        <v/>
      </c>
      <c r="H251" s="11"/>
      <c r="I251" s="12"/>
      <c r="J251" s="15"/>
      <c r="K251" s="16">
        <f t="shared" si="9"/>
        <v>0</v>
      </c>
      <c r="L251" s="16">
        <f t="shared" si="10"/>
        <v>0</v>
      </c>
      <c r="M251" s="16">
        <f>IFERROR(AVERAGEIF('Production Batches'!$C:$C,F251,'Production Batches'!$L:$L),0)</f>
        <v>0</v>
      </c>
      <c r="N251" s="16">
        <f t="shared" si="11"/>
        <v>0</v>
      </c>
      <c r="P251" s="11"/>
      <c r="Q251" s="30"/>
    </row>
    <row r="252" spans="2:17">
      <c r="B252" s="30"/>
      <c r="C252" s="11"/>
      <c r="D252" s="11"/>
      <c r="E252" t="str">
        <f>IFERROR(VLOOKUP(D252,Customers!$A:$B,2,FALSE),"")</f>
        <v/>
      </c>
      <c r="F252" s="11"/>
      <c r="G252" t="str">
        <f>IFERROR(VLOOKUP(F252,'Products Index'!$A:$B,2,FALSE),"")</f>
        <v/>
      </c>
      <c r="H252" s="11"/>
      <c r="I252" s="12"/>
      <c r="J252" s="15"/>
      <c r="K252" s="16">
        <f t="shared" si="9"/>
        <v>0</v>
      </c>
      <c r="L252" s="16">
        <f t="shared" si="10"/>
        <v>0</v>
      </c>
      <c r="M252" s="16">
        <f>IFERROR(AVERAGEIF('Production Batches'!$C:$C,F252,'Production Batches'!$L:$L),0)</f>
        <v>0</v>
      </c>
      <c r="N252" s="16">
        <f t="shared" si="11"/>
        <v>0</v>
      </c>
      <c r="P252" s="11"/>
      <c r="Q252" s="30"/>
    </row>
    <row r="253" spans="2:17">
      <c r="B253" s="30"/>
      <c r="C253" s="11"/>
      <c r="D253" s="11"/>
      <c r="E253" t="str">
        <f>IFERROR(VLOOKUP(D253,Customers!$A:$B,2,FALSE),"")</f>
        <v/>
      </c>
      <c r="F253" s="11"/>
      <c r="G253" t="str">
        <f>IFERROR(VLOOKUP(F253,'Products Index'!$A:$B,2,FALSE),"")</f>
        <v/>
      </c>
      <c r="H253" s="11"/>
      <c r="I253" s="12"/>
      <c r="J253" s="15"/>
      <c r="K253" s="16">
        <f t="shared" si="9"/>
        <v>0</v>
      </c>
      <c r="L253" s="16">
        <f t="shared" si="10"/>
        <v>0</v>
      </c>
      <c r="M253" s="16">
        <f>IFERROR(AVERAGEIF('Production Batches'!$C:$C,F253,'Production Batches'!$L:$L),0)</f>
        <v>0</v>
      </c>
      <c r="N253" s="16">
        <f t="shared" si="11"/>
        <v>0</v>
      </c>
      <c r="P253" s="11"/>
      <c r="Q253" s="30"/>
    </row>
    <row r="254" spans="2:17">
      <c r="B254" s="30"/>
      <c r="C254" s="11"/>
      <c r="D254" s="11"/>
      <c r="E254" t="str">
        <f>IFERROR(VLOOKUP(D254,Customers!$A:$B,2,FALSE),"")</f>
        <v/>
      </c>
      <c r="F254" s="11"/>
      <c r="G254" t="str">
        <f>IFERROR(VLOOKUP(F254,'Products Index'!$A:$B,2,FALSE),"")</f>
        <v/>
      </c>
      <c r="H254" s="11"/>
      <c r="I254" s="12"/>
      <c r="J254" s="15"/>
      <c r="K254" s="16">
        <f t="shared" si="9"/>
        <v>0</v>
      </c>
      <c r="L254" s="16">
        <f t="shared" si="10"/>
        <v>0</v>
      </c>
      <c r="M254" s="16">
        <f>IFERROR(AVERAGEIF('Production Batches'!$C:$C,F254,'Production Batches'!$L:$L),0)</f>
        <v>0</v>
      </c>
      <c r="N254" s="16">
        <f t="shared" si="11"/>
        <v>0</v>
      </c>
      <c r="P254" s="11"/>
      <c r="Q254" s="30"/>
    </row>
    <row r="255" spans="2:17">
      <c r="B255" s="30"/>
      <c r="C255" s="11"/>
      <c r="D255" s="11"/>
      <c r="E255" t="str">
        <f>IFERROR(VLOOKUP(D255,Customers!$A:$B,2,FALSE),"")</f>
        <v/>
      </c>
      <c r="F255" s="11"/>
      <c r="G255" t="str">
        <f>IFERROR(VLOOKUP(F255,'Products Index'!$A:$B,2,FALSE),"")</f>
        <v/>
      </c>
      <c r="H255" s="11"/>
      <c r="I255" s="12"/>
      <c r="J255" s="15"/>
      <c r="K255" s="16">
        <f t="shared" si="9"/>
        <v>0</v>
      </c>
      <c r="L255" s="16">
        <f t="shared" si="10"/>
        <v>0</v>
      </c>
      <c r="M255" s="16">
        <f>IFERROR(AVERAGEIF('Production Batches'!$C:$C,F255,'Production Batches'!$L:$L),0)</f>
        <v>0</v>
      </c>
      <c r="N255" s="16">
        <f t="shared" si="11"/>
        <v>0</v>
      </c>
      <c r="P255" s="11"/>
      <c r="Q255" s="30"/>
    </row>
    <row r="256" spans="2:17">
      <c r="B256" s="30"/>
      <c r="C256" s="11"/>
      <c r="D256" s="11"/>
      <c r="E256" t="str">
        <f>IFERROR(VLOOKUP(D256,Customers!$A:$B,2,FALSE),"")</f>
        <v/>
      </c>
      <c r="F256" s="11"/>
      <c r="G256" t="str">
        <f>IFERROR(VLOOKUP(F256,'Products Index'!$A:$B,2,FALSE),"")</f>
        <v/>
      </c>
      <c r="H256" s="11"/>
      <c r="I256" s="12"/>
      <c r="J256" s="15"/>
      <c r="K256" s="16">
        <f t="shared" si="9"/>
        <v>0</v>
      </c>
      <c r="L256" s="16">
        <f t="shared" si="10"/>
        <v>0</v>
      </c>
      <c r="M256" s="16">
        <f>IFERROR(AVERAGEIF('Production Batches'!$C:$C,F256,'Production Batches'!$L:$L),0)</f>
        <v>0</v>
      </c>
      <c r="N256" s="16">
        <f t="shared" si="11"/>
        <v>0</v>
      </c>
      <c r="P256" s="11"/>
      <c r="Q256" s="30"/>
    </row>
    <row r="257" spans="2:17">
      <c r="B257" s="30"/>
      <c r="C257" s="11"/>
      <c r="D257" s="11"/>
      <c r="E257" t="str">
        <f>IFERROR(VLOOKUP(D257,Customers!$A:$B,2,FALSE),"")</f>
        <v/>
      </c>
      <c r="F257" s="11"/>
      <c r="G257" t="str">
        <f>IFERROR(VLOOKUP(F257,'Products Index'!$A:$B,2,FALSE),"")</f>
        <v/>
      </c>
      <c r="H257" s="11"/>
      <c r="I257" s="12"/>
      <c r="J257" s="15"/>
      <c r="K257" s="16">
        <f t="shared" si="9"/>
        <v>0</v>
      </c>
      <c r="L257" s="16">
        <f t="shared" si="10"/>
        <v>0</v>
      </c>
      <c r="M257" s="16">
        <f>IFERROR(AVERAGEIF('Production Batches'!$C:$C,F257,'Production Batches'!$L:$L),0)</f>
        <v>0</v>
      </c>
      <c r="N257" s="16">
        <f t="shared" si="11"/>
        <v>0</v>
      </c>
      <c r="P257" s="11"/>
      <c r="Q257" s="30"/>
    </row>
    <row r="258" spans="2:17">
      <c r="B258" s="30"/>
      <c r="C258" s="11"/>
      <c r="D258" s="11"/>
      <c r="E258" t="str">
        <f>IFERROR(VLOOKUP(D258,Customers!$A:$B,2,FALSE),"")</f>
        <v/>
      </c>
      <c r="F258" s="11"/>
      <c r="G258" t="str">
        <f>IFERROR(VLOOKUP(F258,'Products Index'!$A:$B,2,FALSE),"")</f>
        <v/>
      </c>
      <c r="H258" s="11"/>
      <c r="I258" s="12"/>
      <c r="J258" s="15"/>
      <c r="K258" s="16">
        <f t="shared" ref="K258:K321" si="12">IFERROR(I258*(1-J258),0)</f>
        <v>0</v>
      </c>
      <c r="L258" s="16">
        <f t="shared" ref="L258:L321" si="13">IFERROR(K258*H258,0)</f>
        <v>0</v>
      </c>
      <c r="M258" s="16">
        <f>IFERROR(AVERAGEIF('Production Batches'!$C:$C,F258,'Production Batches'!$L:$L),0)</f>
        <v>0</v>
      </c>
      <c r="N258" s="16">
        <f t="shared" ref="N258:N321" si="14">IFERROR(L258-(M258*H258),0)</f>
        <v>0</v>
      </c>
      <c r="P258" s="11"/>
      <c r="Q258" s="30"/>
    </row>
    <row r="259" spans="2:17">
      <c r="B259" s="30"/>
      <c r="C259" s="11"/>
      <c r="D259" s="11"/>
      <c r="E259" t="str">
        <f>IFERROR(VLOOKUP(D259,Customers!$A:$B,2,FALSE),"")</f>
        <v/>
      </c>
      <c r="F259" s="11"/>
      <c r="G259" t="str">
        <f>IFERROR(VLOOKUP(F259,'Products Index'!$A:$B,2,FALSE),"")</f>
        <v/>
      </c>
      <c r="H259" s="11"/>
      <c r="I259" s="12"/>
      <c r="J259" s="15"/>
      <c r="K259" s="16">
        <f t="shared" si="12"/>
        <v>0</v>
      </c>
      <c r="L259" s="16">
        <f t="shared" si="13"/>
        <v>0</v>
      </c>
      <c r="M259" s="16">
        <f>IFERROR(AVERAGEIF('Production Batches'!$C:$C,F259,'Production Batches'!$L:$L),0)</f>
        <v>0</v>
      </c>
      <c r="N259" s="16">
        <f t="shared" si="14"/>
        <v>0</v>
      </c>
      <c r="P259" s="11"/>
      <c r="Q259" s="30"/>
    </row>
    <row r="260" spans="2:17">
      <c r="B260" s="30"/>
      <c r="C260" s="11"/>
      <c r="D260" s="11"/>
      <c r="E260" t="str">
        <f>IFERROR(VLOOKUP(D260,Customers!$A:$B,2,FALSE),"")</f>
        <v/>
      </c>
      <c r="F260" s="11"/>
      <c r="G260" t="str">
        <f>IFERROR(VLOOKUP(F260,'Products Index'!$A:$B,2,FALSE),"")</f>
        <v/>
      </c>
      <c r="H260" s="11"/>
      <c r="I260" s="12"/>
      <c r="J260" s="15"/>
      <c r="K260" s="16">
        <f t="shared" si="12"/>
        <v>0</v>
      </c>
      <c r="L260" s="16">
        <f t="shared" si="13"/>
        <v>0</v>
      </c>
      <c r="M260" s="16">
        <f>IFERROR(AVERAGEIF('Production Batches'!$C:$C,F260,'Production Batches'!$L:$L),0)</f>
        <v>0</v>
      </c>
      <c r="N260" s="16">
        <f t="shared" si="14"/>
        <v>0</v>
      </c>
      <c r="P260" s="11"/>
      <c r="Q260" s="30"/>
    </row>
    <row r="261" spans="2:17">
      <c r="B261" s="30"/>
      <c r="C261" s="11"/>
      <c r="D261" s="11"/>
      <c r="E261" t="str">
        <f>IFERROR(VLOOKUP(D261,Customers!$A:$B,2,FALSE),"")</f>
        <v/>
      </c>
      <c r="F261" s="11"/>
      <c r="G261" t="str">
        <f>IFERROR(VLOOKUP(F261,'Products Index'!$A:$B,2,FALSE),"")</f>
        <v/>
      </c>
      <c r="H261" s="11"/>
      <c r="I261" s="12"/>
      <c r="J261" s="15"/>
      <c r="K261" s="16">
        <f t="shared" si="12"/>
        <v>0</v>
      </c>
      <c r="L261" s="16">
        <f t="shared" si="13"/>
        <v>0</v>
      </c>
      <c r="M261" s="16">
        <f>IFERROR(AVERAGEIF('Production Batches'!$C:$C,F261,'Production Batches'!$L:$L),0)</f>
        <v>0</v>
      </c>
      <c r="N261" s="16">
        <f t="shared" si="14"/>
        <v>0</v>
      </c>
      <c r="P261" s="11"/>
      <c r="Q261" s="30"/>
    </row>
    <row r="262" spans="2:17">
      <c r="B262" s="30"/>
      <c r="C262" s="11"/>
      <c r="D262" s="11"/>
      <c r="E262" t="str">
        <f>IFERROR(VLOOKUP(D262,Customers!$A:$B,2,FALSE),"")</f>
        <v/>
      </c>
      <c r="F262" s="11"/>
      <c r="G262" t="str">
        <f>IFERROR(VLOOKUP(F262,'Products Index'!$A:$B,2,FALSE),"")</f>
        <v/>
      </c>
      <c r="H262" s="11"/>
      <c r="I262" s="12"/>
      <c r="J262" s="15"/>
      <c r="K262" s="16">
        <f t="shared" si="12"/>
        <v>0</v>
      </c>
      <c r="L262" s="16">
        <f t="shared" si="13"/>
        <v>0</v>
      </c>
      <c r="M262" s="16">
        <f>IFERROR(AVERAGEIF('Production Batches'!$C:$C,F262,'Production Batches'!$L:$L),0)</f>
        <v>0</v>
      </c>
      <c r="N262" s="16">
        <f t="shared" si="14"/>
        <v>0</v>
      </c>
      <c r="P262" s="11"/>
      <c r="Q262" s="30"/>
    </row>
    <row r="263" spans="2:17">
      <c r="B263" s="30"/>
      <c r="C263" s="11"/>
      <c r="D263" s="11"/>
      <c r="E263" t="str">
        <f>IFERROR(VLOOKUP(D263,Customers!$A:$B,2,FALSE),"")</f>
        <v/>
      </c>
      <c r="F263" s="11"/>
      <c r="G263" t="str">
        <f>IFERROR(VLOOKUP(F263,'Products Index'!$A:$B,2,FALSE),"")</f>
        <v/>
      </c>
      <c r="H263" s="11"/>
      <c r="I263" s="12"/>
      <c r="J263" s="15"/>
      <c r="K263" s="16">
        <f t="shared" si="12"/>
        <v>0</v>
      </c>
      <c r="L263" s="16">
        <f t="shared" si="13"/>
        <v>0</v>
      </c>
      <c r="M263" s="16">
        <f>IFERROR(AVERAGEIF('Production Batches'!$C:$C,F263,'Production Batches'!$L:$L),0)</f>
        <v>0</v>
      </c>
      <c r="N263" s="16">
        <f t="shared" si="14"/>
        <v>0</v>
      </c>
      <c r="P263" s="11"/>
      <c r="Q263" s="30"/>
    </row>
    <row r="264" spans="2:17">
      <c r="B264" s="30"/>
      <c r="C264" s="11"/>
      <c r="D264" s="11"/>
      <c r="E264" t="str">
        <f>IFERROR(VLOOKUP(D264,Customers!$A:$B,2,FALSE),"")</f>
        <v/>
      </c>
      <c r="F264" s="11"/>
      <c r="G264" t="str">
        <f>IFERROR(VLOOKUP(F264,'Products Index'!$A:$B,2,FALSE),"")</f>
        <v/>
      </c>
      <c r="H264" s="11"/>
      <c r="I264" s="12"/>
      <c r="J264" s="15"/>
      <c r="K264" s="16">
        <f t="shared" si="12"/>
        <v>0</v>
      </c>
      <c r="L264" s="16">
        <f t="shared" si="13"/>
        <v>0</v>
      </c>
      <c r="M264" s="16">
        <f>IFERROR(AVERAGEIF('Production Batches'!$C:$C,F264,'Production Batches'!$L:$L),0)</f>
        <v>0</v>
      </c>
      <c r="N264" s="16">
        <f t="shared" si="14"/>
        <v>0</v>
      </c>
      <c r="P264" s="11"/>
      <c r="Q264" s="30"/>
    </row>
    <row r="265" spans="2:17">
      <c r="B265" s="30"/>
      <c r="C265" s="11"/>
      <c r="D265" s="11"/>
      <c r="E265" t="str">
        <f>IFERROR(VLOOKUP(D265,Customers!$A:$B,2,FALSE),"")</f>
        <v/>
      </c>
      <c r="F265" s="11"/>
      <c r="G265" t="str">
        <f>IFERROR(VLOOKUP(F265,'Products Index'!$A:$B,2,FALSE),"")</f>
        <v/>
      </c>
      <c r="H265" s="11"/>
      <c r="I265" s="12"/>
      <c r="J265" s="15"/>
      <c r="K265" s="16">
        <f t="shared" si="12"/>
        <v>0</v>
      </c>
      <c r="L265" s="16">
        <f t="shared" si="13"/>
        <v>0</v>
      </c>
      <c r="M265" s="16">
        <f>IFERROR(AVERAGEIF('Production Batches'!$C:$C,F265,'Production Batches'!$L:$L),0)</f>
        <v>0</v>
      </c>
      <c r="N265" s="16">
        <f t="shared" si="14"/>
        <v>0</v>
      </c>
      <c r="P265" s="11"/>
      <c r="Q265" s="30"/>
    </row>
    <row r="266" spans="2:17">
      <c r="B266" s="30"/>
      <c r="C266" s="11"/>
      <c r="D266" s="11"/>
      <c r="E266" t="str">
        <f>IFERROR(VLOOKUP(D266,Customers!$A:$B,2,FALSE),"")</f>
        <v/>
      </c>
      <c r="F266" s="11"/>
      <c r="G266" t="str">
        <f>IFERROR(VLOOKUP(F266,'Products Index'!$A:$B,2,FALSE),"")</f>
        <v/>
      </c>
      <c r="H266" s="11"/>
      <c r="I266" s="12"/>
      <c r="J266" s="15"/>
      <c r="K266" s="16">
        <f t="shared" si="12"/>
        <v>0</v>
      </c>
      <c r="L266" s="16">
        <f t="shared" si="13"/>
        <v>0</v>
      </c>
      <c r="M266" s="16">
        <f>IFERROR(AVERAGEIF('Production Batches'!$C:$C,F266,'Production Batches'!$L:$L),0)</f>
        <v>0</v>
      </c>
      <c r="N266" s="16">
        <f t="shared" si="14"/>
        <v>0</v>
      </c>
      <c r="P266" s="11"/>
      <c r="Q266" s="30"/>
    </row>
    <row r="267" spans="2:17">
      <c r="B267" s="30"/>
      <c r="C267" s="11"/>
      <c r="D267" s="11"/>
      <c r="E267" t="str">
        <f>IFERROR(VLOOKUP(D267,Customers!$A:$B,2,FALSE),"")</f>
        <v/>
      </c>
      <c r="F267" s="11"/>
      <c r="G267" t="str">
        <f>IFERROR(VLOOKUP(F267,'Products Index'!$A:$B,2,FALSE),"")</f>
        <v/>
      </c>
      <c r="H267" s="11"/>
      <c r="I267" s="12"/>
      <c r="J267" s="15"/>
      <c r="K267" s="16">
        <f t="shared" si="12"/>
        <v>0</v>
      </c>
      <c r="L267" s="16">
        <f t="shared" si="13"/>
        <v>0</v>
      </c>
      <c r="M267" s="16">
        <f>IFERROR(AVERAGEIF('Production Batches'!$C:$C,F267,'Production Batches'!$L:$L),0)</f>
        <v>0</v>
      </c>
      <c r="N267" s="16">
        <f t="shared" si="14"/>
        <v>0</v>
      </c>
      <c r="P267" s="11"/>
      <c r="Q267" s="30"/>
    </row>
    <row r="268" spans="2:17">
      <c r="B268" s="30"/>
      <c r="C268" s="11"/>
      <c r="D268" s="11"/>
      <c r="E268" t="str">
        <f>IFERROR(VLOOKUP(D268,Customers!$A:$B,2,FALSE),"")</f>
        <v/>
      </c>
      <c r="F268" s="11"/>
      <c r="G268" t="str">
        <f>IFERROR(VLOOKUP(F268,'Products Index'!$A:$B,2,FALSE),"")</f>
        <v/>
      </c>
      <c r="H268" s="11"/>
      <c r="I268" s="12"/>
      <c r="J268" s="15"/>
      <c r="K268" s="16">
        <f t="shared" si="12"/>
        <v>0</v>
      </c>
      <c r="L268" s="16">
        <f t="shared" si="13"/>
        <v>0</v>
      </c>
      <c r="M268" s="16">
        <f>IFERROR(AVERAGEIF('Production Batches'!$C:$C,F268,'Production Batches'!$L:$L),0)</f>
        <v>0</v>
      </c>
      <c r="N268" s="16">
        <f t="shared" si="14"/>
        <v>0</v>
      </c>
      <c r="P268" s="11"/>
      <c r="Q268" s="30"/>
    </row>
    <row r="269" spans="2:17">
      <c r="B269" s="30"/>
      <c r="C269" s="11"/>
      <c r="D269" s="11"/>
      <c r="E269" t="str">
        <f>IFERROR(VLOOKUP(D269,Customers!$A:$B,2,FALSE),"")</f>
        <v/>
      </c>
      <c r="F269" s="11"/>
      <c r="G269" t="str">
        <f>IFERROR(VLOOKUP(F269,'Products Index'!$A:$B,2,FALSE),"")</f>
        <v/>
      </c>
      <c r="H269" s="11"/>
      <c r="I269" s="12"/>
      <c r="J269" s="15"/>
      <c r="K269" s="16">
        <f t="shared" si="12"/>
        <v>0</v>
      </c>
      <c r="L269" s="16">
        <f t="shared" si="13"/>
        <v>0</v>
      </c>
      <c r="M269" s="16">
        <f>IFERROR(AVERAGEIF('Production Batches'!$C:$C,F269,'Production Batches'!$L:$L),0)</f>
        <v>0</v>
      </c>
      <c r="N269" s="16">
        <f t="shared" si="14"/>
        <v>0</v>
      </c>
      <c r="P269" s="11"/>
      <c r="Q269" s="30"/>
    </row>
    <row r="270" spans="2:17">
      <c r="B270" s="30"/>
      <c r="C270" s="11"/>
      <c r="D270" s="11"/>
      <c r="E270" t="str">
        <f>IFERROR(VLOOKUP(D270,Customers!$A:$B,2,FALSE),"")</f>
        <v/>
      </c>
      <c r="F270" s="11"/>
      <c r="G270" t="str">
        <f>IFERROR(VLOOKUP(F270,'Products Index'!$A:$B,2,FALSE),"")</f>
        <v/>
      </c>
      <c r="H270" s="11"/>
      <c r="I270" s="12"/>
      <c r="J270" s="15"/>
      <c r="K270" s="16">
        <f t="shared" si="12"/>
        <v>0</v>
      </c>
      <c r="L270" s="16">
        <f t="shared" si="13"/>
        <v>0</v>
      </c>
      <c r="M270" s="16">
        <f>IFERROR(AVERAGEIF('Production Batches'!$C:$C,F270,'Production Batches'!$L:$L),0)</f>
        <v>0</v>
      </c>
      <c r="N270" s="16">
        <f t="shared" si="14"/>
        <v>0</v>
      </c>
      <c r="P270" s="11"/>
      <c r="Q270" s="30"/>
    </row>
    <row r="271" spans="2:17">
      <c r="B271" s="30"/>
      <c r="C271" s="11"/>
      <c r="D271" s="11"/>
      <c r="E271" t="str">
        <f>IFERROR(VLOOKUP(D271,Customers!$A:$B,2,FALSE),"")</f>
        <v/>
      </c>
      <c r="F271" s="11"/>
      <c r="G271" t="str">
        <f>IFERROR(VLOOKUP(F271,'Products Index'!$A:$B,2,FALSE),"")</f>
        <v/>
      </c>
      <c r="H271" s="11"/>
      <c r="I271" s="12"/>
      <c r="J271" s="15"/>
      <c r="K271" s="16">
        <f t="shared" si="12"/>
        <v>0</v>
      </c>
      <c r="L271" s="16">
        <f t="shared" si="13"/>
        <v>0</v>
      </c>
      <c r="M271" s="16">
        <f>IFERROR(AVERAGEIF('Production Batches'!$C:$C,F271,'Production Batches'!$L:$L),0)</f>
        <v>0</v>
      </c>
      <c r="N271" s="16">
        <f t="shared" si="14"/>
        <v>0</v>
      </c>
      <c r="P271" s="11"/>
      <c r="Q271" s="30"/>
    </row>
    <row r="272" spans="2:17">
      <c r="B272" s="30"/>
      <c r="C272" s="11"/>
      <c r="D272" s="11"/>
      <c r="E272" t="str">
        <f>IFERROR(VLOOKUP(D272,Customers!$A:$B,2,FALSE),"")</f>
        <v/>
      </c>
      <c r="F272" s="11"/>
      <c r="G272" t="str">
        <f>IFERROR(VLOOKUP(F272,'Products Index'!$A:$B,2,FALSE),"")</f>
        <v/>
      </c>
      <c r="H272" s="11"/>
      <c r="I272" s="12"/>
      <c r="J272" s="15"/>
      <c r="K272" s="16">
        <f t="shared" si="12"/>
        <v>0</v>
      </c>
      <c r="L272" s="16">
        <f t="shared" si="13"/>
        <v>0</v>
      </c>
      <c r="M272" s="16">
        <f>IFERROR(AVERAGEIF('Production Batches'!$C:$C,F272,'Production Batches'!$L:$L),0)</f>
        <v>0</v>
      </c>
      <c r="N272" s="16">
        <f t="shared" si="14"/>
        <v>0</v>
      </c>
      <c r="P272" s="11"/>
      <c r="Q272" s="30"/>
    </row>
    <row r="273" spans="2:17">
      <c r="B273" s="30"/>
      <c r="C273" s="11"/>
      <c r="D273" s="11"/>
      <c r="E273" t="str">
        <f>IFERROR(VLOOKUP(D273,Customers!$A:$B,2,FALSE),"")</f>
        <v/>
      </c>
      <c r="F273" s="11"/>
      <c r="G273" t="str">
        <f>IFERROR(VLOOKUP(F273,'Products Index'!$A:$B,2,FALSE),"")</f>
        <v/>
      </c>
      <c r="H273" s="11"/>
      <c r="I273" s="12"/>
      <c r="J273" s="15"/>
      <c r="K273" s="16">
        <f t="shared" si="12"/>
        <v>0</v>
      </c>
      <c r="L273" s="16">
        <f t="shared" si="13"/>
        <v>0</v>
      </c>
      <c r="M273" s="16">
        <f>IFERROR(AVERAGEIF('Production Batches'!$C:$C,F273,'Production Batches'!$L:$L),0)</f>
        <v>0</v>
      </c>
      <c r="N273" s="16">
        <f t="shared" si="14"/>
        <v>0</v>
      </c>
      <c r="P273" s="11"/>
      <c r="Q273" s="30"/>
    </row>
    <row r="274" spans="2:17">
      <c r="B274" s="30"/>
      <c r="C274" s="11"/>
      <c r="D274" s="11"/>
      <c r="E274" t="str">
        <f>IFERROR(VLOOKUP(D274,Customers!$A:$B,2,FALSE),"")</f>
        <v/>
      </c>
      <c r="F274" s="11"/>
      <c r="G274" t="str">
        <f>IFERROR(VLOOKUP(F274,'Products Index'!$A:$B,2,FALSE),"")</f>
        <v/>
      </c>
      <c r="H274" s="11"/>
      <c r="I274" s="12"/>
      <c r="J274" s="15"/>
      <c r="K274" s="16">
        <f t="shared" si="12"/>
        <v>0</v>
      </c>
      <c r="L274" s="16">
        <f t="shared" si="13"/>
        <v>0</v>
      </c>
      <c r="M274" s="16">
        <f>IFERROR(AVERAGEIF('Production Batches'!$C:$C,F274,'Production Batches'!$L:$L),0)</f>
        <v>0</v>
      </c>
      <c r="N274" s="16">
        <f t="shared" si="14"/>
        <v>0</v>
      </c>
      <c r="P274" s="11"/>
      <c r="Q274" s="30"/>
    </row>
    <row r="275" spans="2:17">
      <c r="B275" s="30"/>
      <c r="C275" s="11"/>
      <c r="D275" s="11"/>
      <c r="E275" t="str">
        <f>IFERROR(VLOOKUP(D275,Customers!$A:$B,2,FALSE),"")</f>
        <v/>
      </c>
      <c r="F275" s="11"/>
      <c r="G275" t="str">
        <f>IFERROR(VLOOKUP(F275,'Products Index'!$A:$B,2,FALSE),"")</f>
        <v/>
      </c>
      <c r="H275" s="11"/>
      <c r="I275" s="12"/>
      <c r="J275" s="15"/>
      <c r="K275" s="16">
        <f t="shared" si="12"/>
        <v>0</v>
      </c>
      <c r="L275" s="16">
        <f t="shared" si="13"/>
        <v>0</v>
      </c>
      <c r="M275" s="16">
        <f>IFERROR(AVERAGEIF('Production Batches'!$C:$C,F275,'Production Batches'!$L:$L),0)</f>
        <v>0</v>
      </c>
      <c r="N275" s="16">
        <f t="shared" si="14"/>
        <v>0</v>
      </c>
      <c r="P275" s="11"/>
      <c r="Q275" s="30"/>
    </row>
    <row r="276" spans="2:17">
      <c r="B276" s="30"/>
      <c r="C276" s="11"/>
      <c r="D276" s="11"/>
      <c r="E276" t="str">
        <f>IFERROR(VLOOKUP(D276,Customers!$A:$B,2,FALSE),"")</f>
        <v/>
      </c>
      <c r="F276" s="11"/>
      <c r="G276" t="str">
        <f>IFERROR(VLOOKUP(F276,'Products Index'!$A:$B,2,FALSE),"")</f>
        <v/>
      </c>
      <c r="H276" s="11"/>
      <c r="I276" s="12"/>
      <c r="J276" s="15"/>
      <c r="K276" s="16">
        <f t="shared" si="12"/>
        <v>0</v>
      </c>
      <c r="L276" s="16">
        <f t="shared" si="13"/>
        <v>0</v>
      </c>
      <c r="M276" s="16">
        <f>IFERROR(AVERAGEIF('Production Batches'!$C:$C,F276,'Production Batches'!$L:$L),0)</f>
        <v>0</v>
      </c>
      <c r="N276" s="16">
        <f t="shared" si="14"/>
        <v>0</v>
      </c>
      <c r="P276" s="11"/>
      <c r="Q276" s="30"/>
    </row>
    <row r="277" spans="2:17">
      <c r="B277" s="30"/>
      <c r="C277" s="11"/>
      <c r="D277" s="11"/>
      <c r="E277" t="str">
        <f>IFERROR(VLOOKUP(D277,Customers!$A:$B,2,FALSE),"")</f>
        <v/>
      </c>
      <c r="F277" s="11"/>
      <c r="G277" t="str">
        <f>IFERROR(VLOOKUP(F277,'Products Index'!$A:$B,2,FALSE),"")</f>
        <v/>
      </c>
      <c r="H277" s="11"/>
      <c r="I277" s="12"/>
      <c r="J277" s="15"/>
      <c r="K277" s="16">
        <f t="shared" si="12"/>
        <v>0</v>
      </c>
      <c r="L277" s="16">
        <f t="shared" si="13"/>
        <v>0</v>
      </c>
      <c r="M277" s="16">
        <f>IFERROR(AVERAGEIF('Production Batches'!$C:$C,F277,'Production Batches'!$L:$L),0)</f>
        <v>0</v>
      </c>
      <c r="N277" s="16">
        <f t="shared" si="14"/>
        <v>0</v>
      </c>
      <c r="P277" s="11"/>
      <c r="Q277" s="30"/>
    </row>
    <row r="278" spans="2:17">
      <c r="B278" s="30"/>
      <c r="C278" s="11"/>
      <c r="D278" s="11"/>
      <c r="E278" t="str">
        <f>IFERROR(VLOOKUP(D278,Customers!$A:$B,2,FALSE),"")</f>
        <v/>
      </c>
      <c r="F278" s="11"/>
      <c r="G278" t="str">
        <f>IFERROR(VLOOKUP(F278,'Products Index'!$A:$B,2,FALSE),"")</f>
        <v/>
      </c>
      <c r="H278" s="11"/>
      <c r="I278" s="12"/>
      <c r="J278" s="15"/>
      <c r="K278" s="16">
        <f t="shared" si="12"/>
        <v>0</v>
      </c>
      <c r="L278" s="16">
        <f t="shared" si="13"/>
        <v>0</v>
      </c>
      <c r="M278" s="16">
        <f>IFERROR(AVERAGEIF('Production Batches'!$C:$C,F278,'Production Batches'!$L:$L),0)</f>
        <v>0</v>
      </c>
      <c r="N278" s="16">
        <f t="shared" si="14"/>
        <v>0</v>
      </c>
      <c r="P278" s="11"/>
      <c r="Q278" s="30"/>
    </row>
    <row r="279" spans="2:17">
      <c r="B279" s="30"/>
      <c r="C279" s="11"/>
      <c r="D279" s="11"/>
      <c r="E279" t="str">
        <f>IFERROR(VLOOKUP(D279,Customers!$A:$B,2,FALSE),"")</f>
        <v/>
      </c>
      <c r="F279" s="11"/>
      <c r="G279" t="str">
        <f>IFERROR(VLOOKUP(F279,'Products Index'!$A:$B,2,FALSE),"")</f>
        <v/>
      </c>
      <c r="H279" s="11"/>
      <c r="I279" s="12"/>
      <c r="J279" s="15"/>
      <c r="K279" s="16">
        <f t="shared" si="12"/>
        <v>0</v>
      </c>
      <c r="L279" s="16">
        <f t="shared" si="13"/>
        <v>0</v>
      </c>
      <c r="M279" s="16">
        <f>IFERROR(AVERAGEIF('Production Batches'!$C:$C,F279,'Production Batches'!$L:$L),0)</f>
        <v>0</v>
      </c>
      <c r="N279" s="16">
        <f t="shared" si="14"/>
        <v>0</v>
      </c>
      <c r="P279" s="11"/>
      <c r="Q279" s="30"/>
    </row>
    <row r="280" spans="2:17">
      <c r="B280" s="30"/>
      <c r="C280" s="11"/>
      <c r="D280" s="11"/>
      <c r="E280" t="str">
        <f>IFERROR(VLOOKUP(D280,Customers!$A:$B,2,FALSE),"")</f>
        <v/>
      </c>
      <c r="F280" s="11"/>
      <c r="G280" t="str">
        <f>IFERROR(VLOOKUP(F280,'Products Index'!$A:$B,2,FALSE),"")</f>
        <v/>
      </c>
      <c r="H280" s="11"/>
      <c r="I280" s="12"/>
      <c r="J280" s="15"/>
      <c r="K280" s="16">
        <f t="shared" si="12"/>
        <v>0</v>
      </c>
      <c r="L280" s="16">
        <f t="shared" si="13"/>
        <v>0</v>
      </c>
      <c r="M280" s="16">
        <f>IFERROR(AVERAGEIF('Production Batches'!$C:$C,F280,'Production Batches'!$L:$L),0)</f>
        <v>0</v>
      </c>
      <c r="N280" s="16">
        <f t="shared" si="14"/>
        <v>0</v>
      </c>
      <c r="P280" s="11"/>
      <c r="Q280" s="30"/>
    </row>
    <row r="281" spans="2:17">
      <c r="B281" s="30"/>
      <c r="C281" s="11"/>
      <c r="D281" s="11"/>
      <c r="E281" t="str">
        <f>IFERROR(VLOOKUP(D281,Customers!$A:$B,2,FALSE),"")</f>
        <v/>
      </c>
      <c r="F281" s="11"/>
      <c r="G281" t="str">
        <f>IFERROR(VLOOKUP(F281,'Products Index'!$A:$B,2,FALSE),"")</f>
        <v/>
      </c>
      <c r="H281" s="11"/>
      <c r="I281" s="12"/>
      <c r="J281" s="15"/>
      <c r="K281" s="16">
        <f t="shared" si="12"/>
        <v>0</v>
      </c>
      <c r="L281" s="16">
        <f t="shared" si="13"/>
        <v>0</v>
      </c>
      <c r="M281" s="16">
        <f>IFERROR(AVERAGEIF('Production Batches'!$C:$C,F281,'Production Batches'!$L:$L),0)</f>
        <v>0</v>
      </c>
      <c r="N281" s="16">
        <f t="shared" si="14"/>
        <v>0</v>
      </c>
      <c r="P281" s="11"/>
      <c r="Q281" s="30"/>
    </row>
    <row r="282" spans="2:17">
      <c r="B282" s="30"/>
      <c r="C282" s="11"/>
      <c r="D282" s="11"/>
      <c r="E282" t="str">
        <f>IFERROR(VLOOKUP(D282,Customers!$A:$B,2,FALSE),"")</f>
        <v/>
      </c>
      <c r="F282" s="11"/>
      <c r="G282" t="str">
        <f>IFERROR(VLOOKUP(F282,'Products Index'!$A:$B,2,FALSE),"")</f>
        <v/>
      </c>
      <c r="H282" s="11"/>
      <c r="I282" s="12"/>
      <c r="J282" s="15"/>
      <c r="K282" s="16">
        <f t="shared" si="12"/>
        <v>0</v>
      </c>
      <c r="L282" s="16">
        <f t="shared" si="13"/>
        <v>0</v>
      </c>
      <c r="M282" s="16">
        <f>IFERROR(AVERAGEIF('Production Batches'!$C:$C,F282,'Production Batches'!$L:$L),0)</f>
        <v>0</v>
      </c>
      <c r="N282" s="16">
        <f t="shared" si="14"/>
        <v>0</v>
      </c>
      <c r="P282" s="11"/>
      <c r="Q282" s="30"/>
    </row>
    <row r="283" spans="2:17">
      <c r="B283" s="30"/>
      <c r="C283" s="11"/>
      <c r="D283" s="11"/>
      <c r="E283" t="str">
        <f>IFERROR(VLOOKUP(D283,Customers!$A:$B,2,FALSE),"")</f>
        <v/>
      </c>
      <c r="F283" s="11"/>
      <c r="G283" t="str">
        <f>IFERROR(VLOOKUP(F283,'Products Index'!$A:$B,2,FALSE),"")</f>
        <v/>
      </c>
      <c r="H283" s="11"/>
      <c r="I283" s="12"/>
      <c r="J283" s="15"/>
      <c r="K283" s="16">
        <f t="shared" si="12"/>
        <v>0</v>
      </c>
      <c r="L283" s="16">
        <f t="shared" si="13"/>
        <v>0</v>
      </c>
      <c r="M283" s="16">
        <f>IFERROR(AVERAGEIF('Production Batches'!$C:$C,F283,'Production Batches'!$L:$L),0)</f>
        <v>0</v>
      </c>
      <c r="N283" s="16">
        <f t="shared" si="14"/>
        <v>0</v>
      </c>
      <c r="P283" s="11"/>
      <c r="Q283" s="30"/>
    </row>
    <row r="284" spans="2:17">
      <c r="B284" s="30"/>
      <c r="C284" s="11"/>
      <c r="D284" s="11"/>
      <c r="E284" t="str">
        <f>IFERROR(VLOOKUP(D284,Customers!$A:$B,2,FALSE),"")</f>
        <v/>
      </c>
      <c r="F284" s="11"/>
      <c r="G284" t="str">
        <f>IFERROR(VLOOKUP(F284,'Products Index'!$A:$B,2,FALSE),"")</f>
        <v/>
      </c>
      <c r="H284" s="11"/>
      <c r="I284" s="12"/>
      <c r="J284" s="15"/>
      <c r="K284" s="16">
        <f t="shared" si="12"/>
        <v>0</v>
      </c>
      <c r="L284" s="16">
        <f t="shared" si="13"/>
        <v>0</v>
      </c>
      <c r="M284" s="16">
        <f>IFERROR(AVERAGEIF('Production Batches'!$C:$C,F284,'Production Batches'!$L:$L),0)</f>
        <v>0</v>
      </c>
      <c r="N284" s="16">
        <f t="shared" si="14"/>
        <v>0</v>
      </c>
      <c r="P284" s="11"/>
      <c r="Q284" s="30"/>
    </row>
    <row r="285" spans="2:17">
      <c r="B285" s="30"/>
      <c r="C285" s="11"/>
      <c r="D285" s="11"/>
      <c r="E285" t="str">
        <f>IFERROR(VLOOKUP(D285,Customers!$A:$B,2,FALSE),"")</f>
        <v/>
      </c>
      <c r="F285" s="11"/>
      <c r="G285" t="str">
        <f>IFERROR(VLOOKUP(F285,'Products Index'!$A:$B,2,FALSE),"")</f>
        <v/>
      </c>
      <c r="H285" s="11"/>
      <c r="I285" s="12"/>
      <c r="J285" s="15"/>
      <c r="K285" s="16">
        <f t="shared" si="12"/>
        <v>0</v>
      </c>
      <c r="L285" s="16">
        <f t="shared" si="13"/>
        <v>0</v>
      </c>
      <c r="M285" s="16">
        <f>IFERROR(AVERAGEIF('Production Batches'!$C:$C,F285,'Production Batches'!$L:$L),0)</f>
        <v>0</v>
      </c>
      <c r="N285" s="16">
        <f t="shared" si="14"/>
        <v>0</v>
      </c>
      <c r="P285" s="11"/>
      <c r="Q285" s="30"/>
    </row>
    <row r="286" spans="2:17">
      <c r="B286" s="30"/>
      <c r="C286" s="11"/>
      <c r="D286" s="11"/>
      <c r="E286" t="str">
        <f>IFERROR(VLOOKUP(D286,Customers!$A:$B,2,FALSE),"")</f>
        <v/>
      </c>
      <c r="F286" s="11"/>
      <c r="G286" t="str">
        <f>IFERROR(VLOOKUP(F286,'Products Index'!$A:$B,2,FALSE),"")</f>
        <v/>
      </c>
      <c r="H286" s="11"/>
      <c r="I286" s="12"/>
      <c r="J286" s="15"/>
      <c r="K286" s="16">
        <f t="shared" si="12"/>
        <v>0</v>
      </c>
      <c r="L286" s="16">
        <f t="shared" si="13"/>
        <v>0</v>
      </c>
      <c r="M286" s="16">
        <f>IFERROR(AVERAGEIF('Production Batches'!$C:$C,F286,'Production Batches'!$L:$L),0)</f>
        <v>0</v>
      </c>
      <c r="N286" s="16">
        <f t="shared" si="14"/>
        <v>0</v>
      </c>
      <c r="P286" s="11"/>
      <c r="Q286" s="30"/>
    </row>
    <row r="287" spans="2:17">
      <c r="B287" s="30"/>
      <c r="C287" s="11"/>
      <c r="D287" s="11"/>
      <c r="E287" t="str">
        <f>IFERROR(VLOOKUP(D287,Customers!$A:$B,2,FALSE),"")</f>
        <v/>
      </c>
      <c r="F287" s="11"/>
      <c r="G287" t="str">
        <f>IFERROR(VLOOKUP(F287,'Products Index'!$A:$B,2,FALSE),"")</f>
        <v/>
      </c>
      <c r="H287" s="11"/>
      <c r="I287" s="12"/>
      <c r="J287" s="15"/>
      <c r="K287" s="16">
        <f t="shared" si="12"/>
        <v>0</v>
      </c>
      <c r="L287" s="16">
        <f t="shared" si="13"/>
        <v>0</v>
      </c>
      <c r="M287" s="16">
        <f>IFERROR(AVERAGEIF('Production Batches'!$C:$C,F287,'Production Batches'!$L:$L),0)</f>
        <v>0</v>
      </c>
      <c r="N287" s="16">
        <f t="shared" si="14"/>
        <v>0</v>
      </c>
      <c r="P287" s="11"/>
      <c r="Q287" s="30"/>
    </row>
    <row r="288" spans="2:17">
      <c r="B288" s="30"/>
      <c r="C288" s="11"/>
      <c r="D288" s="11"/>
      <c r="E288" t="str">
        <f>IFERROR(VLOOKUP(D288,Customers!$A:$B,2,FALSE),"")</f>
        <v/>
      </c>
      <c r="F288" s="11"/>
      <c r="G288" t="str">
        <f>IFERROR(VLOOKUP(F288,'Products Index'!$A:$B,2,FALSE),"")</f>
        <v/>
      </c>
      <c r="H288" s="11"/>
      <c r="I288" s="12"/>
      <c r="J288" s="15"/>
      <c r="K288" s="16">
        <f t="shared" si="12"/>
        <v>0</v>
      </c>
      <c r="L288" s="16">
        <f t="shared" si="13"/>
        <v>0</v>
      </c>
      <c r="M288" s="16">
        <f>IFERROR(AVERAGEIF('Production Batches'!$C:$C,F288,'Production Batches'!$L:$L),0)</f>
        <v>0</v>
      </c>
      <c r="N288" s="16">
        <f t="shared" si="14"/>
        <v>0</v>
      </c>
      <c r="P288" s="11"/>
      <c r="Q288" s="30"/>
    </row>
    <row r="289" spans="2:17">
      <c r="B289" s="30"/>
      <c r="C289" s="11"/>
      <c r="D289" s="11"/>
      <c r="E289" t="str">
        <f>IFERROR(VLOOKUP(D289,Customers!$A:$B,2,FALSE),"")</f>
        <v/>
      </c>
      <c r="F289" s="11"/>
      <c r="G289" t="str">
        <f>IFERROR(VLOOKUP(F289,'Products Index'!$A:$B,2,FALSE),"")</f>
        <v/>
      </c>
      <c r="H289" s="11"/>
      <c r="I289" s="12"/>
      <c r="J289" s="15"/>
      <c r="K289" s="16">
        <f t="shared" si="12"/>
        <v>0</v>
      </c>
      <c r="L289" s="16">
        <f t="shared" si="13"/>
        <v>0</v>
      </c>
      <c r="M289" s="16">
        <f>IFERROR(AVERAGEIF('Production Batches'!$C:$C,F289,'Production Batches'!$L:$L),0)</f>
        <v>0</v>
      </c>
      <c r="N289" s="16">
        <f t="shared" si="14"/>
        <v>0</v>
      </c>
      <c r="P289" s="11"/>
      <c r="Q289" s="30"/>
    </row>
    <row r="290" spans="2:17">
      <c r="B290" s="30"/>
      <c r="C290" s="11"/>
      <c r="D290" s="11"/>
      <c r="E290" t="str">
        <f>IFERROR(VLOOKUP(D290,Customers!$A:$B,2,FALSE),"")</f>
        <v/>
      </c>
      <c r="F290" s="11"/>
      <c r="G290" t="str">
        <f>IFERROR(VLOOKUP(F290,'Products Index'!$A:$B,2,FALSE),"")</f>
        <v/>
      </c>
      <c r="H290" s="11"/>
      <c r="I290" s="12"/>
      <c r="J290" s="15"/>
      <c r="K290" s="16">
        <f t="shared" si="12"/>
        <v>0</v>
      </c>
      <c r="L290" s="16">
        <f t="shared" si="13"/>
        <v>0</v>
      </c>
      <c r="M290" s="16">
        <f>IFERROR(AVERAGEIF('Production Batches'!$C:$C,F290,'Production Batches'!$L:$L),0)</f>
        <v>0</v>
      </c>
      <c r="N290" s="16">
        <f t="shared" si="14"/>
        <v>0</v>
      </c>
      <c r="P290" s="11"/>
      <c r="Q290" s="30"/>
    </row>
    <row r="291" spans="2:17">
      <c r="B291" s="30"/>
      <c r="C291" s="11"/>
      <c r="D291" s="11"/>
      <c r="E291" t="str">
        <f>IFERROR(VLOOKUP(D291,Customers!$A:$B,2,FALSE),"")</f>
        <v/>
      </c>
      <c r="F291" s="11"/>
      <c r="G291" t="str">
        <f>IFERROR(VLOOKUP(F291,'Products Index'!$A:$B,2,FALSE),"")</f>
        <v/>
      </c>
      <c r="H291" s="11"/>
      <c r="I291" s="12"/>
      <c r="J291" s="15"/>
      <c r="K291" s="16">
        <f t="shared" si="12"/>
        <v>0</v>
      </c>
      <c r="L291" s="16">
        <f t="shared" si="13"/>
        <v>0</v>
      </c>
      <c r="M291" s="16">
        <f>IFERROR(AVERAGEIF('Production Batches'!$C:$C,F291,'Production Batches'!$L:$L),0)</f>
        <v>0</v>
      </c>
      <c r="N291" s="16">
        <f t="shared" si="14"/>
        <v>0</v>
      </c>
      <c r="P291" s="11"/>
      <c r="Q291" s="30"/>
    </row>
    <row r="292" spans="2:17">
      <c r="B292" s="30"/>
      <c r="C292" s="11"/>
      <c r="D292" s="11"/>
      <c r="E292" t="str">
        <f>IFERROR(VLOOKUP(D292,Customers!$A:$B,2,FALSE),"")</f>
        <v/>
      </c>
      <c r="F292" s="11"/>
      <c r="G292" t="str">
        <f>IFERROR(VLOOKUP(F292,'Products Index'!$A:$B,2,FALSE),"")</f>
        <v/>
      </c>
      <c r="H292" s="11"/>
      <c r="I292" s="12"/>
      <c r="J292" s="15"/>
      <c r="K292" s="16">
        <f t="shared" si="12"/>
        <v>0</v>
      </c>
      <c r="L292" s="16">
        <f t="shared" si="13"/>
        <v>0</v>
      </c>
      <c r="M292" s="16">
        <f>IFERROR(AVERAGEIF('Production Batches'!$C:$C,F292,'Production Batches'!$L:$L),0)</f>
        <v>0</v>
      </c>
      <c r="N292" s="16">
        <f t="shared" si="14"/>
        <v>0</v>
      </c>
      <c r="P292" s="11"/>
      <c r="Q292" s="30"/>
    </row>
    <row r="293" spans="2:17">
      <c r="B293" s="30"/>
      <c r="C293" s="11"/>
      <c r="D293" s="11"/>
      <c r="E293" t="str">
        <f>IFERROR(VLOOKUP(D293,Customers!$A:$B,2,FALSE),"")</f>
        <v/>
      </c>
      <c r="F293" s="11"/>
      <c r="G293" t="str">
        <f>IFERROR(VLOOKUP(F293,'Products Index'!$A:$B,2,FALSE),"")</f>
        <v/>
      </c>
      <c r="H293" s="11"/>
      <c r="I293" s="12"/>
      <c r="J293" s="15"/>
      <c r="K293" s="16">
        <f t="shared" si="12"/>
        <v>0</v>
      </c>
      <c r="L293" s="16">
        <f t="shared" si="13"/>
        <v>0</v>
      </c>
      <c r="M293" s="16">
        <f>IFERROR(AVERAGEIF('Production Batches'!$C:$C,F293,'Production Batches'!$L:$L),0)</f>
        <v>0</v>
      </c>
      <c r="N293" s="16">
        <f t="shared" si="14"/>
        <v>0</v>
      </c>
      <c r="P293" s="11"/>
      <c r="Q293" s="30"/>
    </row>
    <row r="294" spans="2:17">
      <c r="B294" s="30"/>
      <c r="C294" s="11"/>
      <c r="D294" s="11"/>
      <c r="E294" t="str">
        <f>IFERROR(VLOOKUP(D294,Customers!$A:$B,2,FALSE),"")</f>
        <v/>
      </c>
      <c r="F294" s="11"/>
      <c r="G294" t="str">
        <f>IFERROR(VLOOKUP(F294,'Products Index'!$A:$B,2,FALSE),"")</f>
        <v/>
      </c>
      <c r="H294" s="11"/>
      <c r="I294" s="12"/>
      <c r="J294" s="15"/>
      <c r="K294" s="16">
        <f t="shared" si="12"/>
        <v>0</v>
      </c>
      <c r="L294" s="16">
        <f t="shared" si="13"/>
        <v>0</v>
      </c>
      <c r="M294" s="16">
        <f>IFERROR(AVERAGEIF('Production Batches'!$C:$C,F294,'Production Batches'!$L:$L),0)</f>
        <v>0</v>
      </c>
      <c r="N294" s="16">
        <f t="shared" si="14"/>
        <v>0</v>
      </c>
      <c r="P294" s="11"/>
      <c r="Q294" s="30"/>
    </row>
    <row r="295" spans="2:17">
      <c r="B295" s="30"/>
      <c r="C295" s="11"/>
      <c r="D295" s="11"/>
      <c r="E295" t="str">
        <f>IFERROR(VLOOKUP(D295,Customers!$A:$B,2,FALSE),"")</f>
        <v/>
      </c>
      <c r="F295" s="11"/>
      <c r="G295" t="str">
        <f>IFERROR(VLOOKUP(F295,'Products Index'!$A:$B,2,FALSE),"")</f>
        <v/>
      </c>
      <c r="H295" s="11"/>
      <c r="I295" s="12"/>
      <c r="J295" s="15"/>
      <c r="K295" s="16">
        <f t="shared" si="12"/>
        <v>0</v>
      </c>
      <c r="L295" s="16">
        <f t="shared" si="13"/>
        <v>0</v>
      </c>
      <c r="M295" s="16">
        <f>IFERROR(AVERAGEIF('Production Batches'!$C:$C,F295,'Production Batches'!$L:$L),0)</f>
        <v>0</v>
      </c>
      <c r="N295" s="16">
        <f t="shared" si="14"/>
        <v>0</v>
      </c>
      <c r="P295" s="11"/>
      <c r="Q295" s="30"/>
    </row>
    <row r="296" spans="2:17">
      <c r="B296" s="30"/>
      <c r="C296" s="11"/>
      <c r="D296" s="11"/>
      <c r="E296" t="str">
        <f>IFERROR(VLOOKUP(D296,Customers!$A:$B,2,FALSE),"")</f>
        <v/>
      </c>
      <c r="F296" s="11"/>
      <c r="G296" t="str">
        <f>IFERROR(VLOOKUP(F296,'Products Index'!$A:$B,2,FALSE),"")</f>
        <v/>
      </c>
      <c r="H296" s="11"/>
      <c r="I296" s="12"/>
      <c r="J296" s="15"/>
      <c r="K296" s="16">
        <f t="shared" si="12"/>
        <v>0</v>
      </c>
      <c r="L296" s="16">
        <f t="shared" si="13"/>
        <v>0</v>
      </c>
      <c r="M296" s="16">
        <f>IFERROR(AVERAGEIF('Production Batches'!$C:$C,F296,'Production Batches'!$L:$L),0)</f>
        <v>0</v>
      </c>
      <c r="N296" s="16">
        <f t="shared" si="14"/>
        <v>0</v>
      </c>
      <c r="P296" s="11"/>
      <c r="Q296" s="30"/>
    </row>
    <row r="297" spans="2:17">
      <c r="B297" s="30"/>
      <c r="C297" s="11"/>
      <c r="D297" s="11"/>
      <c r="E297" t="str">
        <f>IFERROR(VLOOKUP(D297,Customers!$A:$B,2,FALSE),"")</f>
        <v/>
      </c>
      <c r="F297" s="11"/>
      <c r="G297" t="str">
        <f>IFERROR(VLOOKUP(F297,'Products Index'!$A:$B,2,FALSE),"")</f>
        <v/>
      </c>
      <c r="H297" s="11"/>
      <c r="I297" s="12"/>
      <c r="J297" s="15"/>
      <c r="K297" s="16">
        <f t="shared" si="12"/>
        <v>0</v>
      </c>
      <c r="L297" s="16">
        <f t="shared" si="13"/>
        <v>0</v>
      </c>
      <c r="M297" s="16">
        <f>IFERROR(AVERAGEIF('Production Batches'!$C:$C,F297,'Production Batches'!$L:$L),0)</f>
        <v>0</v>
      </c>
      <c r="N297" s="16">
        <f t="shared" si="14"/>
        <v>0</v>
      </c>
      <c r="P297" s="11"/>
      <c r="Q297" s="30"/>
    </row>
    <row r="298" spans="2:17">
      <c r="B298" s="30"/>
      <c r="C298" s="11"/>
      <c r="D298" s="11"/>
      <c r="E298" t="str">
        <f>IFERROR(VLOOKUP(D298,Customers!$A:$B,2,FALSE),"")</f>
        <v/>
      </c>
      <c r="F298" s="11"/>
      <c r="G298" t="str">
        <f>IFERROR(VLOOKUP(F298,'Products Index'!$A:$B,2,FALSE),"")</f>
        <v/>
      </c>
      <c r="H298" s="11"/>
      <c r="I298" s="12"/>
      <c r="J298" s="15"/>
      <c r="K298" s="16">
        <f t="shared" si="12"/>
        <v>0</v>
      </c>
      <c r="L298" s="16">
        <f t="shared" si="13"/>
        <v>0</v>
      </c>
      <c r="M298" s="16">
        <f>IFERROR(AVERAGEIF('Production Batches'!$C:$C,F298,'Production Batches'!$L:$L),0)</f>
        <v>0</v>
      </c>
      <c r="N298" s="16">
        <f t="shared" si="14"/>
        <v>0</v>
      </c>
      <c r="P298" s="11"/>
      <c r="Q298" s="30"/>
    </row>
    <row r="299" spans="2:17">
      <c r="B299" s="30"/>
      <c r="C299" s="11"/>
      <c r="D299" s="11"/>
      <c r="E299" t="str">
        <f>IFERROR(VLOOKUP(D299,Customers!$A:$B,2,FALSE),"")</f>
        <v/>
      </c>
      <c r="F299" s="11"/>
      <c r="G299" t="str">
        <f>IFERROR(VLOOKUP(F299,'Products Index'!$A:$B,2,FALSE),"")</f>
        <v/>
      </c>
      <c r="H299" s="11"/>
      <c r="I299" s="12"/>
      <c r="J299" s="15"/>
      <c r="K299" s="16">
        <f t="shared" si="12"/>
        <v>0</v>
      </c>
      <c r="L299" s="16">
        <f t="shared" si="13"/>
        <v>0</v>
      </c>
      <c r="M299" s="16">
        <f>IFERROR(AVERAGEIF('Production Batches'!$C:$C,F299,'Production Batches'!$L:$L),0)</f>
        <v>0</v>
      </c>
      <c r="N299" s="16">
        <f t="shared" si="14"/>
        <v>0</v>
      </c>
      <c r="P299" s="11"/>
      <c r="Q299" s="30"/>
    </row>
    <row r="300" spans="2:17">
      <c r="B300" s="30"/>
      <c r="C300" s="11"/>
      <c r="D300" s="11"/>
      <c r="E300" t="str">
        <f>IFERROR(VLOOKUP(D300,Customers!$A:$B,2,FALSE),"")</f>
        <v/>
      </c>
      <c r="F300" s="11"/>
      <c r="G300" t="str">
        <f>IFERROR(VLOOKUP(F300,'Products Index'!$A:$B,2,FALSE),"")</f>
        <v/>
      </c>
      <c r="H300" s="11"/>
      <c r="I300" s="12"/>
      <c r="J300" s="15"/>
      <c r="K300" s="16">
        <f t="shared" si="12"/>
        <v>0</v>
      </c>
      <c r="L300" s="16">
        <f t="shared" si="13"/>
        <v>0</v>
      </c>
      <c r="M300" s="16">
        <f>IFERROR(AVERAGEIF('Production Batches'!$C:$C,F300,'Production Batches'!$L:$L),0)</f>
        <v>0</v>
      </c>
      <c r="N300" s="16">
        <f t="shared" si="14"/>
        <v>0</v>
      </c>
      <c r="P300" s="11"/>
      <c r="Q300" s="30"/>
    </row>
    <row r="301" spans="2:17">
      <c r="B301" s="30"/>
      <c r="C301" s="11"/>
      <c r="D301" s="11"/>
      <c r="E301" t="str">
        <f>IFERROR(VLOOKUP(D301,Customers!$A:$B,2,FALSE),"")</f>
        <v/>
      </c>
      <c r="F301" s="11"/>
      <c r="G301" t="str">
        <f>IFERROR(VLOOKUP(F301,'Products Index'!$A:$B,2,FALSE),"")</f>
        <v/>
      </c>
      <c r="H301" s="11"/>
      <c r="I301" s="12"/>
      <c r="J301" s="15"/>
      <c r="K301" s="16">
        <f t="shared" si="12"/>
        <v>0</v>
      </c>
      <c r="L301" s="16">
        <f t="shared" si="13"/>
        <v>0</v>
      </c>
      <c r="M301" s="16">
        <f>IFERROR(AVERAGEIF('Production Batches'!$C:$C,F301,'Production Batches'!$L:$L),0)</f>
        <v>0</v>
      </c>
      <c r="N301" s="16">
        <f t="shared" si="14"/>
        <v>0</v>
      </c>
      <c r="P301" s="11"/>
      <c r="Q301" s="30"/>
    </row>
    <row r="302" spans="2:17">
      <c r="B302" s="30"/>
      <c r="C302" s="11"/>
      <c r="D302" s="11"/>
      <c r="E302" t="str">
        <f>IFERROR(VLOOKUP(D302,Customers!$A:$B,2,FALSE),"")</f>
        <v/>
      </c>
      <c r="F302" s="11"/>
      <c r="G302" t="str">
        <f>IFERROR(VLOOKUP(F302,'Products Index'!$A:$B,2,FALSE),"")</f>
        <v/>
      </c>
      <c r="H302" s="11"/>
      <c r="I302" s="12"/>
      <c r="J302" s="15"/>
      <c r="K302" s="16">
        <f t="shared" si="12"/>
        <v>0</v>
      </c>
      <c r="L302" s="16">
        <f t="shared" si="13"/>
        <v>0</v>
      </c>
      <c r="M302" s="16">
        <f>IFERROR(AVERAGEIF('Production Batches'!$C:$C,F302,'Production Batches'!$L:$L),0)</f>
        <v>0</v>
      </c>
      <c r="N302" s="16">
        <f t="shared" si="14"/>
        <v>0</v>
      </c>
      <c r="P302" s="11"/>
      <c r="Q302" s="30"/>
    </row>
    <row r="303" spans="2:17">
      <c r="B303" s="30"/>
      <c r="C303" s="11"/>
      <c r="D303" s="11"/>
      <c r="E303" t="str">
        <f>IFERROR(VLOOKUP(D303,Customers!$A:$B,2,FALSE),"")</f>
        <v/>
      </c>
      <c r="F303" s="11"/>
      <c r="G303" t="str">
        <f>IFERROR(VLOOKUP(F303,'Products Index'!$A:$B,2,FALSE),"")</f>
        <v/>
      </c>
      <c r="H303" s="11"/>
      <c r="I303" s="12"/>
      <c r="J303" s="15"/>
      <c r="K303" s="16">
        <f t="shared" si="12"/>
        <v>0</v>
      </c>
      <c r="L303" s="16">
        <f t="shared" si="13"/>
        <v>0</v>
      </c>
      <c r="M303" s="16">
        <f>IFERROR(AVERAGEIF('Production Batches'!$C:$C,F303,'Production Batches'!$L:$L),0)</f>
        <v>0</v>
      </c>
      <c r="N303" s="16">
        <f t="shared" si="14"/>
        <v>0</v>
      </c>
      <c r="P303" s="11"/>
      <c r="Q303" s="30"/>
    </row>
    <row r="304" spans="2:17">
      <c r="B304" s="30"/>
      <c r="C304" s="11"/>
      <c r="D304" s="11"/>
      <c r="E304" t="str">
        <f>IFERROR(VLOOKUP(D304,Customers!$A:$B,2,FALSE),"")</f>
        <v/>
      </c>
      <c r="F304" s="11"/>
      <c r="G304" t="str">
        <f>IFERROR(VLOOKUP(F304,'Products Index'!$A:$B,2,FALSE),"")</f>
        <v/>
      </c>
      <c r="H304" s="11"/>
      <c r="I304" s="12"/>
      <c r="J304" s="15"/>
      <c r="K304" s="16">
        <f t="shared" si="12"/>
        <v>0</v>
      </c>
      <c r="L304" s="16">
        <f t="shared" si="13"/>
        <v>0</v>
      </c>
      <c r="M304" s="16">
        <f>IFERROR(AVERAGEIF('Production Batches'!$C:$C,F304,'Production Batches'!$L:$L),0)</f>
        <v>0</v>
      </c>
      <c r="N304" s="16">
        <f t="shared" si="14"/>
        <v>0</v>
      </c>
      <c r="P304" s="11"/>
      <c r="Q304" s="30"/>
    </row>
    <row r="305" spans="2:17">
      <c r="B305" s="30"/>
      <c r="C305" s="11"/>
      <c r="D305" s="11"/>
      <c r="E305" t="str">
        <f>IFERROR(VLOOKUP(D305,Customers!$A:$B,2,FALSE),"")</f>
        <v/>
      </c>
      <c r="F305" s="11"/>
      <c r="G305" t="str">
        <f>IFERROR(VLOOKUP(F305,'Products Index'!$A:$B,2,FALSE),"")</f>
        <v/>
      </c>
      <c r="H305" s="11"/>
      <c r="I305" s="12"/>
      <c r="J305" s="15"/>
      <c r="K305" s="16">
        <f t="shared" si="12"/>
        <v>0</v>
      </c>
      <c r="L305" s="16">
        <f t="shared" si="13"/>
        <v>0</v>
      </c>
      <c r="M305" s="16">
        <f>IFERROR(AVERAGEIF('Production Batches'!$C:$C,F305,'Production Batches'!$L:$L),0)</f>
        <v>0</v>
      </c>
      <c r="N305" s="16">
        <f t="shared" si="14"/>
        <v>0</v>
      </c>
      <c r="P305" s="11"/>
      <c r="Q305" s="30"/>
    </row>
    <row r="306" spans="2:17">
      <c r="B306" s="30"/>
      <c r="C306" s="11"/>
      <c r="D306" s="11"/>
      <c r="E306" t="str">
        <f>IFERROR(VLOOKUP(D306,Customers!$A:$B,2,FALSE),"")</f>
        <v/>
      </c>
      <c r="F306" s="11"/>
      <c r="G306" t="str">
        <f>IFERROR(VLOOKUP(F306,'Products Index'!$A:$B,2,FALSE),"")</f>
        <v/>
      </c>
      <c r="H306" s="11"/>
      <c r="I306" s="12"/>
      <c r="J306" s="15"/>
      <c r="K306" s="16">
        <f t="shared" si="12"/>
        <v>0</v>
      </c>
      <c r="L306" s="16">
        <f t="shared" si="13"/>
        <v>0</v>
      </c>
      <c r="M306" s="16">
        <f>IFERROR(AVERAGEIF('Production Batches'!$C:$C,F306,'Production Batches'!$L:$L),0)</f>
        <v>0</v>
      </c>
      <c r="N306" s="16">
        <f t="shared" si="14"/>
        <v>0</v>
      </c>
      <c r="P306" s="11"/>
      <c r="Q306" s="30"/>
    </row>
    <row r="307" spans="2:17">
      <c r="B307" s="30"/>
      <c r="C307" s="11"/>
      <c r="D307" s="11"/>
      <c r="E307" t="str">
        <f>IFERROR(VLOOKUP(D307,Customers!$A:$B,2,FALSE),"")</f>
        <v/>
      </c>
      <c r="F307" s="11"/>
      <c r="G307" t="str">
        <f>IFERROR(VLOOKUP(F307,'Products Index'!$A:$B,2,FALSE),"")</f>
        <v/>
      </c>
      <c r="H307" s="11"/>
      <c r="I307" s="12"/>
      <c r="J307" s="15"/>
      <c r="K307" s="16">
        <f t="shared" si="12"/>
        <v>0</v>
      </c>
      <c r="L307" s="16">
        <f t="shared" si="13"/>
        <v>0</v>
      </c>
      <c r="M307" s="16">
        <f>IFERROR(AVERAGEIF('Production Batches'!$C:$C,F307,'Production Batches'!$L:$L),0)</f>
        <v>0</v>
      </c>
      <c r="N307" s="16">
        <f t="shared" si="14"/>
        <v>0</v>
      </c>
      <c r="P307" s="11"/>
      <c r="Q307" s="30"/>
    </row>
    <row r="308" spans="2:17">
      <c r="B308" s="30"/>
      <c r="C308" s="11"/>
      <c r="D308" s="11"/>
      <c r="E308" t="str">
        <f>IFERROR(VLOOKUP(D308,Customers!$A:$B,2,FALSE),"")</f>
        <v/>
      </c>
      <c r="F308" s="11"/>
      <c r="G308" t="str">
        <f>IFERROR(VLOOKUP(F308,'Products Index'!$A:$B,2,FALSE),"")</f>
        <v/>
      </c>
      <c r="H308" s="11"/>
      <c r="I308" s="12"/>
      <c r="J308" s="15"/>
      <c r="K308" s="16">
        <f t="shared" si="12"/>
        <v>0</v>
      </c>
      <c r="L308" s="16">
        <f t="shared" si="13"/>
        <v>0</v>
      </c>
      <c r="M308" s="16">
        <f>IFERROR(AVERAGEIF('Production Batches'!$C:$C,F308,'Production Batches'!$L:$L),0)</f>
        <v>0</v>
      </c>
      <c r="N308" s="16">
        <f t="shared" si="14"/>
        <v>0</v>
      </c>
      <c r="P308" s="11"/>
      <c r="Q308" s="30"/>
    </row>
    <row r="309" spans="2:17">
      <c r="B309" s="30"/>
      <c r="C309" s="11"/>
      <c r="D309" s="11"/>
      <c r="E309" t="str">
        <f>IFERROR(VLOOKUP(D309,Customers!$A:$B,2,FALSE),"")</f>
        <v/>
      </c>
      <c r="F309" s="11"/>
      <c r="G309" t="str">
        <f>IFERROR(VLOOKUP(F309,'Products Index'!$A:$B,2,FALSE),"")</f>
        <v/>
      </c>
      <c r="H309" s="11"/>
      <c r="I309" s="12"/>
      <c r="J309" s="15"/>
      <c r="K309" s="16">
        <f t="shared" si="12"/>
        <v>0</v>
      </c>
      <c r="L309" s="16">
        <f t="shared" si="13"/>
        <v>0</v>
      </c>
      <c r="M309" s="16">
        <f>IFERROR(AVERAGEIF('Production Batches'!$C:$C,F309,'Production Batches'!$L:$L),0)</f>
        <v>0</v>
      </c>
      <c r="N309" s="16">
        <f t="shared" si="14"/>
        <v>0</v>
      </c>
      <c r="P309" s="11"/>
      <c r="Q309" s="30"/>
    </row>
    <row r="310" spans="2:17">
      <c r="B310" s="30"/>
      <c r="C310" s="11"/>
      <c r="D310" s="11"/>
      <c r="E310" t="str">
        <f>IFERROR(VLOOKUP(D310,Customers!$A:$B,2,FALSE),"")</f>
        <v/>
      </c>
      <c r="F310" s="11"/>
      <c r="G310" t="str">
        <f>IFERROR(VLOOKUP(F310,'Products Index'!$A:$B,2,FALSE),"")</f>
        <v/>
      </c>
      <c r="H310" s="11"/>
      <c r="I310" s="12"/>
      <c r="J310" s="15"/>
      <c r="K310" s="16">
        <f t="shared" si="12"/>
        <v>0</v>
      </c>
      <c r="L310" s="16">
        <f t="shared" si="13"/>
        <v>0</v>
      </c>
      <c r="M310" s="16">
        <f>IFERROR(AVERAGEIF('Production Batches'!$C:$C,F310,'Production Batches'!$L:$L),0)</f>
        <v>0</v>
      </c>
      <c r="N310" s="16">
        <f t="shared" si="14"/>
        <v>0</v>
      </c>
      <c r="P310" s="11"/>
      <c r="Q310" s="30"/>
    </row>
    <row r="311" spans="2:17">
      <c r="B311" s="30"/>
      <c r="C311" s="11"/>
      <c r="D311" s="11"/>
      <c r="E311" t="str">
        <f>IFERROR(VLOOKUP(D311,Customers!$A:$B,2,FALSE),"")</f>
        <v/>
      </c>
      <c r="F311" s="11"/>
      <c r="G311" t="str">
        <f>IFERROR(VLOOKUP(F311,'Products Index'!$A:$B,2,FALSE),"")</f>
        <v/>
      </c>
      <c r="H311" s="11"/>
      <c r="I311" s="12"/>
      <c r="J311" s="15"/>
      <c r="K311" s="16">
        <f t="shared" si="12"/>
        <v>0</v>
      </c>
      <c r="L311" s="16">
        <f t="shared" si="13"/>
        <v>0</v>
      </c>
      <c r="M311" s="16">
        <f>IFERROR(AVERAGEIF('Production Batches'!$C:$C,F311,'Production Batches'!$L:$L),0)</f>
        <v>0</v>
      </c>
      <c r="N311" s="16">
        <f t="shared" si="14"/>
        <v>0</v>
      </c>
      <c r="P311" s="11"/>
      <c r="Q311" s="30"/>
    </row>
    <row r="312" spans="2:17">
      <c r="B312" s="30"/>
      <c r="C312" s="11"/>
      <c r="D312" s="11"/>
      <c r="E312" t="str">
        <f>IFERROR(VLOOKUP(D312,Customers!$A:$B,2,FALSE),"")</f>
        <v/>
      </c>
      <c r="F312" s="11"/>
      <c r="G312" t="str">
        <f>IFERROR(VLOOKUP(F312,'Products Index'!$A:$B,2,FALSE),"")</f>
        <v/>
      </c>
      <c r="H312" s="11"/>
      <c r="I312" s="12"/>
      <c r="J312" s="15"/>
      <c r="K312" s="16">
        <f t="shared" si="12"/>
        <v>0</v>
      </c>
      <c r="L312" s="16">
        <f t="shared" si="13"/>
        <v>0</v>
      </c>
      <c r="M312" s="16">
        <f>IFERROR(AVERAGEIF('Production Batches'!$C:$C,F312,'Production Batches'!$L:$L),0)</f>
        <v>0</v>
      </c>
      <c r="N312" s="16">
        <f t="shared" si="14"/>
        <v>0</v>
      </c>
      <c r="P312" s="11"/>
      <c r="Q312" s="30"/>
    </row>
    <row r="313" spans="2:17">
      <c r="B313" s="30"/>
      <c r="C313" s="11"/>
      <c r="D313" s="11"/>
      <c r="E313" t="str">
        <f>IFERROR(VLOOKUP(D313,Customers!$A:$B,2,FALSE),"")</f>
        <v/>
      </c>
      <c r="F313" s="11"/>
      <c r="G313" t="str">
        <f>IFERROR(VLOOKUP(F313,'Products Index'!$A:$B,2,FALSE),"")</f>
        <v/>
      </c>
      <c r="H313" s="11"/>
      <c r="I313" s="12"/>
      <c r="J313" s="15"/>
      <c r="K313" s="16">
        <f t="shared" si="12"/>
        <v>0</v>
      </c>
      <c r="L313" s="16">
        <f t="shared" si="13"/>
        <v>0</v>
      </c>
      <c r="M313" s="16">
        <f>IFERROR(AVERAGEIF('Production Batches'!$C:$C,F313,'Production Batches'!$L:$L),0)</f>
        <v>0</v>
      </c>
      <c r="N313" s="16">
        <f t="shared" si="14"/>
        <v>0</v>
      </c>
      <c r="P313" s="11"/>
      <c r="Q313" s="30"/>
    </row>
    <row r="314" spans="2:17">
      <c r="B314" s="30"/>
      <c r="C314" s="11"/>
      <c r="D314" s="11"/>
      <c r="E314" t="str">
        <f>IFERROR(VLOOKUP(D314,Customers!$A:$B,2,FALSE),"")</f>
        <v/>
      </c>
      <c r="F314" s="11"/>
      <c r="G314" t="str">
        <f>IFERROR(VLOOKUP(F314,'Products Index'!$A:$B,2,FALSE),"")</f>
        <v/>
      </c>
      <c r="H314" s="11"/>
      <c r="I314" s="12"/>
      <c r="J314" s="15"/>
      <c r="K314" s="16">
        <f t="shared" si="12"/>
        <v>0</v>
      </c>
      <c r="L314" s="16">
        <f t="shared" si="13"/>
        <v>0</v>
      </c>
      <c r="M314" s="16">
        <f>IFERROR(AVERAGEIF('Production Batches'!$C:$C,F314,'Production Batches'!$L:$L),0)</f>
        <v>0</v>
      </c>
      <c r="N314" s="16">
        <f t="shared" si="14"/>
        <v>0</v>
      </c>
      <c r="P314" s="11"/>
      <c r="Q314" s="30"/>
    </row>
    <row r="315" spans="2:17">
      <c r="B315" s="30"/>
      <c r="C315" s="11"/>
      <c r="D315" s="11"/>
      <c r="E315" t="str">
        <f>IFERROR(VLOOKUP(D315,Customers!$A:$B,2,FALSE),"")</f>
        <v/>
      </c>
      <c r="F315" s="11"/>
      <c r="G315" t="str">
        <f>IFERROR(VLOOKUP(F315,'Products Index'!$A:$B,2,FALSE),"")</f>
        <v/>
      </c>
      <c r="H315" s="11"/>
      <c r="I315" s="12"/>
      <c r="J315" s="15"/>
      <c r="K315" s="16">
        <f t="shared" si="12"/>
        <v>0</v>
      </c>
      <c r="L315" s="16">
        <f t="shared" si="13"/>
        <v>0</v>
      </c>
      <c r="M315" s="16">
        <f>IFERROR(AVERAGEIF('Production Batches'!$C:$C,F315,'Production Batches'!$L:$L),0)</f>
        <v>0</v>
      </c>
      <c r="N315" s="16">
        <f t="shared" si="14"/>
        <v>0</v>
      </c>
      <c r="P315" s="11"/>
      <c r="Q315" s="30"/>
    </row>
    <row r="316" spans="2:17">
      <c r="B316" s="30"/>
      <c r="C316" s="11"/>
      <c r="D316" s="11"/>
      <c r="E316" t="str">
        <f>IFERROR(VLOOKUP(D316,Customers!$A:$B,2,FALSE),"")</f>
        <v/>
      </c>
      <c r="F316" s="11"/>
      <c r="G316" t="str">
        <f>IFERROR(VLOOKUP(F316,'Products Index'!$A:$B,2,FALSE),"")</f>
        <v/>
      </c>
      <c r="H316" s="11"/>
      <c r="I316" s="12"/>
      <c r="J316" s="15"/>
      <c r="K316" s="16">
        <f t="shared" si="12"/>
        <v>0</v>
      </c>
      <c r="L316" s="16">
        <f t="shared" si="13"/>
        <v>0</v>
      </c>
      <c r="M316" s="16">
        <f>IFERROR(AVERAGEIF('Production Batches'!$C:$C,F316,'Production Batches'!$L:$L),0)</f>
        <v>0</v>
      </c>
      <c r="N316" s="16">
        <f t="shared" si="14"/>
        <v>0</v>
      </c>
      <c r="P316" s="11"/>
      <c r="Q316" s="30"/>
    </row>
    <row r="317" spans="2:17">
      <c r="B317" s="30"/>
      <c r="C317" s="11"/>
      <c r="D317" s="11"/>
      <c r="E317" t="str">
        <f>IFERROR(VLOOKUP(D317,Customers!$A:$B,2,FALSE),"")</f>
        <v/>
      </c>
      <c r="F317" s="11"/>
      <c r="G317" t="str">
        <f>IFERROR(VLOOKUP(F317,'Products Index'!$A:$B,2,FALSE),"")</f>
        <v/>
      </c>
      <c r="H317" s="11"/>
      <c r="I317" s="12"/>
      <c r="J317" s="15"/>
      <c r="K317" s="16">
        <f t="shared" si="12"/>
        <v>0</v>
      </c>
      <c r="L317" s="16">
        <f t="shared" si="13"/>
        <v>0</v>
      </c>
      <c r="M317" s="16">
        <f>IFERROR(AVERAGEIF('Production Batches'!$C:$C,F317,'Production Batches'!$L:$L),0)</f>
        <v>0</v>
      </c>
      <c r="N317" s="16">
        <f t="shared" si="14"/>
        <v>0</v>
      </c>
      <c r="P317" s="11"/>
      <c r="Q317" s="30"/>
    </row>
    <row r="318" spans="2:17">
      <c r="B318" s="30"/>
      <c r="C318" s="11"/>
      <c r="D318" s="11"/>
      <c r="E318" t="str">
        <f>IFERROR(VLOOKUP(D318,Customers!$A:$B,2,FALSE),"")</f>
        <v/>
      </c>
      <c r="F318" s="11"/>
      <c r="G318" t="str">
        <f>IFERROR(VLOOKUP(F318,'Products Index'!$A:$B,2,FALSE),"")</f>
        <v/>
      </c>
      <c r="H318" s="11"/>
      <c r="I318" s="12"/>
      <c r="J318" s="15"/>
      <c r="K318" s="16">
        <f t="shared" si="12"/>
        <v>0</v>
      </c>
      <c r="L318" s="16">
        <f t="shared" si="13"/>
        <v>0</v>
      </c>
      <c r="M318" s="16">
        <f>IFERROR(AVERAGEIF('Production Batches'!$C:$C,F318,'Production Batches'!$L:$L),0)</f>
        <v>0</v>
      </c>
      <c r="N318" s="16">
        <f t="shared" si="14"/>
        <v>0</v>
      </c>
      <c r="P318" s="11"/>
      <c r="Q318" s="30"/>
    </row>
    <row r="319" spans="2:17">
      <c r="B319" s="30"/>
      <c r="C319" s="11"/>
      <c r="D319" s="11"/>
      <c r="E319" t="str">
        <f>IFERROR(VLOOKUP(D319,Customers!$A:$B,2,FALSE),"")</f>
        <v/>
      </c>
      <c r="F319" s="11"/>
      <c r="G319" t="str">
        <f>IFERROR(VLOOKUP(F319,'Products Index'!$A:$B,2,FALSE),"")</f>
        <v/>
      </c>
      <c r="H319" s="11"/>
      <c r="I319" s="12"/>
      <c r="J319" s="15"/>
      <c r="K319" s="16">
        <f t="shared" si="12"/>
        <v>0</v>
      </c>
      <c r="L319" s="16">
        <f t="shared" si="13"/>
        <v>0</v>
      </c>
      <c r="M319" s="16">
        <f>IFERROR(AVERAGEIF('Production Batches'!$C:$C,F319,'Production Batches'!$L:$L),0)</f>
        <v>0</v>
      </c>
      <c r="N319" s="16">
        <f t="shared" si="14"/>
        <v>0</v>
      </c>
      <c r="P319" s="11"/>
      <c r="Q319" s="30"/>
    </row>
    <row r="320" spans="2:17">
      <c r="B320" s="30"/>
      <c r="C320" s="11"/>
      <c r="D320" s="11"/>
      <c r="E320" t="str">
        <f>IFERROR(VLOOKUP(D320,Customers!$A:$B,2,FALSE),"")</f>
        <v/>
      </c>
      <c r="F320" s="11"/>
      <c r="G320" t="str">
        <f>IFERROR(VLOOKUP(F320,'Products Index'!$A:$B,2,FALSE),"")</f>
        <v/>
      </c>
      <c r="H320" s="11"/>
      <c r="I320" s="12"/>
      <c r="J320" s="15"/>
      <c r="K320" s="16">
        <f t="shared" si="12"/>
        <v>0</v>
      </c>
      <c r="L320" s="16">
        <f t="shared" si="13"/>
        <v>0</v>
      </c>
      <c r="M320" s="16">
        <f>IFERROR(AVERAGEIF('Production Batches'!$C:$C,F320,'Production Batches'!$L:$L),0)</f>
        <v>0</v>
      </c>
      <c r="N320" s="16">
        <f t="shared" si="14"/>
        <v>0</v>
      </c>
      <c r="P320" s="11"/>
      <c r="Q320" s="30"/>
    </row>
    <row r="321" spans="2:17">
      <c r="B321" s="30"/>
      <c r="C321" s="11"/>
      <c r="D321" s="11"/>
      <c r="E321" t="str">
        <f>IFERROR(VLOOKUP(D321,Customers!$A:$B,2,FALSE),"")</f>
        <v/>
      </c>
      <c r="F321" s="11"/>
      <c r="G321" t="str">
        <f>IFERROR(VLOOKUP(F321,'Products Index'!$A:$B,2,FALSE),"")</f>
        <v/>
      </c>
      <c r="H321" s="11"/>
      <c r="I321" s="12"/>
      <c r="J321" s="15"/>
      <c r="K321" s="16">
        <f t="shared" si="12"/>
        <v>0</v>
      </c>
      <c r="L321" s="16">
        <f t="shared" si="13"/>
        <v>0</v>
      </c>
      <c r="M321" s="16">
        <f>IFERROR(AVERAGEIF('Production Batches'!$C:$C,F321,'Production Batches'!$L:$L),0)</f>
        <v>0</v>
      </c>
      <c r="N321" s="16">
        <f t="shared" si="14"/>
        <v>0</v>
      </c>
      <c r="P321" s="11"/>
      <c r="Q321" s="30"/>
    </row>
    <row r="322" spans="2:17">
      <c r="B322" s="30"/>
      <c r="C322" s="11"/>
      <c r="D322" s="11"/>
      <c r="E322" t="str">
        <f>IFERROR(VLOOKUP(D322,Customers!$A:$B,2,FALSE),"")</f>
        <v/>
      </c>
      <c r="F322" s="11"/>
      <c r="G322" t="str">
        <f>IFERROR(VLOOKUP(F322,'Products Index'!$A:$B,2,FALSE),"")</f>
        <v/>
      </c>
      <c r="H322" s="11"/>
      <c r="I322" s="12"/>
      <c r="J322" s="15"/>
      <c r="K322" s="16">
        <f t="shared" ref="K322:K385" si="15">IFERROR(I322*(1-J322),0)</f>
        <v>0</v>
      </c>
      <c r="L322" s="16">
        <f t="shared" ref="L322:L385" si="16">IFERROR(K322*H322,0)</f>
        <v>0</v>
      </c>
      <c r="M322" s="16">
        <f>IFERROR(AVERAGEIF('Production Batches'!$C:$C,F322,'Production Batches'!$L:$L),0)</f>
        <v>0</v>
      </c>
      <c r="N322" s="16">
        <f t="shared" ref="N322:N385" si="17">IFERROR(L322-(M322*H322),0)</f>
        <v>0</v>
      </c>
      <c r="P322" s="11"/>
      <c r="Q322" s="30"/>
    </row>
    <row r="323" spans="2:17">
      <c r="B323" s="30"/>
      <c r="C323" s="11"/>
      <c r="D323" s="11"/>
      <c r="E323" t="str">
        <f>IFERROR(VLOOKUP(D323,Customers!$A:$B,2,FALSE),"")</f>
        <v/>
      </c>
      <c r="F323" s="11"/>
      <c r="G323" t="str">
        <f>IFERROR(VLOOKUP(F323,'Products Index'!$A:$B,2,FALSE),"")</f>
        <v/>
      </c>
      <c r="H323" s="11"/>
      <c r="I323" s="12"/>
      <c r="J323" s="15"/>
      <c r="K323" s="16">
        <f t="shared" si="15"/>
        <v>0</v>
      </c>
      <c r="L323" s="16">
        <f t="shared" si="16"/>
        <v>0</v>
      </c>
      <c r="M323" s="16">
        <f>IFERROR(AVERAGEIF('Production Batches'!$C:$C,F323,'Production Batches'!$L:$L),0)</f>
        <v>0</v>
      </c>
      <c r="N323" s="16">
        <f t="shared" si="17"/>
        <v>0</v>
      </c>
      <c r="P323" s="11"/>
      <c r="Q323" s="30"/>
    </row>
    <row r="324" spans="2:17">
      <c r="B324" s="30"/>
      <c r="C324" s="11"/>
      <c r="D324" s="11"/>
      <c r="E324" t="str">
        <f>IFERROR(VLOOKUP(D324,Customers!$A:$B,2,FALSE),"")</f>
        <v/>
      </c>
      <c r="F324" s="11"/>
      <c r="G324" t="str">
        <f>IFERROR(VLOOKUP(F324,'Products Index'!$A:$B,2,FALSE),"")</f>
        <v/>
      </c>
      <c r="H324" s="11"/>
      <c r="I324" s="12"/>
      <c r="J324" s="15"/>
      <c r="K324" s="16">
        <f t="shared" si="15"/>
        <v>0</v>
      </c>
      <c r="L324" s="16">
        <f t="shared" si="16"/>
        <v>0</v>
      </c>
      <c r="M324" s="16">
        <f>IFERROR(AVERAGEIF('Production Batches'!$C:$C,F324,'Production Batches'!$L:$L),0)</f>
        <v>0</v>
      </c>
      <c r="N324" s="16">
        <f t="shared" si="17"/>
        <v>0</v>
      </c>
      <c r="P324" s="11"/>
      <c r="Q324" s="30"/>
    </row>
    <row r="325" spans="2:17">
      <c r="B325" s="30"/>
      <c r="C325" s="11"/>
      <c r="D325" s="11"/>
      <c r="E325" t="str">
        <f>IFERROR(VLOOKUP(D325,Customers!$A:$B,2,FALSE),"")</f>
        <v/>
      </c>
      <c r="F325" s="11"/>
      <c r="G325" t="str">
        <f>IFERROR(VLOOKUP(F325,'Products Index'!$A:$B,2,FALSE),"")</f>
        <v/>
      </c>
      <c r="H325" s="11"/>
      <c r="I325" s="12"/>
      <c r="J325" s="15"/>
      <c r="K325" s="16">
        <f t="shared" si="15"/>
        <v>0</v>
      </c>
      <c r="L325" s="16">
        <f t="shared" si="16"/>
        <v>0</v>
      </c>
      <c r="M325" s="16">
        <f>IFERROR(AVERAGEIF('Production Batches'!$C:$C,F325,'Production Batches'!$L:$L),0)</f>
        <v>0</v>
      </c>
      <c r="N325" s="16">
        <f t="shared" si="17"/>
        <v>0</v>
      </c>
      <c r="P325" s="11"/>
      <c r="Q325" s="30"/>
    </row>
    <row r="326" spans="2:17">
      <c r="B326" s="30"/>
      <c r="C326" s="11"/>
      <c r="D326" s="11"/>
      <c r="E326" t="str">
        <f>IFERROR(VLOOKUP(D326,Customers!$A:$B,2,FALSE),"")</f>
        <v/>
      </c>
      <c r="F326" s="11"/>
      <c r="G326" t="str">
        <f>IFERROR(VLOOKUP(F326,'Products Index'!$A:$B,2,FALSE),"")</f>
        <v/>
      </c>
      <c r="H326" s="11"/>
      <c r="I326" s="12"/>
      <c r="J326" s="15"/>
      <c r="K326" s="16">
        <f t="shared" si="15"/>
        <v>0</v>
      </c>
      <c r="L326" s="16">
        <f t="shared" si="16"/>
        <v>0</v>
      </c>
      <c r="M326" s="16">
        <f>IFERROR(AVERAGEIF('Production Batches'!$C:$C,F326,'Production Batches'!$L:$L),0)</f>
        <v>0</v>
      </c>
      <c r="N326" s="16">
        <f t="shared" si="17"/>
        <v>0</v>
      </c>
      <c r="P326" s="11"/>
      <c r="Q326" s="30"/>
    </row>
    <row r="327" spans="2:17">
      <c r="B327" s="30"/>
      <c r="C327" s="11"/>
      <c r="D327" s="11"/>
      <c r="E327" t="str">
        <f>IFERROR(VLOOKUP(D327,Customers!$A:$B,2,FALSE),"")</f>
        <v/>
      </c>
      <c r="F327" s="11"/>
      <c r="G327" t="str">
        <f>IFERROR(VLOOKUP(F327,'Products Index'!$A:$B,2,FALSE),"")</f>
        <v/>
      </c>
      <c r="H327" s="11"/>
      <c r="I327" s="12"/>
      <c r="J327" s="15"/>
      <c r="K327" s="16">
        <f t="shared" si="15"/>
        <v>0</v>
      </c>
      <c r="L327" s="16">
        <f t="shared" si="16"/>
        <v>0</v>
      </c>
      <c r="M327" s="16">
        <f>IFERROR(AVERAGEIF('Production Batches'!$C:$C,F327,'Production Batches'!$L:$L),0)</f>
        <v>0</v>
      </c>
      <c r="N327" s="16">
        <f t="shared" si="17"/>
        <v>0</v>
      </c>
      <c r="P327" s="11"/>
      <c r="Q327" s="30"/>
    </row>
    <row r="328" spans="2:17">
      <c r="B328" s="30"/>
      <c r="C328" s="11"/>
      <c r="D328" s="11"/>
      <c r="E328" t="str">
        <f>IFERROR(VLOOKUP(D328,Customers!$A:$B,2,FALSE),"")</f>
        <v/>
      </c>
      <c r="F328" s="11"/>
      <c r="G328" t="str">
        <f>IFERROR(VLOOKUP(F328,'Products Index'!$A:$B,2,FALSE),"")</f>
        <v/>
      </c>
      <c r="H328" s="11"/>
      <c r="I328" s="12"/>
      <c r="J328" s="15"/>
      <c r="K328" s="16">
        <f t="shared" si="15"/>
        <v>0</v>
      </c>
      <c r="L328" s="16">
        <f t="shared" si="16"/>
        <v>0</v>
      </c>
      <c r="M328" s="16">
        <f>IFERROR(AVERAGEIF('Production Batches'!$C:$C,F328,'Production Batches'!$L:$L),0)</f>
        <v>0</v>
      </c>
      <c r="N328" s="16">
        <f t="shared" si="17"/>
        <v>0</v>
      </c>
      <c r="P328" s="11"/>
      <c r="Q328" s="30"/>
    </row>
    <row r="329" spans="2:17">
      <c r="B329" s="30"/>
      <c r="C329" s="11"/>
      <c r="D329" s="11"/>
      <c r="E329" t="str">
        <f>IFERROR(VLOOKUP(D329,Customers!$A:$B,2,FALSE),"")</f>
        <v/>
      </c>
      <c r="F329" s="11"/>
      <c r="G329" t="str">
        <f>IFERROR(VLOOKUP(F329,'Products Index'!$A:$B,2,FALSE),"")</f>
        <v/>
      </c>
      <c r="H329" s="11"/>
      <c r="I329" s="12"/>
      <c r="J329" s="15"/>
      <c r="K329" s="16">
        <f t="shared" si="15"/>
        <v>0</v>
      </c>
      <c r="L329" s="16">
        <f t="shared" si="16"/>
        <v>0</v>
      </c>
      <c r="M329" s="16">
        <f>IFERROR(AVERAGEIF('Production Batches'!$C:$C,F329,'Production Batches'!$L:$L),0)</f>
        <v>0</v>
      </c>
      <c r="N329" s="16">
        <f t="shared" si="17"/>
        <v>0</v>
      </c>
      <c r="P329" s="11"/>
      <c r="Q329" s="30"/>
    </row>
    <row r="330" spans="2:17">
      <c r="B330" s="30"/>
      <c r="C330" s="11"/>
      <c r="D330" s="11"/>
      <c r="E330" t="str">
        <f>IFERROR(VLOOKUP(D330,Customers!$A:$B,2,FALSE),"")</f>
        <v/>
      </c>
      <c r="F330" s="11"/>
      <c r="G330" t="str">
        <f>IFERROR(VLOOKUP(F330,'Products Index'!$A:$B,2,FALSE),"")</f>
        <v/>
      </c>
      <c r="H330" s="11"/>
      <c r="I330" s="12"/>
      <c r="J330" s="15"/>
      <c r="K330" s="16">
        <f t="shared" si="15"/>
        <v>0</v>
      </c>
      <c r="L330" s="16">
        <f t="shared" si="16"/>
        <v>0</v>
      </c>
      <c r="M330" s="16">
        <f>IFERROR(AVERAGEIF('Production Batches'!$C:$C,F330,'Production Batches'!$L:$L),0)</f>
        <v>0</v>
      </c>
      <c r="N330" s="16">
        <f t="shared" si="17"/>
        <v>0</v>
      </c>
      <c r="P330" s="11"/>
      <c r="Q330" s="30"/>
    </row>
    <row r="331" spans="2:17">
      <c r="B331" s="30"/>
      <c r="C331" s="11"/>
      <c r="D331" s="11"/>
      <c r="E331" t="str">
        <f>IFERROR(VLOOKUP(D331,Customers!$A:$B,2,FALSE),"")</f>
        <v/>
      </c>
      <c r="F331" s="11"/>
      <c r="G331" t="str">
        <f>IFERROR(VLOOKUP(F331,'Products Index'!$A:$B,2,FALSE),"")</f>
        <v/>
      </c>
      <c r="H331" s="11"/>
      <c r="I331" s="12"/>
      <c r="J331" s="15"/>
      <c r="K331" s="16">
        <f t="shared" si="15"/>
        <v>0</v>
      </c>
      <c r="L331" s="16">
        <f t="shared" si="16"/>
        <v>0</v>
      </c>
      <c r="M331" s="16">
        <f>IFERROR(AVERAGEIF('Production Batches'!$C:$C,F331,'Production Batches'!$L:$L),0)</f>
        <v>0</v>
      </c>
      <c r="N331" s="16">
        <f t="shared" si="17"/>
        <v>0</v>
      </c>
      <c r="P331" s="11"/>
      <c r="Q331" s="30"/>
    </row>
    <row r="332" spans="2:17">
      <c r="B332" s="30"/>
      <c r="C332" s="11"/>
      <c r="D332" s="11"/>
      <c r="E332" t="str">
        <f>IFERROR(VLOOKUP(D332,Customers!$A:$B,2,FALSE),"")</f>
        <v/>
      </c>
      <c r="F332" s="11"/>
      <c r="G332" t="str">
        <f>IFERROR(VLOOKUP(F332,'Products Index'!$A:$B,2,FALSE),"")</f>
        <v/>
      </c>
      <c r="H332" s="11"/>
      <c r="I332" s="12"/>
      <c r="J332" s="15"/>
      <c r="K332" s="16">
        <f t="shared" si="15"/>
        <v>0</v>
      </c>
      <c r="L332" s="16">
        <f t="shared" si="16"/>
        <v>0</v>
      </c>
      <c r="M332" s="16">
        <f>IFERROR(AVERAGEIF('Production Batches'!$C:$C,F332,'Production Batches'!$L:$L),0)</f>
        <v>0</v>
      </c>
      <c r="N332" s="16">
        <f t="shared" si="17"/>
        <v>0</v>
      </c>
      <c r="P332" s="11"/>
      <c r="Q332" s="30"/>
    </row>
    <row r="333" spans="2:17">
      <c r="B333" s="30"/>
      <c r="C333" s="11"/>
      <c r="D333" s="11"/>
      <c r="E333" t="str">
        <f>IFERROR(VLOOKUP(D333,Customers!$A:$B,2,FALSE),"")</f>
        <v/>
      </c>
      <c r="F333" s="11"/>
      <c r="G333" t="str">
        <f>IFERROR(VLOOKUP(F333,'Products Index'!$A:$B,2,FALSE),"")</f>
        <v/>
      </c>
      <c r="H333" s="11"/>
      <c r="I333" s="12"/>
      <c r="J333" s="15"/>
      <c r="K333" s="16">
        <f t="shared" si="15"/>
        <v>0</v>
      </c>
      <c r="L333" s="16">
        <f t="shared" si="16"/>
        <v>0</v>
      </c>
      <c r="M333" s="16">
        <f>IFERROR(AVERAGEIF('Production Batches'!$C:$C,F333,'Production Batches'!$L:$L),0)</f>
        <v>0</v>
      </c>
      <c r="N333" s="16">
        <f t="shared" si="17"/>
        <v>0</v>
      </c>
      <c r="P333" s="11"/>
      <c r="Q333" s="30"/>
    </row>
    <row r="334" spans="2:17">
      <c r="B334" s="30"/>
      <c r="C334" s="11"/>
      <c r="D334" s="11"/>
      <c r="E334" t="str">
        <f>IFERROR(VLOOKUP(D334,Customers!$A:$B,2,FALSE),"")</f>
        <v/>
      </c>
      <c r="F334" s="11"/>
      <c r="G334" t="str">
        <f>IFERROR(VLOOKUP(F334,'Products Index'!$A:$B,2,FALSE),"")</f>
        <v/>
      </c>
      <c r="H334" s="11"/>
      <c r="I334" s="12"/>
      <c r="J334" s="15"/>
      <c r="K334" s="16">
        <f t="shared" si="15"/>
        <v>0</v>
      </c>
      <c r="L334" s="16">
        <f t="shared" si="16"/>
        <v>0</v>
      </c>
      <c r="M334" s="16">
        <f>IFERROR(AVERAGEIF('Production Batches'!$C:$C,F334,'Production Batches'!$L:$L),0)</f>
        <v>0</v>
      </c>
      <c r="N334" s="16">
        <f t="shared" si="17"/>
        <v>0</v>
      </c>
      <c r="P334" s="11"/>
      <c r="Q334" s="30"/>
    </row>
    <row r="335" spans="2:17">
      <c r="B335" s="30"/>
      <c r="C335" s="11"/>
      <c r="D335" s="11"/>
      <c r="E335" t="str">
        <f>IFERROR(VLOOKUP(D335,Customers!$A:$B,2,FALSE),"")</f>
        <v/>
      </c>
      <c r="F335" s="11"/>
      <c r="G335" t="str">
        <f>IFERROR(VLOOKUP(F335,'Products Index'!$A:$B,2,FALSE),"")</f>
        <v/>
      </c>
      <c r="H335" s="11"/>
      <c r="I335" s="12"/>
      <c r="J335" s="15"/>
      <c r="K335" s="16">
        <f t="shared" si="15"/>
        <v>0</v>
      </c>
      <c r="L335" s="16">
        <f t="shared" si="16"/>
        <v>0</v>
      </c>
      <c r="M335" s="16">
        <f>IFERROR(AVERAGEIF('Production Batches'!$C:$C,F335,'Production Batches'!$L:$L),0)</f>
        <v>0</v>
      </c>
      <c r="N335" s="16">
        <f t="shared" si="17"/>
        <v>0</v>
      </c>
      <c r="P335" s="11"/>
      <c r="Q335" s="30"/>
    </row>
    <row r="336" spans="2:17">
      <c r="B336" s="30"/>
      <c r="C336" s="11"/>
      <c r="D336" s="11"/>
      <c r="E336" t="str">
        <f>IFERROR(VLOOKUP(D336,Customers!$A:$B,2,FALSE),"")</f>
        <v/>
      </c>
      <c r="F336" s="11"/>
      <c r="G336" t="str">
        <f>IFERROR(VLOOKUP(F336,'Products Index'!$A:$B,2,FALSE),"")</f>
        <v/>
      </c>
      <c r="H336" s="11"/>
      <c r="I336" s="12"/>
      <c r="J336" s="15"/>
      <c r="K336" s="16">
        <f t="shared" si="15"/>
        <v>0</v>
      </c>
      <c r="L336" s="16">
        <f t="shared" si="16"/>
        <v>0</v>
      </c>
      <c r="M336" s="16">
        <f>IFERROR(AVERAGEIF('Production Batches'!$C:$C,F336,'Production Batches'!$L:$L),0)</f>
        <v>0</v>
      </c>
      <c r="N336" s="16">
        <f t="shared" si="17"/>
        <v>0</v>
      </c>
      <c r="P336" s="11"/>
      <c r="Q336" s="30"/>
    </row>
    <row r="337" spans="2:17">
      <c r="B337" s="30"/>
      <c r="C337" s="11"/>
      <c r="D337" s="11"/>
      <c r="E337" t="str">
        <f>IFERROR(VLOOKUP(D337,Customers!$A:$B,2,FALSE),"")</f>
        <v/>
      </c>
      <c r="F337" s="11"/>
      <c r="G337" t="str">
        <f>IFERROR(VLOOKUP(F337,'Products Index'!$A:$B,2,FALSE),"")</f>
        <v/>
      </c>
      <c r="H337" s="11"/>
      <c r="I337" s="12"/>
      <c r="J337" s="15"/>
      <c r="K337" s="16">
        <f t="shared" si="15"/>
        <v>0</v>
      </c>
      <c r="L337" s="16">
        <f t="shared" si="16"/>
        <v>0</v>
      </c>
      <c r="M337" s="16">
        <f>IFERROR(AVERAGEIF('Production Batches'!$C:$C,F337,'Production Batches'!$L:$L),0)</f>
        <v>0</v>
      </c>
      <c r="N337" s="16">
        <f t="shared" si="17"/>
        <v>0</v>
      </c>
      <c r="P337" s="11"/>
      <c r="Q337" s="30"/>
    </row>
    <row r="338" spans="2:17">
      <c r="B338" s="30"/>
      <c r="C338" s="11"/>
      <c r="D338" s="11"/>
      <c r="E338" t="str">
        <f>IFERROR(VLOOKUP(D338,Customers!$A:$B,2,FALSE),"")</f>
        <v/>
      </c>
      <c r="F338" s="11"/>
      <c r="G338" t="str">
        <f>IFERROR(VLOOKUP(F338,'Products Index'!$A:$B,2,FALSE),"")</f>
        <v/>
      </c>
      <c r="H338" s="11"/>
      <c r="I338" s="12"/>
      <c r="J338" s="15"/>
      <c r="K338" s="16">
        <f t="shared" si="15"/>
        <v>0</v>
      </c>
      <c r="L338" s="16">
        <f t="shared" si="16"/>
        <v>0</v>
      </c>
      <c r="M338" s="16">
        <f>IFERROR(AVERAGEIF('Production Batches'!$C:$C,F338,'Production Batches'!$L:$L),0)</f>
        <v>0</v>
      </c>
      <c r="N338" s="16">
        <f t="shared" si="17"/>
        <v>0</v>
      </c>
      <c r="P338" s="11"/>
      <c r="Q338" s="30"/>
    </row>
    <row r="339" spans="2:17">
      <c r="B339" s="30"/>
      <c r="C339" s="11"/>
      <c r="D339" s="11"/>
      <c r="E339" t="str">
        <f>IFERROR(VLOOKUP(D339,Customers!$A:$B,2,FALSE),"")</f>
        <v/>
      </c>
      <c r="F339" s="11"/>
      <c r="G339" t="str">
        <f>IFERROR(VLOOKUP(F339,'Products Index'!$A:$B,2,FALSE),"")</f>
        <v/>
      </c>
      <c r="H339" s="11"/>
      <c r="I339" s="12"/>
      <c r="J339" s="15"/>
      <c r="K339" s="16">
        <f t="shared" si="15"/>
        <v>0</v>
      </c>
      <c r="L339" s="16">
        <f t="shared" si="16"/>
        <v>0</v>
      </c>
      <c r="M339" s="16">
        <f>IFERROR(AVERAGEIF('Production Batches'!$C:$C,F339,'Production Batches'!$L:$L),0)</f>
        <v>0</v>
      </c>
      <c r="N339" s="16">
        <f t="shared" si="17"/>
        <v>0</v>
      </c>
      <c r="P339" s="11"/>
      <c r="Q339" s="30"/>
    </row>
    <row r="340" spans="2:17">
      <c r="B340" s="30"/>
      <c r="C340" s="11"/>
      <c r="D340" s="11"/>
      <c r="E340" t="str">
        <f>IFERROR(VLOOKUP(D340,Customers!$A:$B,2,FALSE),"")</f>
        <v/>
      </c>
      <c r="F340" s="11"/>
      <c r="G340" t="str">
        <f>IFERROR(VLOOKUP(F340,'Products Index'!$A:$B,2,FALSE),"")</f>
        <v/>
      </c>
      <c r="H340" s="11"/>
      <c r="I340" s="12"/>
      <c r="J340" s="15"/>
      <c r="K340" s="16">
        <f t="shared" si="15"/>
        <v>0</v>
      </c>
      <c r="L340" s="16">
        <f t="shared" si="16"/>
        <v>0</v>
      </c>
      <c r="M340" s="16">
        <f>IFERROR(AVERAGEIF('Production Batches'!$C:$C,F340,'Production Batches'!$L:$L),0)</f>
        <v>0</v>
      </c>
      <c r="N340" s="16">
        <f t="shared" si="17"/>
        <v>0</v>
      </c>
      <c r="P340" s="11"/>
      <c r="Q340" s="30"/>
    </row>
    <row r="341" spans="2:17">
      <c r="B341" s="30"/>
      <c r="C341" s="11"/>
      <c r="D341" s="11"/>
      <c r="E341" t="str">
        <f>IFERROR(VLOOKUP(D341,Customers!$A:$B,2,FALSE),"")</f>
        <v/>
      </c>
      <c r="F341" s="11"/>
      <c r="G341" t="str">
        <f>IFERROR(VLOOKUP(F341,'Products Index'!$A:$B,2,FALSE),"")</f>
        <v/>
      </c>
      <c r="H341" s="11"/>
      <c r="I341" s="12"/>
      <c r="J341" s="15"/>
      <c r="K341" s="16">
        <f t="shared" si="15"/>
        <v>0</v>
      </c>
      <c r="L341" s="16">
        <f t="shared" si="16"/>
        <v>0</v>
      </c>
      <c r="M341" s="16">
        <f>IFERROR(AVERAGEIF('Production Batches'!$C:$C,F341,'Production Batches'!$L:$L),0)</f>
        <v>0</v>
      </c>
      <c r="N341" s="16">
        <f t="shared" si="17"/>
        <v>0</v>
      </c>
      <c r="P341" s="11"/>
      <c r="Q341" s="30"/>
    </row>
    <row r="342" spans="2:17">
      <c r="B342" s="30"/>
      <c r="C342" s="11"/>
      <c r="D342" s="11"/>
      <c r="E342" t="str">
        <f>IFERROR(VLOOKUP(D342,Customers!$A:$B,2,FALSE),"")</f>
        <v/>
      </c>
      <c r="F342" s="11"/>
      <c r="G342" t="str">
        <f>IFERROR(VLOOKUP(F342,'Products Index'!$A:$B,2,FALSE),"")</f>
        <v/>
      </c>
      <c r="H342" s="11"/>
      <c r="I342" s="12"/>
      <c r="J342" s="15"/>
      <c r="K342" s="16">
        <f t="shared" si="15"/>
        <v>0</v>
      </c>
      <c r="L342" s="16">
        <f t="shared" si="16"/>
        <v>0</v>
      </c>
      <c r="M342" s="16">
        <f>IFERROR(AVERAGEIF('Production Batches'!$C:$C,F342,'Production Batches'!$L:$L),0)</f>
        <v>0</v>
      </c>
      <c r="N342" s="16">
        <f t="shared" si="17"/>
        <v>0</v>
      </c>
      <c r="P342" s="11"/>
      <c r="Q342" s="30"/>
    </row>
    <row r="343" spans="2:17">
      <c r="B343" s="30"/>
      <c r="C343" s="11"/>
      <c r="D343" s="11"/>
      <c r="E343" t="str">
        <f>IFERROR(VLOOKUP(D343,Customers!$A:$B,2,FALSE),"")</f>
        <v/>
      </c>
      <c r="F343" s="11"/>
      <c r="G343" t="str">
        <f>IFERROR(VLOOKUP(F343,'Products Index'!$A:$B,2,FALSE),"")</f>
        <v/>
      </c>
      <c r="H343" s="11"/>
      <c r="I343" s="12"/>
      <c r="J343" s="15"/>
      <c r="K343" s="16">
        <f t="shared" si="15"/>
        <v>0</v>
      </c>
      <c r="L343" s="16">
        <f t="shared" si="16"/>
        <v>0</v>
      </c>
      <c r="M343" s="16">
        <f>IFERROR(AVERAGEIF('Production Batches'!$C:$C,F343,'Production Batches'!$L:$L),0)</f>
        <v>0</v>
      </c>
      <c r="N343" s="16">
        <f t="shared" si="17"/>
        <v>0</v>
      </c>
      <c r="P343" s="11"/>
      <c r="Q343" s="30"/>
    </row>
    <row r="344" spans="2:17">
      <c r="B344" s="30"/>
      <c r="C344" s="11"/>
      <c r="D344" s="11"/>
      <c r="E344" t="str">
        <f>IFERROR(VLOOKUP(D344,Customers!$A:$B,2,FALSE),"")</f>
        <v/>
      </c>
      <c r="F344" s="11"/>
      <c r="G344" t="str">
        <f>IFERROR(VLOOKUP(F344,'Products Index'!$A:$B,2,FALSE),"")</f>
        <v/>
      </c>
      <c r="H344" s="11"/>
      <c r="I344" s="12"/>
      <c r="J344" s="15"/>
      <c r="K344" s="16">
        <f t="shared" si="15"/>
        <v>0</v>
      </c>
      <c r="L344" s="16">
        <f t="shared" si="16"/>
        <v>0</v>
      </c>
      <c r="M344" s="16">
        <f>IFERROR(AVERAGEIF('Production Batches'!$C:$C,F344,'Production Batches'!$L:$L),0)</f>
        <v>0</v>
      </c>
      <c r="N344" s="16">
        <f t="shared" si="17"/>
        <v>0</v>
      </c>
      <c r="P344" s="11"/>
      <c r="Q344" s="30"/>
    </row>
    <row r="345" spans="2:17">
      <c r="B345" s="30"/>
      <c r="C345" s="11"/>
      <c r="D345" s="11"/>
      <c r="E345" t="str">
        <f>IFERROR(VLOOKUP(D345,Customers!$A:$B,2,FALSE),"")</f>
        <v/>
      </c>
      <c r="F345" s="11"/>
      <c r="G345" t="str">
        <f>IFERROR(VLOOKUP(F345,'Products Index'!$A:$B,2,FALSE),"")</f>
        <v/>
      </c>
      <c r="H345" s="11"/>
      <c r="I345" s="12"/>
      <c r="J345" s="15"/>
      <c r="K345" s="16">
        <f t="shared" si="15"/>
        <v>0</v>
      </c>
      <c r="L345" s="16">
        <f t="shared" si="16"/>
        <v>0</v>
      </c>
      <c r="M345" s="16">
        <f>IFERROR(AVERAGEIF('Production Batches'!$C:$C,F345,'Production Batches'!$L:$L),0)</f>
        <v>0</v>
      </c>
      <c r="N345" s="16">
        <f t="shared" si="17"/>
        <v>0</v>
      </c>
      <c r="P345" s="11"/>
      <c r="Q345" s="30"/>
    </row>
    <row r="346" spans="2:17">
      <c r="B346" s="30"/>
      <c r="C346" s="11"/>
      <c r="D346" s="11"/>
      <c r="E346" t="str">
        <f>IFERROR(VLOOKUP(D346,Customers!$A:$B,2,FALSE),"")</f>
        <v/>
      </c>
      <c r="F346" s="11"/>
      <c r="G346" t="str">
        <f>IFERROR(VLOOKUP(F346,'Products Index'!$A:$B,2,FALSE),"")</f>
        <v/>
      </c>
      <c r="H346" s="11"/>
      <c r="I346" s="12"/>
      <c r="J346" s="15"/>
      <c r="K346" s="16">
        <f t="shared" si="15"/>
        <v>0</v>
      </c>
      <c r="L346" s="16">
        <f t="shared" si="16"/>
        <v>0</v>
      </c>
      <c r="M346" s="16">
        <f>IFERROR(AVERAGEIF('Production Batches'!$C:$C,F346,'Production Batches'!$L:$L),0)</f>
        <v>0</v>
      </c>
      <c r="N346" s="16">
        <f t="shared" si="17"/>
        <v>0</v>
      </c>
      <c r="P346" s="11"/>
      <c r="Q346" s="30"/>
    </row>
    <row r="347" spans="2:17">
      <c r="B347" s="30"/>
      <c r="C347" s="11"/>
      <c r="D347" s="11"/>
      <c r="E347" t="str">
        <f>IFERROR(VLOOKUP(D347,Customers!$A:$B,2,FALSE),"")</f>
        <v/>
      </c>
      <c r="F347" s="11"/>
      <c r="G347" t="str">
        <f>IFERROR(VLOOKUP(F347,'Products Index'!$A:$B,2,FALSE),"")</f>
        <v/>
      </c>
      <c r="H347" s="11"/>
      <c r="I347" s="12"/>
      <c r="J347" s="15"/>
      <c r="K347" s="16">
        <f t="shared" si="15"/>
        <v>0</v>
      </c>
      <c r="L347" s="16">
        <f t="shared" si="16"/>
        <v>0</v>
      </c>
      <c r="M347" s="16">
        <f>IFERROR(AVERAGEIF('Production Batches'!$C:$C,F347,'Production Batches'!$L:$L),0)</f>
        <v>0</v>
      </c>
      <c r="N347" s="16">
        <f t="shared" si="17"/>
        <v>0</v>
      </c>
      <c r="P347" s="11"/>
      <c r="Q347" s="30"/>
    </row>
    <row r="348" spans="2:17">
      <c r="B348" s="30"/>
      <c r="C348" s="11"/>
      <c r="D348" s="11"/>
      <c r="E348" t="str">
        <f>IFERROR(VLOOKUP(D348,Customers!$A:$B,2,FALSE),"")</f>
        <v/>
      </c>
      <c r="F348" s="11"/>
      <c r="G348" t="str">
        <f>IFERROR(VLOOKUP(F348,'Products Index'!$A:$B,2,FALSE),"")</f>
        <v/>
      </c>
      <c r="H348" s="11"/>
      <c r="I348" s="12"/>
      <c r="J348" s="15"/>
      <c r="K348" s="16">
        <f t="shared" si="15"/>
        <v>0</v>
      </c>
      <c r="L348" s="16">
        <f t="shared" si="16"/>
        <v>0</v>
      </c>
      <c r="M348" s="16">
        <f>IFERROR(AVERAGEIF('Production Batches'!$C:$C,F348,'Production Batches'!$L:$L),0)</f>
        <v>0</v>
      </c>
      <c r="N348" s="16">
        <f t="shared" si="17"/>
        <v>0</v>
      </c>
      <c r="P348" s="11"/>
      <c r="Q348" s="30"/>
    </row>
    <row r="349" spans="2:17">
      <c r="B349" s="30"/>
      <c r="C349" s="11"/>
      <c r="D349" s="11"/>
      <c r="E349" t="str">
        <f>IFERROR(VLOOKUP(D349,Customers!$A:$B,2,FALSE),"")</f>
        <v/>
      </c>
      <c r="F349" s="11"/>
      <c r="G349" t="str">
        <f>IFERROR(VLOOKUP(F349,'Products Index'!$A:$B,2,FALSE),"")</f>
        <v/>
      </c>
      <c r="H349" s="11"/>
      <c r="I349" s="12"/>
      <c r="J349" s="15"/>
      <c r="K349" s="16">
        <f t="shared" si="15"/>
        <v>0</v>
      </c>
      <c r="L349" s="16">
        <f t="shared" si="16"/>
        <v>0</v>
      </c>
      <c r="M349" s="16">
        <f>IFERROR(AVERAGEIF('Production Batches'!$C:$C,F349,'Production Batches'!$L:$L),0)</f>
        <v>0</v>
      </c>
      <c r="N349" s="16">
        <f t="shared" si="17"/>
        <v>0</v>
      </c>
      <c r="P349" s="11"/>
      <c r="Q349" s="30"/>
    </row>
    <row r="350" spans="2:17">
      <c r="B350" s="30"/>
      <c r="C350" s="11"/>
      <c r="D350" s="11"/>
      <c r="E350" t="str">
        <f>IFERROR(VLOOKUP(D350,Customers!$A:$B,2,FALSE),"")</f>
        <v/>
      </c>
      <c r="F350" s="11"/>
      <c r="G350" t="str">
        <f>IFERROR(VLOOKUP(F350,'Products Index'!$A:$B,2,FALSE),"")</f>
        <v/>
      </c>
      <c r="H350" s="11"/>
      <c r="I350" s="12"/>
      <c r="J350" s="15"/>
      <c r="K350" s="16">
        <f t="shared" si="15"/>
        <v>0</v>
      </c>
      <c r="L350" s="16">
        <f t="shared" si="16"/>
        <v>0</v>
      </c>
      <c r="M350" s="16">
        <f>IFERROR(AVERAGEIF('Production Batches'!$C:$C,F350,'Production Batches'!$L:$L),0)</f>
        <v>0</v>
      </c>
      <c r="N350" s="16">
        <f t="shared" si="17"/>
        <v>0</v>
      </c>
      <c r="P350" s="11"/>
      <c r="Q350" s="30"/>
    </row>
    <row r="351" spans="2:17">
      <c r="B351" s="30"/>
      <c r="C351" s="11"/>
      <c r="D351" s="11"/>
      <c r="E351" t="str">
        <f>IFERROR(VLOOKUP(D351,Customers!$A:$B,2,FALSE),"")</f>
        <v/>
      </c>
      <c r="F351" s="11"/>
      <c r="G351" t="str">
        <f>IFERROR(VLOOKUP(F351,'Products Index'!$A:$B,2,FALSE),"")</f>
        <v/>
      </c>
      <c r="H351" s="11"/>
      <c r="I351" s="12"/>
      <c r="J351" s="15"/>
      <c r="K351" s="16">
        <f t="shared" si="15"/>
        <v>0</v>
      </c>
      <c r="L351" s="16">
        <f t="shared" si="16"/>
        <v>0</v>
      </c>
      <c r="M351" s="16">
        <f>IFERROR(AVERAGEIF('Production Batches'!$C:$C,F351,'Production Batches'!$L:$L),0)</f>
        <v>0</v>
      </c>
      <c r="N351" s="16">
        <f t="shared" si="17"/>
        <v>0</v>
      </c>
      <c r="P351" s="11"/>
      <c r="Q351" s="30"/>
    </row>
    <row r="352" spans="2:17">
      <c r="B352" s="30"/>
      <c r="C352" s="11"/>
      <c r="D352" s="11"/>
      <c r="E352" t="str">
        <f>IFERROR(VLOOKUP(D352,Customers!$A:$B,2,FALSE),"")</f>
        <v/>
      </c>
      <c r="F352" s="11"/>
      <c r="G352" t="str">
        <f>IFERROR(VLOOKUP(F352,'Products Index'!$A:$B,2,FALSE),"")</f>
        <v/>
      </c>
      <c r="H352" s="11"/>
      <c r="I352" s="12"/>
      <c r="J352" s="15"/>
      <c r="K352" s="16">
        <f t="shared" si="15"/>
        <v>0</v>
      </c>
      <c r="L352" s="16">
        <f t="shared" si="16"/>
        <v>0</v>
      </c>
      <c r="M352" s="16">
        <f>IFERROR(AVERAGEIF('Production Batches'!$C:$C,F352,'Production Batches'!$L:$L),0)</f>
        <v>0</v>
      </c>
      <c r="N352" s="16">
        <f t="shared" si="17"/>
        <v>0</v>
      </c>
      <c r="P352" s="11"/>
      <c r="Q352" s="30"/>
    </row>
    <row r="353" spans="2:17">
      <c r="B353" s="30"/>
      <c r="C353" s="11"/>
      <c r="D353" s="11"/>
      <c r="E353" t="str">
        <f>IFERROR(VLOOKUP(D353,Customers!$A:$B,2,FALSE),"")</f>
        <v/>
      </c>
      <c r="F353" s="11"/>
      <c r="G353" t="str">
        <f>IFERROR(VLOOKUP(F353,'Products Index'!$A:$B,2,FALSE),"")</f>
        <v/>
      </c>
      <c r="H353" s="11"/>
      <c r="I353" s="12"/>
      <c r="J353" s="15"/>
      <c r="K353" s="16">
        <f t="shared" si="15"/>
        <v>0</v>
      </c>
      <c r="L353" s="16">
        <f t="shared" si="16"/>
        <v>0</v>
      </c>
      <c r="M353" s="16">
        <f>IFERROR(AVERAGEIF('Production Batches'!$C:$C,F353,'Production Batches'!$L:$L),0)</f>
        <v>0</v>
      </c>
      <c r="N353" s="16">
        <f t="shared" si="17"/>
        <v>0</v>
      </c>
      <c r="P353" s="11"/>
      <c r="Q353" s="30"/>
    </row>
    <row r="354" spans="2:17">
      <c r="B354" s="30"/>
      <c r="C354" s="11"/>
      <c r="D354" s="11"/>
      <c r="E354" t="str">
        <f>IFERROR(VLOOKUP(D354,Customers!$A:$B,2,FALSE),"")</f>
        <v/>
      </c>
      <c r="F354" s="11"/>
      <c r="G354" t="str">
        <f>IFERROR(VLOOKUP(F354,'Products Index'!$A:$B,2,FALSE),"")</f>
        <v/>
      </c>
      <c r="H354" s="11"/>
      <c r="I354" s="12"/>
      <c r="J354" s="15"/>
      <c r="K354" s="16">
        <f t="shared" si="15"/>
        <v>0</v>
      </c>
      <c r="L354" s="16">
        <f t="shared" si="16"/>
        <v>0</v>
      </c>
      <c r="M354" s="16">
        <f>IFERROR(AVERAGEIF('Production Batches'!$C:$C,F354,'Production Batches'!$L:$L),0)</f>
        <v>0</v>
      </c>
      <c r="N354" s="16">
        <f t="shared" si="17"/>
        <v>0</v>
      </c>
      <c r="P354" s="11"/>
      <c r="Q354" s="30"/>
    </row>
    <row r="355" spans="2:17">
      <c r="B355" s="30"/>
      <c r="C355" s="11"/>
      <c r="D355" s="11"/>
      <c r="E355" t="str">
        <f>IFERROR(VLOOKUP(D355,Customers!$A:$B,2,FALSE),"")</f>
        <v/>
      </c>
      <c r="F355" s="11"/>
      <c r="G355" t="str">
        <f>IFERROR(VLOOKUP(F355,'Products Index'!$A:$B,2,FALSE),"")</f>
        <v/>
      </c>
      <c r="H355" s="11"/>
      <c r="I355" s="12"/>
      <c r="J355" s="15"/>
      <c r="K355" s="16">
        <f t="shared" si="15"/>
        <v>0</v>
      </c>
      <c r="L355" s="16">
        <f t="shared" si="16"/>
        <v>0</v>
      </c>
      <c r="M355" s="16">
        <f>IFERROR(AVERAGEIF('Production Batches'!$C:$C,F355,'Production Batches'!$L:$L),0)</f>
        <v>0</v>
      </c>
      <c r="N355" s="16">
        <f t="shared" si="17"/>
        <v>0</v>
      </c>
      <c r="P355" s="11"/>
      <c r="Q355" s="30"/>
    </row>
    <row r="356" spans="2:17">
      <c r="B356" s="30"/>
      <c r="C356" s="11"/>
      <c r="D356" s="11"/>
      <c r="E356" t="str">
        <f>IFERROR(VLOOKUP(D356,Customers!$A:$B,2,FALSE),"")</f>
        <v/>
      </c>
      <c r="F356" s="11"/>
      <c r="G356" t="str">
        <f>IFERROR(VLOOKUP(F356,'Products Index'!$A:$B,2,FALSE),"")</f>
        <v/>
      </c>
      <c r="H356" s="11"/>
      <c r="I356" s="12"/>
      <c r="J356" s="15"/>
      <c r="K356" s="16">
        <f t="shared" si="15"/>
        <v>0</v>
      </c>
      <c r="L356" s="16">
        <f t="shared" si="16"/>
        <v>0</v>
      </c>
      <c r="M356" s="16">
        <f>IFERROR(AVERAGEIF('Production Batches'!$C:$C,F356,'Production Batches'!$L:$L),0)</f>
        <v>0</v>
      </c>
      <c r="N356" s="16">
        <f t="shared" si="17"/>
        <v>0</v>
      </c>
      <c r="P356" s="11"/>
      <c r="Q356" s="30"/>
    </row>
    <row r="357" spans="2:17">
      <c r="B357" s="30"/>
      <c r="C357" s="11"/>
      <c r="D357" s="11"/>
      <c r="E357" t="str">
        <f>IFERROR(VLOOKUP(D357,Customers!$A:$B,2,FALSE),"")</f>
        <v/>
      </c>
      <c r="F357" s="11"/>
      <c r="G357" t="str">
        <f>IFERROR(VLOOKUP(F357,'Products Index'!$A:$B,2,FALSE),"")</f>
        <v/>
      </c>
      <c r="H357" s="11"/>
      <c r="I357" s="12"/>
      <c r="J357" s="15"/>
      <c r="K357" s="16">
        <f t="shared" si="15"/>
        <v>0</v>
      </c>
      <c r="L357" s="16">
        <f t="shared" si="16"/>
        <v>0</v>
      </c>
      <c r="M357" s="16">
        <f>IFERROR(AVERAGEIF('Production Batches'!$C:$C,F357,'Production Batches'!$L:$L),0)</f>
        <v>0</v>
      </c>
      <c r="N357" s="16">
        <f t="shared" si="17"/>
        <v>0</v>
      </c>
      <c r="P357" s="11"/>
      <c r="Q357" s="30"/>
    </row>
    <row r="358" spans="2:17">
      <c r="B358" s="30"/>
      <c r="C358" s="11"/>
      <c r="D358" s="11"/>
      <c r="E358" t="str">
        <f>IFERROR(VLOOKUP(D358,Customers!$A:$B,2,FALSE),"")</f>
        <v/>
      </c>
      <c r="F358" s="11"/>
      <c r="G358" t="str">
        <f>IFERROR(VLOOKUP(F358,'Products Index'!$A:$B,2,FALSE),"")</f>
        <v/>
      </c>
      <c r="H358" s="11"/>
      <c r="I358" s="12"/>
      <c r="J358" s="15"/>
      <c r="K358" s="16">
        <f t="shared" si="15"/>
        <v>0</v>
      </c>
      <c r="L358" s="16">
        <f t="shared" si="16"/>
        <v>0</v>
      </c>
      <c r="M358" s="16">
        <f>IFERROR(AVERAGEIF('Production Batches'!$C:$C,F358,'Production Batches'!$L:$L),0)</f>
        <v>0</v>
      </c>
      <c r="N358" s="16">
        <f t="shared" si="17"/>
        <v>0</v>
      </c>
      <c r="P358" s="11"/>
      <c r="Q358" s="30"/>
    </row>
    <row r="359" spans="2:17">
      <c r="B359" s="30"/>
      <c r="C359" s="11"/>
      <c r="D359" s="11"/>
      <c r="E359" t="str">
        <f>IFERROR(VLOOKUP(D359,Customers!$A:$B,2,FALSE),"")</f>
        <v/>
      </c>
      <c r="F359" s="11"/>
      <c r="G359" t="str">
        <f>IFERROR(VLOOKUP(F359,'Products Index'!$A:$B,2,FALSE),"")</f>
        <v/>
      </c>
      <c r="H359" s="11"/>
      <c r="I359" s="12"/>
      <c r="J359" s="15"/>
      <c r="K359" s="16">
        <f t="shared" si="15"/>
        <v>0</v>
      </c>
      <c r="L359" s="16">
        <f t="shared" si="16"/>
        <v>0</v>
      </c>
      <c r="M359" s="16">
        <f>IFERROR(AVERAGEIF('Production Batches'!$C:$C,F359,'Production Batches'!$L:$L),0)</f>
        <v>0</v>
      </c>
      <c r="N359" s="16">
        <f t="shared" si="17"/>
        <v>0</v>
      </c>
      <c r="P359" s="11"/>
      <c r="Q359" s="30"/>
    </row>
    <row r="360" spans="2:17">
      <c r="B360" s="30"/>
      <c r="C360" s="11"/>
      <c r="D360" s="11"/>
      <c r="E360" t="str">
        <f>IFERROR(VLOOKUP(D360,Customers!$A:$B,2,FALSE),"")</f>
        <v/>
      </c>
      <c r="F360" s="11"/>
      <c r="G360" t="str">
        <f>IFERROR(VLOOKUP(F360,'Products Index'!$A:$B,2,FALSE),"")</f>
        <v/>
      </c>
      <c r="H360" s="11"/>
      <c r="I360" s="12"/>
      <c r="J360" s="15"/>
      <c r="K360" s="16">
        <f t="shared" si="15"/>
        <v>0</v>
      </c>
      <c r="L360" s="16">
        <f t="shared" si="16"/>
        <v>0</v>
      </c>
      <c r="M360" s="16">
        <f>IFERROR(AVERAGEIF('Production Batches'!$C:$C,F360,'Production Batches'!$L:$L),0)</f>
        <v>0</v>
      </c>
      <c r="N360" s="16">
        <f t="shared" si="17"/>
        <v>0</v>
      </c>
      <c r="P360" s="11"/>
      <c r="Q360" s="30"/>
    </row>
    <row r="361" spans="2:17">
      <c r="B361" s="30"/>
      <c r="C361" s="11"/>
      <c r="D361" s="11"/>
      <c r="E361" t="str">
        <f>IFERROR(VLOOKUP(D361,Customers!$A:$B,2,FALSE),"")</f>
        <v/>
      </c>
      <c r="F361" s="11"/>
      <c r="G361" t="str">
        <f>IFERROR(VLOOKUP(F361,'Products Index'!$A:$B,2,FALSE),"")</f>
        <v/>
      </c>
      <c r="H361" s="11"/>
      <c r="I361" s="12"/>
      <c r="J361" s="15"/>
      <c r="K361" s="16">
        <f t="shared" si="15"/>
        <v>0</v>
      </c>
      <c r="L361" s="16">
        <f t="shared" si="16"/>
        <v>0</v>
      </c>
      <c r="M361" s="16">
        <f>IFERROR(AVERAGEIF('Production Batches'!$C:$C,F361,'Production Batches'!$L:$L),0)</f>
        <v>0</v>
      </c>
      <c r="N361" s="16">
        <f t="shared" si="17"/>
        <v>0</v>
      </c>
      <c r="P361" s="11"/>
      <c r="Q361" s="30"/>
    </row>
    <row r="362" spans="2:17">
      <c r="B362" s="30"/>
      <c r="C362" s="11"/>
      <c r="D362" s="11"/>
      <c r="E362" t="str">
        <f>IFERROR(VLOOKUP(D362,Customers!$A:$B,2,FALSE),"")</f>
        <v/>
      </c>
      <c r="F362" s="11"/>
      <c r="G362" t="str">
        <f>IFERROR(VLOOKUP(F362,'Products Index'!$A:$B,2,FALSE),"")</f>
        <v/>
      </c>
      <c r="H362" s="11"/>
      <c r="I362" s="12"/>
      <c r="J362" s="15"/>
      <c r="K362" s="16">
        <f t="shared" si="15"/>
        <v>0</v>
      </c>
      <c r="L362" s="16">
        <f t="shared" si="16"/>
        <v>0</v>
      </c>
      <c r="M362" s="16">
        <f>IFERROR(AVERAGEIF('Production Batches'!$C:$C,F362,'Production Batches'!$L:$L),0)</f>
        <v>0</v>
      </c>
      <c r="N362" s="16">
        <f t="shared" si="17"/>
        <v>0</v>
      </c>
      <c r="P362" s="11"/>
      <c r="Q362" s="30"/>
    </row>
    <row r="363" spans="2:17">
      <c r="B363" s="30"/>
      <c r="C363" s="11"/>
      <c r="D363" s="11"/>
      <c r="E363" t="str">
        <f>IFERROR(VLOOKUP(D363,Customers!$A:$B,2,FALSE),"")</f>
        <v/>
      </c>
      <c r="F363" s="11"/>
      <c r="G363" t="str">
        <f>IFERROR(VLOOKUP(F363,'Products Index'!$A:$B,2,FALSE),"")</f>
        <v/>
      </c>
      <c r="H363" s="11"/>
      <c r="I363" s="12"/>
      <c r="J363" s="15"/>
      <c r="K363" s="16">
        <f t="shared" si="15"/>
        <v>0</v>
      </c>
      <c r="L363" s="16">
        <f t="shared" si="16"/>
        <v>0</v>
      </c>
      <c r="M363" s="16">
        <f>IFERROR(AVERAGEIF('Production Batches'!$C:$C,F363,'Production Batches'!$L:$L),0)</f>
        <v>0</v>
      </c>
      <c r="N363" s="16">
        <f t="shared" si="17"/>
        <v>0</v>
      </c>
      <c r="P363" s="11"/>
      <c r="Q363" s="30"/>
    </row>
    <row r="364" spans="2:17">
      <c r="B364" s="30"/>
      <c r="C364" s="11"/>
      <c r="D364" s="11"/>
      <c r="E364" t="str">
        <f>IFERROR(VLOOKUP(D364,Customers!$A:$B,2,FALSE),"")</f>
        <v/>
      </c>
      <c r="F364" s="11"/>
      <c r="G364" t="str">
        <f>IFERROR(VLOOKUP(F364,'Products Index'!$A:$B,2,FALSE),"")</f>
        <v/>
      </c>
      <c r="H364" s="11"/>
      <c r="I364" s="12"/>
      <c r="J364" s="15"/>
      <c r="K364" s="16">
        <f t="shared" si="15"/>
        <v>0</v>
      </c>
      <c r="L364" s="16">
        <f t="shared" si="16"/>
        <v>0</v>
      </c>
      <c r="M364" s="16">
        <f>IFERROR(AVERAGEIF('Production Batches'!$C:$C,F364,'Production Batches'!$L:$L),0)</f>
        <v>0</v>
      </c>
      <c r="N364" s="16">
        <f t="shared" si="17"/>
        <v>0</v>
      </c>
      <c r="P364" s="11"/>
      <c r="Q364" s="30"/>
    </row>
    <row r="365" spans="2:17">
      <c r="B365" s="30"/>
      <c r="C365" s="11"/>
      <c r="D365" s="11"/>
      <c r="E365" t="str">
        <f>IFERROR(VLOOKUP(D365,Customers!$A:$B,2,FALSE),"")</f>
        <v/>
      </c>
      <c r="F365" s="11"/>
      <c r="G365" t="str">
        <f>IFERROR(VLOOKUP(F365,'Products Index'!$A:$B,2,FALSE),"")</f>
        <v/>
      </c>
      <c r="H365" s="11"/>
      <c r="I365" s="12"/>
      <c r="J365" s="15"/>
      <c r="K365" s="16">
        <f t="shared" si="15"/>
        <v>0</v>
      </c>
      <c r="L365" s="16">
        <f t="shared" si="16"/>
        <v>0</v>
      </c>
      <c r="M365" s="16">
        <f>IFERROR(AVERAGEIF('Production Batches'!$C:$C,F365,'Production Batches'!$L:$L),0)</f>
        <v>0</v>
      </c>
      <c r="N365" s="16">
        <f t="shared" si="17"/>
        <v>0</v>
      </c>
      <c r="P365" s="11"/>
      <c r="Q365" s="30"/>
    </row>
    <row r="366" spans="2:17">
      <c r="B366" s="30"/>
      <c r="C366" s="11"/>
      <c r="D366" s="11"/>
      <c r="E366" t="str">
        <f>IFERROR(VLOOKUP(D366,Customers!$A:$B,2,FALSE),"")</f>
        <v/>
      </c>
      <c r="F366" s="11"/>
      <c r="G366" t="str">
        <f>IFERROR(VLOOKUP(F366,'Products Index'!$A:$B,2,FALSE),"")</f>
        <v/>
      </c>
      <c r="H366" s="11"/>
      <c r="I366" s="12"/>
      <c r="J366" s="15"/>
      <c r="K366" s="16">
        <f t="shared" si="15"/>
        <v>0</v>
      </c>
      <c r="L366" s="16">
        <f t="shared" si="16"/>
        <v>0</v>
      </c>
      <c r="M366" s="16">
        <f>IFERROR(AVERAGEIF('Production Batches'!$C:$C,F366,'Production Batches'!$L:$L),0)</f>
        <v>0</v>
      </c>
      <c r="N366" s="16">
        <f t="shared" si="17"/>
        <v>0</v>
      </c>
      <c r="P366" s="11"/>
      <c r="Q366" s="30"/>
    </row>
    <row r="367" spans="2:17">
      <c r="B367" s="30"/>
      <c r="C367" s="11"/>
      <c r="D367" s="11"/>
      <c r="E367" t="str">
        <f>IFERROR(VLOOKUP(D367,Customers!$A:$B,2,FALSE),"")</f>
        <v/>
      </c>
      <c r="F367" s="11"/>
      <c r="G367" t="str">
        <f>IFERROR(VLOOKUP(F367,'Products Index'!$A:$B,2,FALSE),"")</f>
        <v/>
      </c>
      <c r="H367" s="11"/>
      <c r="I367" s="12"/>
      <c r="J367" s="15"/>
      <c r="K367" s="16">
        <f t="shared" si="15"/>
        <v>0</v>
      </c>
      <c r="L367" s="16">
        <f t="shared" si="16"/>
        <v>0</v>
      </c>
      <c r="M367" s="16">
        <f>IFERROR(AVERAGEIF('Production Batches'!$C:$C,F367,'Production Batches'!$L:$L),0)</f>
        <v>0</v>
      </c>
      <c r="N367" s="16">
        <f t="shared" si="17"/>
        <v>0</v>
      </c>
      <c r="P367" s="11"/>
      <c r="Q367" s="30"/>
    </row>
    <row r="368" spans="2:17">
      <c r="B368" s="30"/>
      <c r="C368" s="11"/>
      <c r="D368" s="11"/>
      <c r="E368" t="str">
        <f>IFERROR(VLOOKUP(D368,Customers!$A:$B,2,FALSE),"")</f>
        <v/>
      </c>
      <c r="F368" s="11"/>
      <c r="G368" t="str">
        <f>IFERROR(VLOOKUP(F368,'Products Index'!$A:$B,2,FALSE),"")</f>
        <v/>
      </c>
      <c r="H368" s="11"/>
      <c r="I368" s="12"/>
      <c r="J368" s="15"/>
      <c r="K368" s="16">
        <f t="shared" si="15"/>
        <v>0</v>
      </c>
      <c r="L368" s="16">
        <f t="shared" si="16"/>
        <v>0</v>
      </c>
      <c r="M368" s="16">
        <f>IFERROR(AVERAGEIF('Production Batches'!$C:$C,F368,'Production Batches'!$L:$L),0)</f>
        <v>0</v>
      </c>
      <c r="N368" s="16">
        <f t="shared" si="17"/>
        <v>0</v>
      </c>
      <c r="P368" s="11"/>
      <c r="Q368" s="30"/>
    </row>
    <row r="369" spans="2:17">
      <c r="B369" s="30"/>
      <c r="C369" s="11"/>
      <c r="D369" s="11"/>
      <c r="E369" t="str">
        <f>IFERROR(VLOOKUP(D369,Customers!$A:$B,2,FALSE),"")</f>
        <v/>
      </c>
      <c r="F369" s="11"/>
      <c r="G369" t="str">
        <f>IFERROR(VLOOKUP(F369,'Products Index'!$A:$B,2,FALSE),"")</f>
        <v/>
      </c>
      <c r="H369" s="11"/>
      <c r="I369" s="12"/>
      <c r="J369" s="15"/>
      <c r="K369" s="16">
        <f t="shared" si="15"/>
        <v>0</v>
      </c>
      <c r="L369" s="16">
        <f t="shared" si="16"/>
        <v>0</v>
      </c>
      <c r="M369" s="16">
        <f>IFERROR(AVERAGEIF('Production Batches'!$C:$C,F369,'Production Batches'!$L:$L),0)</f>
        <v>0</v>
      </c>
      <c r="N369" s="16">
        <f t="shared" si="17"/>
        <v>0</v>
      </c>
      <c r="P369" s="11"/>
      <c r="Q369" s="30"/>
    </row>
    <row r="370" spans="2:17">
      <c r="B370" s="30"/>
      <c r="C370" s="11"/>
      <c r="D370" s="11"/>
      <c r="E370" t="str">
        <f>IFERROR(VLOOKUP(D370,Customers!$A:$B,2,FALSE),"")</f>
        <v/>
      </c>
      <c r="F370" s="11"/>
      <c r="G370" t="str">
        <f>IFERROR(VLOOKUP(F370,'Products Index'!$A:$B,2,FALSE),"")</f>
        <v/>
      </c>
      <c r="H370" s="11"/>
      <c r="I370" s="12"/>
      <c r="J370" s="15"/>
      <c r="K370" s="16">
        <f t="shared" si="15"/>
        <v>0</v>
      </c>
      <c r="L370" s="16">
        <f t="shared" si="16"/>
        <v>0</v>
      </c>
      <c r="M370" s="16">
        <f>IFERROR(AVERAGEIF('Production Batches'!$C:$C,F370,'Production Batches'!$L:$L),0)</f>
        <v>0</v>
      </c>
      <c r="N370" s="16">
        <f t="shared" si="17"/>
        <v>0</v>
      </c>
      <c r="P370" s="11"/>
      <c r="Q370" s="30"/>
    </row>
    <row r="371" spans="2:17">
      <c r="B371" s="30"/>
      <c r="C371" s="11"/>
      <c r="D371" s="11"/>
      <c r="E371" t="str">
        <f>IFERROR(VLOOKUP(D371,Customers!$A:$B,2,FALSE),"")</f>
        <v/>
      </c>
      <c r="F371" s="11"/>
      <c r="G371" t="str">
        <f>IFERROR(VLOOKUP(F371,'Products Index'!$A:$B,2,FALSE),"")</f>
        <v/>
      </c>
      <c r="H371" s="11"/>
      <c r="I371" s="12"/>
      <c r="J371" s="15"/>
      <c r="K371" s="16">
        <f t="shared" si="15"/>
        <v>0</v>
      </c>
      <c r="L371" s="16">
        <f t="shared" si="16"/>
        <v>0</v>
      </c>
      <c r="M371" s="16">
        <f>IFERROR(AVERAGEIF('Production Batches'!$C:$C,F371,'Production Batches'!$L:$L),0)</f>
        <v>0</v>
      </c>
      <c r="N371" s="16">
        <f t="shared" si="17"/>
        <v>0</v>
      </c>
      <c r="P371" s="11"/>
      <c r="Q371" s="30"/>
    </row>
    <row r="372" spans="2:17">
      <c r="B372" s="30"/>
      <c r="C372" s="11"/>
      <c r="D372" s="11"/>
      <c r="E372" t="str">
        <f>IFERROR(VLOOKUP(D372,Customers!$A:$B,2,FALSE),"")</f>
        <v/>
      </c>
      <c r="F372" s="11"/>
      <c r="G372" t="str">
        <f>IFERROR(VLOOKUP(F372,'Products Index'!$A:$B,2,FALSE),"")</f>
        <v/>
      </c>
      <c r="H372" s="11"/>
      <c r="I372" s="12"/>
      <c r="J372" s="15"/>
      <c r="K372" s="16">
        <f t="shared" si="15"/>
        <v>0</v>
      </c>
      <c r="L372" s="16">
        <f t="shared" si="16"/>
        <v>0</v>
      </c>
      <c r="M372" s="16">
        <f>IFERROR(AVERAGEIF('Production Batches'!$C:$C,F372,'Production Batches'!$L:$L),0)</f>
        <v>0</v>
      </c>
      <c r="N372" s="16">
        <f t="shared" si="17"/>
        <v>0</v>
      </c>
      <c r="P372" s="11"/>
      <c r="Q372" s="30"/>
    </row>
    <row r="373" spans="2:17">
      <c r="B373" s="30"/>
      <c r="C373" s="11"/>
      <c r="D373" s="11"/>
      <c r="E373" t="str">
        <f>IFERROR(VLOOKUP(D373,Customers!$A:$B,2,FALSE),"")</f>
        <v/>
      </c>
      <c r="F373" s="11"/>
      <c r="G373" t="str">
        <f>IFERROR(VLOOKUP(F373,'Products Index'!$A:$B,2,FALSE),"")</f>
        <v/>
      </c>
      <c r="H373" s="11"/>
      <c r="I373" s="12"/>
      <c r="J373" s="15"/>
      <c r="K373" s="16">
        <f t="shared" si="15"/>
        <v>0</v>
      </c>
      <c r="L373" s="16">
        <f t="shared" si="16"/>
        <v>0</v>
      </c>
      <c r="M373" s="16">
        <f>IFERROR(AVERAGEIF('Production Batches'!$C:$C,F373,'Production Batches'!$L:$L),0)</f>
        <v>0</v>
      </c>
      <c r="N373" s="16">
        <f t="shared" si="17"/>
        <v>0</v>
      </c>
      <c r="P373" s="11"/>
      <c r="Q373" s="30"/>
    </row>
    <row r="374" spans="2:17">
      <c r="B374" s="30"/>
      <c r="C374" s="11"/>
      <c r="D374" s="11"/>
      <c r="E374" t="str">
        <f>IFERROR(VLOOKUP(D374,Customers!$A:$B,2,FALSE),"")</f>
        <v/>
      </c>
      <c r="F374" s="11"/>
      <c r="G374" t="str">
        <f>IFERROR(VLOOKUP(F374,'Products Index'!$A:$B,2,FALSE),"")</f>
        <v/>
      </c>
      <c r="H374" s="11"/>
      <c r="I374" s="12"/>
      <c r="J374" s="15"/>
      <c r="K374" s="16">
        <f t="shared" si="15"/>
        <v>0</v>
      </c>
      <c r="L374" s="16">
        <f t="shared" si="16"/>
        <v>0</v>
      </c>
      <c r="M374" s="16">
        <f>IFERROR(AVERAGEIF('Production Batches'!$C:$C,F374,'Production Batches'!$L:$L),0)</f>
        <v>0</v>
      </c>
      <c r="N374" s="16">
        <f t="shared" si="17"/>
        <v>0</v>
      </c>
      <c r="P374" s="11"/>
      <c r="Q374" s="30"/>
    </row>
    <row r="375" spans="2:17">
      <c r="B375" s="30"/>
      <c r="C375" s="11"/>
      <c r="D375" s="11"/>
      <c r="E375" t="str">
        <f>IFERROR(VLOOKUP(D375,Customers!$A:$B,2,FALSE),"")</f>
        <v/>
      </c>
      <c r="F375" s="11"/>
      <c r="G375" t="str">
        <f>IFERROR(VLOOKUP(F375,'Products Index'!$A:$B,2,FALSE),"")</f>
        <v/>
      </c>
      <c r="H375" s="11"/>
      <c r="I375" s="12"/>
      <c r="J375" s="15"/>
      <c r="K375" s="16">
        <f t="shared" si="15"/>
        <v>0</v>
      </c>
      <c r="L375" s="16">
        <f t="shared" si="16"/>
        <v>0</v>
      </c>
      <c r="M375" s="16">
        <f>IFERROR(AVERAGEIF('Production Batches'!$C:$C,F375,'Production Batches'!$L:$L),0)</f>
        <v>0</v>
      </c>
      <c r="N375" s="16">
        <f t="shared" si="17"/>
        <v>0</v>
      </c>
      <c r="P375" s="11"/>
      <c r="Q375" s="30"/>
    </row>
    <row r="376" spans="2:17">
      <c r="B376" s="30"/>
      <c r="C376" s="11"/>
      <c r="D376" s="11"/>
      <c r="E376" t="str">
        <f>IFERROR(VLOOKUP(D376,Customers!$A:$B,2,FALSE),"")</f>
        <v/>
      </c>
      <c r="F376" s="11"/>
      <c r="G376" t="str">
        <f>IFERROR(VLOOKUP(F376,'Products Index'!$A:$B,2,FALSE),"")</f>
        <v/>
      </c>
      <c r="H376" s="11"/>
      <c r="I376" s="12"/>
      <c r="J376" s="15"/>
      <c r="K376" s="16">
        <f t="shared" si="15"/>
        <v>0</v>
      </c>
      <c r="L376" s="16">
        <f t="shared" si="16"/>
        <v>0</v>
      </c>
      <c r="M376" s="16">
        <f>IFERROR(AVERAGEIF('Production Batches'!$C:$C,F376,'Production Batches'!$L:$L),0)</f>
        <v>0</v>
      </c>
      <c r="N376" s="16">
        <f t="shared" si="17"/>
        <v>0</v>
      </c>
      <c r="P376" s="11"/>
      <c r="Q376" s="30"/>
    </row>
    <row r="377" spans="2:17">
      <c r="B377" s="30"/>
      <c r="C377" s="11"/>
      <c r="D377" s="11"/>
      <c r="E377" t="str">
        <f>IFERROR(VLOOKUP(D377,Customers!$A:$B,2,FALSE),"")</f>
        <v/>
      </c>
      <c r="F377" s="11"/>
      <c r="G377" t="str">
        <f>IFERROR(VLOOKUP(F377,'Products Index'!$A:$B,2,FALSE),"")</f>
        <v/>
      </c>
      <c r="H377" s="11"/>
      <c r="I377" s="12"/>
      <c r="J377" s="15"/>
      <c r="K377" s="16">
        <f t="shared" si="15"/>
        <v>0</v>
      </c>
      <c r="L377" s="16">
        <f t="shared" si="16"/>
        <v>0</v>
      </c>
      <c r="M377" s="16">
        <f>IFERROR(AVERAGEIF('Production Batches'!$C:$C,F377,'Production Batches'!$L:$L),0)</f>
        <v>0</v>
      </c>
      <c r="N377" s="16">
        <f t="shared" si="17"/>
        <v>0</v>
      </c>
      <c r="P377" s="11"/>
      <c r="Q377" s="30"/>
    </row>
    <row r="378" spans="2:17">
      <c r="B378" s="30"/>
      <c r="C378" s="11"/>
      <c r="D378" s="11"/>
      <c r="E378" t="str">
        <f>IFERROR(VLOOKUP(D378,Customers!$A:$B,2,FALSE),"")</f>
        <v/>
      </c>
      <c r="F378" s="11"/>
      <c r="G378" t="str">
        <f>IFERROR(VLOOKUP(F378,'Products Index'!$A:$B,2,FALSE),"")</f>
        <v/>
      </c>
      <c r="H378" s="11"/>
      <c r="I378" s="12"/>
      <c r="J378" s="15"/>
      <c r="K378" s="16">
        <f t="shared" si="15"/>
        <v>0</v>
      </c>
      <c r="L378" s="16">
        <f t="shared" si="16"/>
        <v>0</v>
      </c>
      <c r="M378" s="16">
        <f>IFERROR(AVERAGEIF('Production Batches'!$C:$C,F378,'Production Batches'!$L:$L),0)</f>
        <v>0</v>
      </c>
      <c r="N378" s="16">
        <f t="shared" si="17"/>
        <v>0</v>
      </c>
      <c r="P378" s="11"/>
      <c r="Q378" s="30"/>
    </row>
    <row r="379" spans="2:17">
      <c r="B379" s="30"/>
      <c r="C379" s="11"/>
      <c r="D379" s="11"/>
      <c r="E379" t="str">
        <f>IFERROR(VLOOKUP(D379,Customers!$A:$B,2,FALSE),"")</f>
        <v/>
      </c>
      <c r="F379" s="11"/>
      <c r="G379" t="str">
        <f>IFERROR(VLOOKUP(F379,'Products Index'!$A:$B,2,FALSE),"")</f>
        <v/>
      </c>
      <c r="H379" s="11"/>
      <c r="I379" s="12"/>
      <c r="J379" s="15"/>
      <c r="K379" s="16">
        <f t="shared" si="15"/>
        <v>0</v>
      </c>
      <c r="L379" s="16">
        <f t="shared" si="16"/>
        <v>0</v>
      </c>
      <c r="M379" s="16">
        <f>IFERROR(AVERAGEIF('Production Batches'!$C:$C,F379,'Production Batches'!$L:$L),0)</f>
        <v>0</v>
      </c>
      <c r="N379" s="16">
        <f t="shared" si="17"/>
        <v>0</v>
      </c>
      <c r="P379" s="11"/>
      <c r="Q379" s="30"/>
    </row>
    <row r="380" spans="2:17">
      <c r="B380" s="30"/>
      <c r="C380" s="11"/>
      <c r="D380" s="11"/>
      <c r="E380" t="str">
        <f>IFERROR(VLOOKUP(D380,Customers!$A:$B,2,FALSE),"")</f>
        <v/>
      </c>
      <c r="F380" s="11"/>
      <c r="G380" t="str">
        <f>IFERROR(VLOOKUP(F380,'Products Index'!$A:$B,2,FALSE),"")</f>
        <v/>
      </c>
      <c r="H380" s="11"/>
      <c r="I380" s="12"/>
      <c r="J380" s="15"/>
      <c r="K380" s="16">
        <f t="shared" si="15"/>
        <v>0</v>
      </c>
      <c r="L380" s="16">
        <f t="shared" si="16"/>
        <v>0</v>
      </c>
      <c r="M380" s="16">
        <f>IFERROR(AVERAGEIF('Production Batches'!$C:$C,F380,'Production Batches'!$L:$L),0)</f>
        <v>0</v>
      </c>
      <c r="N380" s="16">
        <f t="shared" si="17"/>
        <v>0</v>
      </c>
      <c r="P380" s="11"/>
      <c r="Q380" s="30"/>
    </row>
    <row r="381" spans="2:17">
      <c r="B381" s="30"/>
      <c r="C381" s="11"/>
      <c r="D381" s="11"/>
      <c r="E381" t="str">
        <f>IFERROR(VLOOKUP(D381,Customers!$A:$B,2,FALSE),"")</f>
        <v/>
      </c>
      <c r="F381" s="11"/>
      <c r="G381" t="str">
        <f>IFERROR(VLOOKUP(F381,'Products Index'!$A:$B,2,FALSE),"")</f>
        <v/>
      </c>
      <c r="H381" s="11"/>
      <c r="I381" s="12"/>
      <c r="J381" s="15"/>
      <c r="K381" s="16">
        <f t="shared" si="15"/>
        <v>0</v>
      </c>
      <c r="L381" s="16">
        <f t="shared" si="16"/>
        <v>0</v>
      </c>
      <c r="M381" s="16">
        <f>IFERROR(AVERAGEIF('Production Batches'!$C:$C,F381,'Production Batches'!$L:$L),0)</f>
        <v>0</v>
      </c>
      <c r="N381" s="16">
        <f t="shared" si="17"/>
        <v>0</v>
      </c>
      <c r="P381" s="11"/>
      <c r="Q381" s="30"/>
    </row>
    <row r="382" spans="2:17">
      <c r="B382" s="30"/>
      <c r="C382" s="11"/>
      <c r="D382" s="11"/>
      <c r="E382" t="str">
        <f>IFERROR(VLOOKUP(D382,Customers!$A:$B,2,FALSE),"")</f>
        <v/>
      </c>
      <c r="F382" s="11"/>
      <c r="G382" t="str">
        <f>IFERROR(VLOOKUP(F382,'Products Index'!$A:$B,2,FALSE),"")</f>
        <v/>
      </c>
      <c r="H382" s="11"/>
      <c r="I382" s="12"/>
      <c r="J382" s="15"/>
      <c r="K382" s="16">
        <f t="shared" si="15"/>
        <v>0</v>
      </c>
      <c r="L382" s="16">
        <f t="shared" si="16"/>
        <v>0</v>
      </c>
      <c r="M382" s="16">
        <f>IFERROR(AVERAGEIF('Production Batches'!$C:$C,F382,'Production Batches'!$L:$L),0)</f>
        <v>0</v>
      </c>
      <c r="N382" s="16">
        <f t="shared" si="17"/>
        <v>0</v>
      </c>
      <c r="P382" s="11"/>
      <c r="Q382" s="30"/>
    </row>
    <row r="383" spans="2:17">
      <c r="B383" s="30"/>
      <c r="C383" s="11"/>
      <c r="D383" s="11"/>
      <c r="E383" t="str">
        <f>IFERROR(VLOOKUP(D383,Customers!$A:$B,2,FALSE),"")</f>
        <v/>
      </c>
      <c r="F383" s="11"/>
      <c r="G383" t="str">
        <f>IFERROR(VLOOKUP(F383,'Products Index'!$A:$B,2,FALSE),"")</f>
        <v/>
      </c>
      <c r="H383" s="11"/>
      <c r="I383" s="12"/>
      <c r="J383" s="15"/>
      <c r="K383" s="16">
        <f t="shared" si="15"/>
        <v>0</v>
      </c>
      <c r="L383" s="16">
        <f t="shared" si="16"/>
        <v>0</v>
      </c>
      <c r="M383" s="16">
        <f>IFERROR(AVERAGEIF('Production Batches'!$C:$C,F383,'Production Batches'!$L:$L),0)</f>
        <v>0</v>
      </c>
      <c r="N383" s="16">
        <f t="shared" si="17"/>
        <v>0</v>
      </c>
      <c r="P383" s="11"/>
      <c r="Q383" s="30"/>
    </row>
    <row r="384" spans="2:17">
      <c r="B384" s="30"/>
      <c r="C384" s="11"/>
      <c r="D384" s="11"/>
      <c r="E384" t="str">
        <f>IFERROR(VLOOKUP(D384,Customers!$A:$B,2,FALSE),"")</f>
        <v/>
      </c>
      <c r="F384" s="11"/>
      <c r="G384" t="str">
        <f>IFERROR(VLOOKUP(F384,'Products Index'!$A:$B,2,FALSE),"")</f>
        <v/>
      </c>
      <c r="H384" s="11"/>
      <c r="I384" s="12"/>
      <c r="J384" s="15"/>
      <c r="K384" s="16">
        <f t="shared" si="15"/>
        <v>0</v>
      </c>
      <c r="L384" s="16">
        <f t="shared" si="16"/>
        <v>0</v>
      </c>
      <c r="M384" s="16">
        <f>IFERROR(AVERAGEIF('Production Batches'!$C:$C,F384,'Production Batches'!$L:$L),0)</f>
        <v>0</v>
      </c>
      <c r="N384" s="16">
        <f t="shared" si="17"/>
        <v>0</v>
      </c>
      <c r="P384" s="11"/>
      <c r="Q384" s="30"/>
    </row>
    <row r="385" spans="2:17">
      <c r="B385" s="30"/>
      <c r="C385" s="11"/>
      <c r="D385" s="11"/>
      <c r="E385" t="str">
        <f>IFERROR(VLOOKUP(D385,Customers!$A:$B,2,FALSE),"")</f>
        <v/>
      </c>
      <c r="F385" s="11"/>
      <c r="G385" t="str">
        <f>IFERROR(VLOOKUP(F385,'Products Index'!$A:$B,2,FALSE),"")</f>
        <v/>
      </c>
      <c r="H385" s="11"/>
      <c r="I385" s="12"/>
      <c r="J385" s="15"/>
      <c r="K385" s="16">
        <f t="shared" si="15"/>
        <v>0</v>
      </c>
      <c r="L385" s="16">
        <f t="shared" si="16"/>
        <v>0</v>
      </c>
      <c r="M385" s="16">
        <f>IFERROR(AVERAGEIF('Production Batches'!$C:$C,F385,'Production Batches'!$L:$L),0)</f>
        <v>0</v>
      </c>
      <c r="N385" s="16">
        <f t="shared" si="17"/>
        <v>0</v>
      </c>
      <c r="P385" s="11"/>
      <c r="Q385" s="30"/>
    </row>
    <row r="386" spans="2:17">
      <c r="B386" s="30"/>
      <c r="C386" s="11"/>
      <c r="D386" s="11"/>
      <c r="E386" t="str">
        <f>IFERROR(VLOOKUP(D386,Customers!$A:$B,2,FALSE),"")</f>
        <v/>
      </c>
      <c r="F386" s="11"/>
      <c r="G386" t="str">
        <f>IFERROR(VLOOKUP(F386,'Products Index'!$A:$B,2,FALSE),"")</f>
        <v/>
      </c>
      <c r="H386" s="11"/>
      <c r="I386" s="12"/>
      <c r="J386" s="15"/>
      <c r="K386" s="16">
        <f t="shared" ref="K386:K449" si="18">IFERROR(I386*(1-J386),0)</f>
        <v>0</v>
      </c>
      <c r="L386" s="16">
        <f t="shared" ref="L386:L449" si="19">IFERROR(K386*H386,0)</f>
        <v>0</v>
      </c>
      <c r="M386" s="16">
        <f>IFERROR(AVERAGEIF('Production Batches'!$C:$C,F386,'Production Batches'!$L:$L),0)</f>
        <v>0</v>
      </c>
      <c r="N386" s="16">
        <f t="shared" ref="N386:N449" si="20">IFERROR(L386-(M386*H386),0)</f>
        <v>0</v>
      </c>
      <c r="P386" s="11"/>
      <c r="Q386" s="30"/>
    </row>
    <row r="387" spans="2:17">
      <c r="B387" s="30"/>
      <c r="C387" s="11"/>
      <c r="D387" s="11"/>
      <c r="E387" t="str">
        <f>IFERROR(VLOOKUP(D387,Customers!$A:$B,2,FALSE),"")</f>
        <v/>
      </c>
      <c r="F387" s="11"/>
      <c r="G387" t="str">
        <f>IFERROR(VLOOKUP(F387,'Products Index'!$A:$B,2,FALSE),"")</f>
        <v/>
      </c>
      <c r="H387" s="11"/>
      <c r="I387" s="12"/>
      <c r="J387" s="15"/>
      <c r="K387" s="16">
        <f t="shared" si="18"/>
        <v>0</v>
      </c>
      <c r="L387" s="16">
        <f t="shared" si="19"/>
        <v>0</v>
      </c>
      <c r="M387" s="16">
        <f>IFERROR(AVERAGEIF('Production Batches'!$C:$C,F387,'Production Batches'!$L:$L),0)</f>
        <v>0</v>
      </c>
      <c r="N387" s="16">
        <f t="shared" si="20"/>
        <v>0</v>
      </c>
      <c r="P387" s="11"/>
      <c r="Q387" s="30"/>
    </row>
    <row r="388" spans="2:17">
      <c r="B388" s="30"/>
      <c r="C388" s="11"/>
      <c r="D388" s="11"/>
      <c r="E388" t="str">
        <f>IFERROR(VLOOKUP(D388,Customers!$A:$B,2,FALSE),"")</f>
        <v/>
      </c>
      <c r="F388" s="11"/>
      <c r="G388" t="str">
        <f>IFERROR(VLOOKUP(F388,'Products Index'!$A:$B,2,FALSE),"")</f>
        <v/>
      </c>
      <c r="H388" s="11"/>
      <c r="I388" s="12"/>
      <c r="J388" s="15"/>
      <c r="K388" s="16">
        <f t="shared" si="18"/>
        <v>0</v>
      </c>
      <c r="L388" s="16">
        <f t="shared" si="19"/>
        <v>0</v>
      </c>
      <c r="M388" s="16">
        <f>IFERROR(AVERAGEIF('Production Batches'!$C:$C,F388,'Production Batches'!$L:$L),0)</f>
        <v>0</v>
      </c>
      <c r="N388" s="16">
        <f t="shared" si="20"/>
        <v>0</v>
      </c>
      <c r="P388" s="11"/>
      <c r="Q388" s="30"/>
    </row>
    <row r="389" spans="2:17">
      <c r="B389" s="30"/>
      <c r="C389" s="11"/>
      <c r="D389" s="11"/>
      <c r="E389" t="str">
        <f>IFERROR(VLOOKUP(D389,Customers!$A:$B,2,FALSE),"")</f>
        <v/>
      </c>
      <c r="F389" s="11"/>
      <c r="G389" t="str">
        <f>IFERROR(VLOOKUP(F389,'Products Index'!$A:$B,2,FALSE),"")</f>
        <v/>
      </c>
      <c r="H389" s="11"/>
      <c r="I389" s="12"/>
      <c r="J389" s="15"/>
      <c r="K389" s="16">
        <f t="shared" si="18"/>
        <v>0</v>
      </c>
      <c r="L389" s="16">
        <f t="shared" si="19"/>
        <v>0</v>
      </c>
      <c r="M389" s="16">
        <f>IFERROR(AVERAGEIF('Production Batches'!$C:$C,F389,'Production Batches'!$L:$L),0)</f>
        <v>0</v>
      </c>
      <c r="N389" s="16">
        <f t="shared" si="20"/>
        <v>0</v>
      </c>
      <c r="P389" s="11"/>
      <c r="Q389" s="30"/>
    </row>
    <row r="390" spans="2:17">
      <c r="B390" s="30"/>
      <c r="C390" s="11"/>
      <c r="D390" s="11"/>
      <c r="E390" t="str">
        <f>IFERROR(VLOOKUP(D390,Customers!$A:$B,2,FALSE),"")</f>
        <v/>
      </c>
      <c r="F390" s="11"/>
      <c r="G390" t="str">
        <f>IFERROR(VLOOKUP(F390,'Products Index'!$A:$B,2,FALSE),"")</f>
        <v/>
      </c>
      <c r="H390" s="11"/>
      <c r="I390" s="12"/>
      <c r="J390" s="15"/>
      <c r="K390" s="16">
        <f t="shared" si="18"/>
        <v>0</v>
      </c>
      <c r="L390" s="16">
        <f t="shared" si="19"/>
        <v>0</v>
      </c>
      <c r="M390" s="16">
        <f>IFERROR(AVERAGEIF('Production Batches'!$C:$C,F390,'Production Batches'!$L:$L),0)</f>
        <v>0</v>
      </c>
      <c r="N390" s="16">
        <f t="shared" si="20"/>
        <v>0</v>
      </c>
      <c r="P390" s="11"/>
      <c r="Q390" s="30"/>
    </row>
    <row r="391" spans="2:17">
      <c r="B391" s="30"/>
      <c r="C391" s="11"/>
      <c r="D391" s="11"/>
      <c r="E391" t="str">
        <f>IFERROR(VLOOKUP(D391,Customers!$A:$B,2,FALSE),"")</f>
        <v/>
      </c>
      <c r="F391" s="11"/>
      <c r="G391" t="str">
        <f>IFERROR(VLOOKUP(F391,'Products Index'!$A:$B,2,FALSE),"")</f>
        <v/>
      </c>
      <c r="H391" s="11"/>
      <c r="I391" s="12"/>
      <c r="J391" s="15"/>
      <c r="K391" s="16">
        <f t="shared" si="18"/>
        <v>0</v>
      </c>
      <c r="L391" s="16">
        <f t="shared" si="19"/>
        <v>0</v>
      </c>
      <c r="M391" s="16">
        <f>IFERROR(AVERAGEIF('Production Batches'!$C:$C,F391,'Production Batches'!$L:$L),0)</f>
        <v>0</v>
      </c>
      <c r="N391" s="16">
        <f t="shared" si="20"/>
        <v>0</v>
      </c>
      <c r="P391" s="11"/>
      <c r="Q391" s="30"/>
    </row>
    <row r="392" spans="2:17">
      <c r="B392" s="30"/>
      <c r="C392" s="11"/>
      <c r="D392" s="11"/>
      <c r="E392" t="str">
        <f>IFERROR(VLOOKUP(D392,Customers!$A:$B,2,FALSE),"")</f>
        <v/>
      </c>
      <c r="F392" s="11"/>
      <c r="G392" t="str">
        <f>IFERROR(VLOOKUP(F392,'Products Index'!$A:$B,2,FALSE),"")</f>
        <v/>
      </c>
      <c r="H392" s="11"/>
      <c r="I392" s="12"/>
      <c r="J392" s="15"/>
      <c r="K392" s="16">
        <f t="shared" si="18"/>
        <v>0</v>
      </c>
      <c r="L392" s="16">
        <f t="shared" si="19"/>
        <v>0</v>
      </c>
      <c r="M392" s="16">
        <f>IFERROR(AVERAGEIF('Production Batches'!$C:$C,F392,'Production Batches'!$L:$L),0)</f>
        <v>0</v>
      </c>
      <c r="N392" s="16">
        <f t="shared" si="20"/>
        <v>0</v>
      </c>
      <c r="P392" s="11"/>
      <c r="Q392" s="30"/>
    </row>
    <row r="393" spans="2:17">
      <c r="B393" s="30"/>
      <c r="C393" s="11"/>
      <c r="D393" s="11"/>
      <c r="E393" t="str">
        <f>IFERROR(VLOOKUP(D393,Customers!$A:$B,2,FALSE),"")</f>
        <v/>
      </c>
      <c r="F393" s="11"/>
      <c r="G393" t="str">
        <f>IFERROR(VLOOKUP(F393,'Products Index'!$A:$B,2,FALSE),"")</f>
        <v/>
      </c>
      <c r="H393" s="11"/>
      <c r="I393" s="12"/>
      <c r="J393" s="15"/>
      <c r="K393" s="16">
        <f t="shared" si="18"/>
        <v>0</v>
      </c>
      <c r="L393" s="16">
        <f t="shared" si="19"/>
        <v>0</v>
      </c>
      <c r="M393" s="16">
        <f>IFERROR(AVERAGEIF('Production Batches'!$C:$C,F393,'Production Batches'!$L:$L),0)</f>
        <v>0</v>
      </c>
      <c r="N393" s="16">
        <f t="shared" si="20"/>
        <v>0</v>
      </c>
      <c r="P393" s="11"/>
      <c r="Q393" s="30"/>
    </row>
    <row r="394" spans="2:17">
      <c r="B394" s="30"/>
      <c r="C394" s="11"/>
      <c r="D394" s="11"/>
      <c r="E394" t="str">
        <f>IFERROR(VLOOKUP(D394,Customers!$A:$B,2,FALSE),"")</f>
        <v/>
      </c>
      <c r="F394" s="11"/>
      <c r="G394" t="str">
        <f>IFERROR(VLOOKUP(F394,'Products Index'!$A:$B,2,FALSE),"")</f>
        <v/>
      </c>
      <c r="H394" s="11"/>
      <c r="I394" s="12"/>
      <c r="J394" s="15"/>
      <c r="K394" s="16">
        <f t="shared" si="18"/>
        <v>0</v>
      </c>
      <c r="L394" s="16">
        <f t="shared" si="19"/>
        <v>0</v>
      </c>
      <c r="M394" s="16">
        <f>IFERROR(AVERAGEIF('Production Batches'!$C:$C,F394,'Production Batches'!$L:$L),0)</f>
        <v>0</v>
      </c>
      <c r="N394" s="16">
        <f t="shared" si="20"/>
        <v>0</v>
      </c>
      <c r="P394" s="11"/>
      <c r="Q394" s="30"/>
    </row>
    <row r="395" spans="2:17">
      <c r="B395" s="30"/>
      <c r="C395" s="11"/>
      <c r="D395" s="11"/>
      <c r="E395" t="str">
        <f>IFERROR(VLOOKUP(D395,Customers!$A:$B,2,FALSE),"")</f>
        <v/>
      </c>
      <c r="F395" s="11"/>
      <c r="G395" t="str">
        <f>IFERROR(VLOOKUP(F395,'Products Index'!$A:$B,2,FALSE),"")</f>
        <v/>
      </c>
      <c r="H395" s="11"/>
      <c r="I395" s="12"/>
      <c r="J395" s="15"/>
      <c r="K395" s="16">
        <f t="shared" si="18"/>
        <v>0</v>
      </c>
      <c r="L395" s="16">
        <f t="shared" si="19"/>
        <v>0</v>
      </c>
      <c r="M395" s="16">
        <f>IFERROR(AVERAGEIF('Production Batches'!$C:$C,F395,'Production Batches'!$L:$L),0)</f>
        <v>0</v>
      </c>
      <c r="N395" s="16">
        <f t="shared" si="20"/>
        <v>0</v>
      </c>
      <c r="P395" s="11"/>
      <c r="Q395" s="30"/>
    </row>
    <row r="396" spans="2:17">
      <c r="B396" s="30"/>
      <c r="C396" s="11"/>
      <c r="D396" s="11"/>
      <c r="E396" t="str">
        <f>IFERROR(VLOOKUP(D396,Customers!$A:$B,2,FALSE),"")</f>
        <v/>
      </c>
      <c r="F396" s="11"/>
      <c r="G396" t="str">
        <f>IFERROR(VLOOKUP(F396,'Products Index'!$A:$B,2,FALSE),"")</f>
        <v/>
      </c>
      <c r="H396" s="11"/>
      <c r="I396" s="12"/>
      <c r="J396" s="15"/>
      <c r="K396" s="16">
        <f t="shared" si="18"/>
        <v>0</v>
      </c>
      <c r="L396" s="16">
        <f t="shared" si="19"/>
        <v>0</v>
      </c>
      <c r="M396" s="16">
        <f>IFERROR(AVERAGEIF('Production Batches'!$C:$C,F396,'Production Batches'!$L:$L),0)</f>
        <v>0</v>
      </c>
      <c r="N396" s="16">
        <f t="shared" si="20"/>
        <v>0</v>
      </c>
      <c r="P396" s="11"/>
      <c r="Q396" s="30"/>
    </row>
    <row r="397" spans="2:17">
      <c r="B397" s="30"/>
      <c r="C397" s="11"/>
      <c r="D397" s="11"/>
      <c r="E397" t="str">
        <f>IFERROR(VLOOKUP(D397,Customers!$A:$B,2,FALSE),"")</f>
        <v/>
      </c>
      <c r="F397" s="11"/>
      <c r="G397" t="str">
        <f>IFERROR(VLOOKUP(F397,'Products Index'!$A:$B,2,FALSE),"")</f>
        <v/>
      </c>
      <c r="H397" s="11"/>
      <c r="I397" s="12"/>
      <c r="J397" s="15"/>
      <c r="K397" s="16">
        <f t="shared" si="18"/>
        <v>0</v>
      </c>
      <c r="L397" s="16">
        <f t="shared" si="19"/>
        <v>0</v>
      </c>
      <c r="M397" s="16">
        <f>IFERROR(AVERAGEIF('Production Batches'!$C:$C,F397,'Production Batches'!$L:$L),0)</f>
        <v>0</v>
      </c>
      <c r="N397" s="16">
        <f t="shared" si="20"/>
        <v>0</v>
      </c>
      <c r="P397" s="11"/>
      <c r="Q397" s="30"/>
    </row>
    <row r="398" spans="2:17">
      <c r="B398" s="30"/>
      <c r="C398" s="11"/>
      <c r="D398" s="11"/>
      <c r="E398" t="str">
        <f>IFERROR(VLOOKUP(D398,Customers!$A:$B,2,FALSE),"")</f>
        <v/>
      </c>
      <c r="F398" s="11"/>
      <c r="G398" t="str">
        <f>IFERROR(VLOOKUP(F398,'Products Index'!$A:$B,2,FALSE),"")</f>
        <v/>
      </c>
      <c r="H398" s="11"/>
      <c r="I398" s="12"/>
      <c r="J398" s="15"/>
      <c r="K398" s="16">
        <f t="shared" si="18"/>
        <v>0</v>
      </c>
      <c r="L398" s="16">
        <f t="shared" si="19"/>
        <v>0</v>
      </c>
      <c r="M398" s="16">
        <f>IFERROR(AVERAGEIF('Production Batches'!$C:$C,F398,'Production Batches'!$L:$L),0)</f>
        <v>0</v>
      </c>
      <c r="N398" s="16">
        <f t="shared" si="20"/>
        <v>0</v>
      </c>
      <c r="P398" s="11"/>
      <c r="Q398" s="30"/>
    </row>
    <row r="399" spans="2:17">
      <c r="B399" s="30"/>
      <c r="C399" s="11"/>
      <c r="D399" s="11"/>
      <c r="E399" t="str">
        <f>IFERROR(VLOOKUP(D399,Customers!$A:$B,2,FALSE),"")</f>
        <v/>
      </c>
      <c r="F399" s="11"/>
      <c r="G399" t="str">
        <f>IFERROR(VLOOKUP(F399,'Products Index'!$A:$B,2,FALSE),"")</f>
        <v/>
      </c>
      <c r="H399" s="11"/>
      <c r="I399" s="12"/>
      <c r="J399" s="15"/>
      <c r="K399" s="16">
        <f t="shared" si="18"/>
        <v>0</v>
      </c>
      <c r="L399" s="16">
        <f t="shared" si="19"/>
        <v>0</v>
      </c>
      <c r="M399" s="16">
        <f>IFERROR(AVERAGEIF('Production Batches'!$C:$C,F399,'Production Batches'!$L:$L),0)</f>
        <v>0</v>
      </c>
      <c r="N399" s="16">
        <f t="shared" si="20"/>
        <v>0</v>
      </c>
      <c r="P399" s="11"/>
      <c r="Q399" s="30"/>
    </row>
    <row r="400" spans="2:17">
      <c r="B400" s="30"/>
      <c r="C400" s="11"/>
      <c r="D400" s="11"/>
      <c r="E400" t="str">
        <f>IFERROR(VLOOKUP(D400,Customers!$A:$B,2,FALSE),"")</f>
        <v/>
      </c>
      <c r="F400" s="11"/>
      <c r="G400" t="str">
        <f>IFERROR(VLOOKUP(F400,'Products Index'!$A:$B,2,FALSE),"")</f>
        <v/>
      </c>
      <c r="H400" s="11"/>
      <c r="I400" s="12"/>
      <c r="J400" s="15"/>
      <c r="K400" s="16">
        <f t="shared" si="18"/>
        <v>0</v>
      </c>
      <c r="L400" s="16">
        <f t="shared" si="19"/>
        <v>0</v>
      </c>
      <c r="M400" s="16">
        <f>IFERROR(AVERAGEIF('Production Batches'!$C:$C,F400,'Production Batches'!$L:$L),0)</f>
        <v>0</v>
      </c>
      <c r="N400" s="16">
        <f t="shared" si="20"/>
        <v>0</v>
      </c>
      <c r="P400" s="11"/>
      <c r="Q400" s="30"/>
    </row>
    <row r="401" spans="2:17">
      <c r="B401" s="30"/>
      <c r="C401" s="11"/>
      <c r="D401" s="11"/>
      <c r="E401" t="str">
        <f>IFERROR(VLOOKUP(D401,Customers!$A:$B,2,FALSE),"")</f>
        <v/>
      </c>
      <c r="F401" s="11"/>
      <c r="G401" t="str">
        <f>IFERROR(VLOOKUP(F401,'Products Index'!$A:$B,2,FALSE),"")</f>
        <v/>
      </c>
      <c r="H401" s="11"/>
      <c r="I401" s="12"/>
      <c r="J401" s="15"/>
      <c r="K401" s="16">
        <f t="shared" si="18"/>
        <v>0</v>
      </c>
      <c r="L401" s="16">
        <f t="shared" si="19"/>
        <v>0</v>
      </c>
      <c r="M401" s="16">
        <f>IFERROR(AVERAGEIF('Production Batches'!$C:$C,F401,'Production Batches'!$L:$L),0)</f>
        <v>0</v>
      </c>
      <c r="N401" s="16">
        <f t="shared" si="20"/>
        <v>0</v>
      </c>
      <c r="P401" s="11"/>
      <c r="Q401" s="30"/>
    </row>
    <row r="402" spans="2:17">
      <c r="B402" s="30"/>
      <c r="C402" s="11"/>
      <c r="D402" s="11"/>
      <c r="E402" t="str">
        <f>IFERROR(VLOOKUP(D402,Customers!$A:$B,2,FALSE),"")</f>
        <v/>
      </c>
      <c r="F402" s="11"/>
      <c r="G402" t="str">
        <f>IFERROR(VLOOKUP(F402,'Products Index'!$A:$B,2,FALSE),"")</f>
        <v/>
      </c>
      <c r="H402" s="11"/>
      <c r="I402" s="12"/>
      <c r="J402" s="15"/>
      <c r="K402" s="16">
        <f t="shared" si="18"/>
        <v>0</v>
      </c>
      <c r="L402" s="16">
        <f t="shared" si="19"/>
        <v>0</v>
      </c>
      <c r="M402" s="16">
        <f>IFERROR(AVERAGEIF('Production Batches'!$C:$C,F402,'Production Batches'!$L:$L),0)</f>
        <v>0</v>
      </c>
      <c r="N402" s="16">
        <f t="shared" si="20"/>
        <v>0</v>
      </c>
      <c r="P402" s="11"/>
      <c r="Q402" s="30"/>
    </row>
    <row r="403" spans="2:17">
      <c r="B403" s="30"/>
      <c r="C403" s="11"/>
      <c r="D403" s="11"/>
      <c r="E403" t="str">
        <f>IFERROR(VLOOKUP(D403,Customers!$A:$B,2,FALSE),"")</f>
        <v/>
      </c>
      <c r="F403" s="11"/>
      <c r="G403" t="str">
        <f>IFERROR(VLOOKUP(F403,'Products Index'!$A:$B,2,FALSE),"")</f>
        <v/>
      </c>
      <c r="H403" s="11"/>
      <c r="I403" s="12"/>
      <c r="J403" s="15"/>
      <c r="K403" s="16">
        <f t="shared" si="18"/>
        <v>0</v>
      </c>
      <c r="L403" s="16">
        <f t="shared" si="19"/>
        <v>0</v>
      </c>
      <c r="M403" s="16">
        <f>IFERROR(AVERAGEIF('Production Batches'!$C:$C,F403,'Production Batches'!$L:$L),0)</f>
        <v>0</v>
      </c>
      <c r="N403" s="16">
        <f t="shared" si="20"/>
        <v>0</v>
      </c>
      <c r="P403" s="11"/>
      <c r="Q403" s="30"/>
    </row>
    <row r="404" spans="2:17">
      <c r="B404" s="30"/>
      <c r="C404" s="11"/>
      <c r="D404" s="11"/>
      <c r="E404" t="str">
        <f>IFERROR(VLOOKUP(D404,Customers!$A:$B,2,FALSE),"")</f>
        <v/>
      </c>
      <c r="F404" s="11"/>
      <c r="G404" t="str">
        <f>IFERROR(VLOOKUP(F404,'Products Index'!$A:$B,2,FALSE),"")</f>
        <v/>
      </c>
      <c r="H404" s="11"/>
      <c r="I404" s="12"/>
      <c r="J404" s="15"/>
      <c r="K404" s="16">
        <f t="shared" si="18"/>
        <v>0</v>
      </c>
      <c r="L404" s="16">
        <f t="shared" si="19"/>
        <v>0</v>
      </c>
      <c r="M404" s="16">
        <f>IFERROR(AVERAGEIF('Production Batches'!$C:$C,F404,'Production Batches'!$L:$L),0)</f>
        <v>0</v>
      </c>
      <c r="N404" s="16">
        <f t="shared" si="20"/>
        <v>0</v>
      </c>
      <c r="P404" s="11"/>
      <c r="Q404" s="30"/>
    </row>
    <row r="405" spans="2:17">
      <c r="B405" s="30"/>
      <c r="C405" s="11"/>
      <c r="D405" s="11"/>
      <c r="E405" t="str">
        <f>IFERROR(VLOOKUP(D405,Customers!$A:$B,2,FALSE),"")</f>
        <v/>
      </c>
      <c r="F405" s="11"/>
      <c r="G405" t="str">
        <f>IFERROR(VLOOKUP(F405,'Products Index'!$A:$B,2,FALSE),"")</f>
        <v/>
      </c>
      <c r="H405" s="11"/>
      <c r="I405" s="12"/>
      <c r="J405" s="15"/>
      <c r="K405" s="16">
        <f t="shared" si="18"/>
        <v>0</v>
      </c>
      <c r="L405" s="16">
        <f t="shared" si="19"/>
        <v>0</v>
      </c>
      <c r="M405" s="16">
        <f>IFERROR(AVERAGEIF('Production Batches'!$C:$C,F405,'Production Batches'!$L:$L),0)</f>
        <v>0</v>
      </c>
      <c r="N405" s="16">
        <f t="shared" si="20"/>
        <v>0</v>
      </c>
      <c r="P405" s="11"/>
      <c r="Q405" s="30"/>
    </row>
    <row r="406" spans="2:17">
      <c r="B406" s="30"/>
      <c r="C406" s="11"/>
      <c r="D406" s="11"/>
      <c r="E406" t="str">
        <f>IFERROR(VLOOKUP(D406,Customers!$A:$B,2,FALSE),"")</f>
        <v/>
      </c>
      <c r="F406" s="11"/>
      <c r="G406" t="str">
        <f>IFERROR(VLOOKUP(F406,'Products Index'!$A:$B,2,FALSE),"")</f>
        <v/>
      </c>
      <c r="H406" s="11"/>
      <c r="I406" s="12"/>
      <c r="J406" s="15"/>
      <c r="K406" s="16">
        <f t="shared" si="18"/>
        <v>0</v>
      </c>
      <c r="L406" s="16">
        <f t="shared" si="19"/>
        <v>0</v>
      </c>
      <c r="M406" s="16">
        <f>IFERROR(AVERAGEIF('Production Batches'!$C:$C,F406,'Production Batches'!$L:$L),0)</f>
        <v>0</v>
      </c>
      <c r="N406" s="16">
        <f t="shared" si="20"/>
        <v>0</v>
      </c>
      <c r="P406" s="11"/>
      <c r="Q406" s="30"/>
    </row>
    <row r="407" spans="2:17">
      <c r="B407" s="30"/>
      <c r="C407" s="11"/>
      <c r="D407" s="11"/>
      <c r="E407" t="str">
        <f>IFERROR(VLOOKUP(D407,Customers!$A:$B,2,FALSE),"")</f>
        <v/>
      </c>
      <c r="F407" s="11"/>
      <c r="G407" t="str">
        <f>IFERROR(VLOOKUP(F407,'Products Index'!$A:$B,2,FALSE),"")</f>
        <v/>
      </c>
      <c r="H407" s="11"/>
      <c r="I407" s="12"/>
      <c r="J407" s="15"/>
      <c r="K407" s="16">
        <f t="shared" si="18"/>
        <v>0</v>
      </c>
      <c r="L407" s="16">
        <f t="shared" si="19"/>
        <v>0</v>
      </c>
      <c r="M407" s="16">
        <f>IFERROR(AVERAGEIF('Production Batches'!$C:$C,F407,'Production Batches'!$L:$L),0)</f>
        <v>0</v>
      </c>
      <c r="N407" s="16">
        <f t="shared" si="20"/>
        <v>0</v>
      </c>
      <c r="P407" s="11"/>
      <c r="Q407" s="30"/>
    </row>
    <row r="408" spans="2:17">
      <c r="B408" s="30"/>
      <c r="C408" s="11"/>
      <c r="D408" s="11"/>
      <c r="E408" t="str">
        <f>IFERROR(VLOOKUP(D408,Customers!$A:$B,2,FALSE),"")</f>
        <v/>
      </c>
      <c r="F408" s="11"/>
      <c r="G408" t="str">
        <f>IFERROR(VLOOKUP(F408,'Products Index'!$A:$B,2,FALSE),"")</f>
        <v/>
      </c>
      <c r="H408" s="11"/>
      <c r="I408" s="12"/>
      <c r="J408" s="15"/>
      <c r="K408" s="16">
        <f t="shared" si="18"/>
        <v>0</v>
      </c>
      <c r="L408" s="16">
        <f t="shared" si="19"/>
        <v>0</v>
      </c>
      <c r="M408" s="16">
        <f>IFERROR(AVERAGEIF('Production Batches'!$C:$C,F408,'Production Batches'!$L:$L),0)</f>
        <v>0</v>
      </c>
      <c r="N408" s="16">
        <f t="shared" si="20"/>
        <v>0</v>
      </c>
      <c r="P408" s="11"/>
      <c r="Q408" s="30"/>
    </row>
    <row r="409" spans="2:17">
      <c r="B409" s="30"/>
      <c r="C409" s="11"/>
      <c r="D409" s="11"/>
      <c r="E409" t="str">
        <f>IFERROR(VLOOKUP(D409,Customers!$A:$B,2,FALSE),"")</f>
        <v/>
      </c>
      <c r="F409" s="11"/>
      <c r="G409" t="str">
        <f>IFERROR(VLOOKUP(F409,'Products Index'!$A:$B,2,FALSE),"")</f>
        <v/>
      </c>
      <c r="H409" s="11"/>
      <c r="I409" s="12"/>
      <c r="J409" s="15"/>
      <c r="K409" s="16">
        <f t="shared" si="18"/>
        <v>0</v>
      </c>
      <c r="L409" s="16">
        <f t="shared" si="19"/>
        <v>0</v>
      </c>
      <c r="M409" s="16">
        <f>IFERROR(AVERAGEIF('Production Batches'!$C:$C,F409,'Production Batches'!$L:$L),0)</f>
        <v>0</v>
      </c>
      <c r="N409" s="16">
        <f t="shared" si="20"/>
        <v>0</v>
      </c>
      <c r="P409" s="11"/>
      <c r="Q409" s="30"/>
    </row>
    <row r="410" spans="2:17">
      <c r="B410" s="30"/>
      <c r="C410" s="11"/>
      <c r="D410" s="11"/>
      <c r="E410" t="str">
        <f>IFERROR(VLOOKUP(D410,Customers!$A:$B,2,FALSE),"")</f>
        <v/>
      </c>
      <c r="F410" s="11"/>
      <c r="G410" t="str">
        <f>IFERROR(VLOOKUP(F410,'Products Index'!$A:$B,2,FALSE),"")</f>
        <v/>
      </c>
      <c r="H410" s="11"/>
      <c r="I410" s="12"/>
      <c r="J410" s="15"/>
      <c r="K410" s="16">
        <f t="shared" si="18"/>
        <v>0</v>
      </c>
      <c r="L410" s="16">
        <f t="shared" si="19"/>
        <v>0</v>
      </c>
      <c r="M410" s="16">
        <f>IFERROR(AVERAGEIF('Production Batches'!$C:$C,F410,'Production Batches'!$L:$L),0)</f>
        <v>0</v>
      </c>
      <c r="N410" s="16">
        <f t="shared" si="20"/>
        <v>0</v>
      </c>
      <c r="P410" s="11"/>
      <c r="Q410" s="30"/>
    </row>
    <row r="411" spans="2:17">
      <c r="B411" s="30"/>
      <c r="C411" s="11"/>
      <c r="D411" s="11"/>
      <c r="E411" t="str">
        <f>IFERROR(VLOOKUP(D411,Customers!$A:$B,2,FALSE),"")</f>
        <v/>
      </c>
      <c r="F411" s="11"/>
      <c r="G411" t="str">
        <f>IFERROR(VLOOKUP(F411,'Products Index'!$A:$B,2,FALSE),"")</f>
        <v/>
      </c>
      <c r="H411" s="11"/>
      <c r="I411" s="12"/>
      <c r="J411" s="15"/>
      <c r="K411" s="16">
        <f t="shared" si="18"/>
        <v>0</v>
      </c>
      <c r="L411" s="16">
        <f t="shared" si="19"/>
        <v>0</v>
      </c>
      <c r="M411" s="16">
        <f>IFERROR(AVERAGEIF('Production Batches'!$C:$C,F411,'Production Batches'!$L:$L),0)</f>
        <v>0</v>
      </c>
      <c r="N411" s="16">
        <f t="shared" si="20"/>
        <v>0</v>
      </c>
      <c r="P411" s="11"/>
      <c r="Q411" s="30"/>
    </row>
    <row r="412" spans="2:17">
      <c r="B412" s="30"/>
      <c r="C412" s="11"/>
      <c r="D412" s="11"/>
      <c r="E412" t="str">
        <f>IFERROR(VLOOKUP(D412,Customers!$A:$B,2,FALSE),"")</f>
        <v/>
      </c>
      <c r="F412" s="11"/>
      <c r="G412" t="str">
        <f>IFERROR(VLOOKUP(F412,'Products Index'!$A:$B,2,FALSE),"")</f>
        <v/>
      </c>
      <c r="H412" s="11"/>
      <c r="I412" s="12"/>
      <c r="J412" s="15"/>
      <c r="K412" s="16">
        <f t="shared" si="18"/>
        <v>0</v>
      </c>
      <c r="L412" s="16">
        <f t="shared" si="19"/>
        <v>0</v>
      </c>
      <c r="M412" s="16">
        <f>IFERROR(AVERAGEIF('Production Batches'!$C:$C,F412,'Production Batches'!$L:$L),0)</f>
        <v>0</v>
      </c>
      <c r="N412" s="16">
        <f t="shared" si="20"/>
        <v>0</v>
      </c>
      <c r="P412" s="11"/>
      <c r="Q412" s="30"/>
    </row>
    <row r="413" spans="2:17">
      <c r="B413" s="30"/>
      <c r="C413" s="11"/>
      <c r="D413" s="11"/>
      <c r="E413" t="str">
        <f>IFERROR(VLOOKUP(D413,Customers!$A:$B,2,FALSE),"")</f>
        <v/>
      </c>
      <c r="F413" s="11"/>
      <c r="G413" t="str">
        <f>IFERROR(VLOOKUP(F413,'Products Index'!$A:$B,2,FALSE),"")</f>
        <v/>
      </c>
      <c r="H413" s="11"/>
      <c r="I413" s="12"/>
      <c r="J413" s="15"/>
      <c r="K413" s="16">
        <f t="shared" si="18"/>
        <v>0</v>
      </c>
      <c r="L413" s="16">
        <f t="shared" si="19"/>
        <v>0</v>
      </c>
      <c r="M413" s="16">
        <f>IFERROR(AVERAGEIF('Production Batches'!$C:$C,F413,'Production Batches'!$L:$L),0)</f>
        <v>0</v>
      </c>
      <c r="N413" s="16">
        <f t="shared" si="20"/>
        <v>0</v>
      </c>
      <c r="P413" s="11"/>
      <c r="Q413" s="30"/>
    </row>
    <row r="414" spans="2:17">
      <c r="B414" s="30"/>
      <c r="C414" s="11"/>
      <c r="D414" s="11"/>
      <c r="E414" t="str">
        <f>IFERROR(VLOOKUP(D414,Customers!$A:$B,2,FALSE),"")</f>
        <v/>
      </c>
      <c r="F414" s="11"/>
      <c r="G414" t="str">
        <f>IFERROR(VLOOKUP(F414,'Products Index'!$A:$B,2,FALSE),"")</f>
        <v/>
      </c>
      <c r="H414" s="11"/>
      <c r="I414" s="12"/>
      <c r="J414" s="15"/>
      <c r="K414" s="16">
        <f t="shared" si="18"/>
        <v>0</v>
      </c>
      <c r="L414" s="16">
        <f t="shared" si="19"/>
        <v>0</v>
      </c>
      <c r="M414" s="16">
        <f>IFERROR(AVERAGEIF('Production Batches'!$C:$C,F414,'Production Batches'!$L:$L),0)</f>
        <v>0</v>
      </c>
      <c r="N414" s="16">
        <f t="shared" si="20"/>
        <v>0</v>
      </c>
      <c r="P414" s="11"/>
      <c r="Q414" s="30"/>
    </row>
    <row r="415" spans="2:17">
      <c r="B415" s="30"/>
      <c r="C415" s="11"/>
      <c r="D415" s="11"/>
      <c r="E415" t="str">
        <f>IFERROR(VLOOKUP(D415,Customers!$A:$B,2,FALSE),"")</f>
        <v/>
      </c>
      <c r="F415" s="11"/>
      <c r="G415" t="str">
        <f>IFERROR(VLOOKUP(F415,'Products Index'!$A:$B,2,FALSE),"")</f>
        <v/>
      </c>
      <c r="H415" s="11"/>
      <c r="I415" s="12"/>
      <c r="J415" s="15"/>
      <c r="K415" s="16">
        <f t="shared" si="18"/>
        <v>0</v>
      </c>
      <c r="L415" s="16">
        <f t="shared" si="19"/>
        <v>0</v>
      </c>
      <c r="M415" s="16">
        <f>IFERROR(AVERAGEIF('Production Batches'!$C:$C,F415,'Production Batches'!$L:$L),0)</f>
        <v>0</v>
      </c>
      <c r="N415" s="16">
        <f t="shared" si="20"/>
        <v>0</v>
      </c>
      <c r="P415" s="11"/>
      <c r="Q415" s="30"/>
    </row>
    <row r="416" spans="2:17">
      <c r="B416" s="30"/>
      <c r="C416" s="11"/>
      <c r="D416" s="11"/>
      <c r="E416" t="str">
        <f>IFERROR(VLOOKUP(D416,Customers!$A:$B,2,FALSE),"")</f>
        <v/>
      </c>
      <c r="F416" s="11"/>
      <c r="G416" t="str">
        <f>IFERROR(VLOOKUP(F416,'Products Index'!$A:$B,2,FALSE),"")</f>
        <v/>
      </c>
      <c r="H416" s="11"/>
      <c r="I416" s="12"/>
      <c r="J416" s="15"/>
      <c r="K416" s="16">
        <f t="shared" si="18"/>
        <v>0</v>
      </c>
      <c r="L416" s="16">
        <f t="shared" si="19"/>
        <v>0</v>
      </c>
      <c r="M416" s="16">
        <f>IFERROR(AVERAGEIF('Production Batches'!$C:$C,F416,'Production Batches'!$L:$L),0)</f>
        <v>0</v>
      </c>
      <c r="N416" s="16">
        <f t="shared" si="20"/>
        <v>0</v>
      </c>
      <c r="P416" s="11"/>
      <c r="Q416" s="30"/>
    </row>
    <row r="417" spans="2:17">
      <c r="B417" s="30"/>
      <c r="C417" s="11"/>
      <c r="D417" s="11"/>
      <c r="E417" t="str">
        <f>IFERROR(VLOOKUP(D417,Customers!$A:$B,2,FALSE),"")</f>
        <v/>
      </c>
      <c r="F417" s="11"/>
      <c r="G417" t="str">
        <f>IFERROR(VLOOKUP(F417,'Products Index'!$A:$B,2,FALSE),"")</f>
        <v/>
      </c>
      <c r="H417" s="11"/>
      <c r="I417" s="12"/>
      <c r="J417" s="15"/>
      <c r="K417" s="16">
        <f t="shared" si="18"/>
        <v>0</v>
      </c>
      <c r="L417" s="16">
        <f t="shared" si="19"/>
        <v>0</v>
      </c>
      <c r="M417" s="16">
        <f>IFERROR(AVERAGEIF('Production Batches'!$C:$C,F417,'Production Batches'!$L:$L),0)</f>
        <v>0</v>
      </c>
      <c r="N417" s="16">
        <f t="shared" si="20"/>
        <v>0</v>
      </c>
      <c r="P417" s="11"/>
      <c r="Q417" s="30"/>
    </row>
    <row r="418" spans="2:17">
      <c r="B418" s="30"/>
      <c r="C418" s="11"/>
      <c r="D418" s="11"/>
      <c r="E418" t="str">
        <f>IFERROR(VLOOKUP(D418,Customers!$A:$B,2,FALSE),"")</f>
        <v/>
      </c>
      <c r="F418" s="11"/>
      <c r="G418" t="str">
        <f>IFERROR(VLOOKUP(F418,'Products Index'!$A:$B,2,FALSE),"")</f>
        <v/>
      </c>
      <c r="H418" s="11"/>
      <c r="I418" s="12"/>
      <c r="J418" s="15"/>
      <c r="K418" s="16">
        <f t="shared" si="18"/>
        <v>0</v>
      </c>
      <c r="L418" s="16">
        <f t="shared" si="19"/>
        <v>0</v>
      </c>
      <c r="M418" s="16">
        <f>IFERROR(AVERAGEIF('Production Batches'!$C:$C,F418,'Production Batches'!$L:$L),0)</f>
        <v>0</v>
      </c>
      <c r="N418" s="16">
        <f t="shared" si="20"/>
        <v>0</v>
      </c>
      <c r="P418" s="11"/>
      <c r="Q418" s="30"/>
    </row>
    <row r="419" spans="2:17">
      <c r="B419" s="30"/>
      <c r="C419" s="11"/>
      <c r="D419" s="11"/>
      <c r="E419" t="str">
        <f>IFERROR(VLOOKUP(D419,Customers!$A:$B,2,FALSE),"")</f>
        <v/>
      </c>
      <c r="F419" s="11"/>
      <c r="G419" t="str">
        <f>IFERROR(VLOOKUP(F419,'Products Index'!$A:$B,2,FALSE),"")</f>
        <v/>
      </c>
      <c r="H419" s="11"/>
      <c r="I419" s="12"/>
      <c r="J419" s="15"/>
      <c r="K419" s="16">
        <f t="shared" si="18"/>
        <v>0</v>
      </c>
      <c r="L419" s="16">
        <f t="shared" si="19"/>
        <v>0</v>
      </c>
      <c r="M419" s="16">
        <f>IFERROR(AVERAGEIF('Production Batches'!$C:$C,F419,'Production Batches'!$L:$L),0)</f>
        <v>0</v>
      </c>
      <c r="N419" s="16">
        <f t="shared" si="20"/>
        <v>0</v>
      </c>
      <c r="P419" s="11"/>
      <c r="Q419" s="30"/>
    </row>
    <row r="420" spans="2:17">
      <c r="B420" s="30"/>
      <c r="C420" s="11"/>
      <c r="D420" s="11"/>
      <c r="E420" t="str">
        <f>IFERROR(VLOOKUP(D420,Customers!$A:$B,2,FALSE),"")</f>
        <v/>
      </c>
      <c r="F420" s="11"/>
      <c r="G420" t="str">
        <f>IFERROR(VLOOKUP(F420,'Products Index'!$A:$B,2,FALSE),"")</f>
        <v/>
      </c>
      <c r="H420" s="11"/>
      <c r="I420" s="12"/>
      <c r="J420" s="15"/>
      <c r="K420" s="16">
        <f t="shared" si="18"/>
        <v>0</v>
      </c>
      <c r="L420" s="16">
        <f t="shared" si="19"/>
        <v>0</v>
      </c>
      <c r="M420" s="16">
        <f>IFERROR(AVERAGEIF('Production Batches'!$C:$C,F420,'Production Batches'!$L:$L),0)</f>
        <v>0</v>
      </c>
      <c r="N420" s="16">
        <f t="shared" si="20"/>
        <v>0</v>
      </c>
      <c r="P420" s="11"/>
      <c r="Q420" s="30"/>
    </row>
    <row r="421" spans="2:17">
      <c r="B421" s="30"/>
      <c r="C421" s="11"/>
      <c r="D421" s="11"/>
      <c r="E421" t="str">
        <f>IFERROR(VLOOKUP(D421,Customers!$A:$B,2,FALSE),"")</f>
        <v/>
      </c>
      <c r="F421" s="11"/>
      <c r="G421" t="str">
        <f>IFERROR(VLOOKUP(F421,'Products Index'!$A:$B,2,FALSE),"")</f>
        <v/>
      </c>
      <c r="H421" s="11"/>
      <c r="I421" s="12"/>
      <c r="J421" s="15"/>
      <c r="K421" s="16">
        <f t="shared" si="18"/>
        <v>0</v>
      </c>
      <c r="L421" s="16">
        <f t="shared" si="19"/>
        <v>0</v>
      </c>
      <c r="M421" s="16">
        <f>IFERROR(AVERAGEIF('Production Batches'!$C:$C,F421,'Production Batches'!$L:$L),0)</f>
        <v>0</v>
      </c>
      <c r="N421" s="16">
        <f t="shared" si="20"/>
        <v>0</v>
      </c>
      <c r="P421" s="11"/>
      <c r="Q421" s="30"/>
    </row>
    <row r="422" spans="2:17">
      <c r="B422" s="30"/>
      <c r="C422" s="11"/>
      <c r="D422" s="11"/>
      <c r="E422" t="str">
        <f>IFERROR(VLOOKUP(D422,Customers!$A:$B,2,FALSE),"")</f>
        <v/>
      </c>
      <c r="F422" s="11"/>
      <c r="G422" t="str">
        <f>IFERROR(VLOOKUP(F422,'Products Index'!$A:$B,2,FALSE),"")</f>
        <v/>
      </c>
      <c r="H422" s="11"/>
      <c r="I422" s="12"/>
      <c r="J422" s="15"/>
      <c r="K422" s="16">
        <f t="shared" si="18"/>
        <v>0</v>
      </c>
      <c r="L422" s="16">
        <f t="shared" si="19"/>
        <v>0</v>
      </c>
      <c r="M422" s="16">
        <f>IFERROR(AVERAGEIF('Production Batches'!$C:$C,F422,'Production Batches'!$L:$L),0)</f>
        <v>0</v>
      </c>
      <c r="N422" s="16">
        <f t="shared" si="20"/>
        <v>0</v>
      </c>
      <c r="P422" s="11"/>
      <c r="Q422" s="30"/>
    </row>
    <row r="423" spans="2:17">
      <c r="B423" s="30"/>
      <c r="C423" s="11"/>
      <c r="D423" s="11"/>
      <c r="E423" t="str">
        <f>IFERROR(VLOOKUP(D423,Customers!$A:$B,2,FALSE),"")</f>
        <v/>
      </c>
      <c r="F423" s="11"/>
      <c r="G423" t="str">
        <f>IFERROR(VLOOKUP(F423,'Products Index'!$A:$B,2,FALSE),"")</f>
        <v/>
      </c>
      <c r="H423" s="11"/>
      <c r="I423" s="12"/>
      <c r="J423" s="15"/>
      <c r="K423" s="16">
        <f t="shared" si="18"/>
        <v>0</v>
      </c>
      <c r="L423" s="16">
        <f t="shared" si="19"/>
        <v>0</v>
      </c>
      <c r="M423" s="16">
        <f>IFERROR(AVERAGEIF('Production Batches'!$C:$C,F423,'Production Batches'!$L:$L),0)</f>
        <v>0</v>
      </c>
      <c r="N423" s="16">
        <f t="shared" si="20"/>
        <v>0</v>
      </c>
      <c r="P423" s="11"/>
      <c r="Q423" s="30"/>
    </row>
    <row r="424" spans="2:17">
      <c r="B424" s="30"/>
      <c r="C424" s="11"/>
      <c r="D424" s="11"/>
      <c r="E424" t="str">
        <f>IFERROR(VLOOKUP(D424,Customers!$A:$B,2,FALSE),"")</f>
        <v/>
      </c>
      <c r="F424" s="11"/>
      <c r="G424" t="str">
        <f>IFERROR(VLOOKUP(F424,'Products Index'!$A:$B,2,FALSE),"")</f>
        <v/>
      </c>
      <c r="H424" s="11"/>
      <c r="I424" s="12"/>
      <c r="J424" s="15"/>
      <c r="K424" s="16">
        <f t="shared" si="18"/>
        <v>0</v>
      </c>
      <c r="L424" s="16">
        <f t="shared" si="19"/>
        <v>0</v>
      </c>
      <c r="M424" s="16">
        <f>IFERROR(AVERAGEIF('Production Batches'!$C:$C,F424,'Production Batches'!$L:$L),0)</f>
        <v>0</v>
      </c>
      <c r="N424" s="16">
        <f t="shared" si="20"/>
        <v>0</v>
      </c>
      <c r="P424" s="11"/>
      <c r="Q424" s="30"/>
    </row>
    <row r="425" spans="2:17">
      <c r="B425" s="30"/>
      <c r="C425" s="11"/>
      <c r="D425" s="11"/>
      <c r="E425" t="str">
        <f>IFERROR(VLOOKUP(D425,Customers!$A:$B,2,FALSE),"")</f>
        <v/>
      </c>
      <c r="F425" s="11"/>
      <c r="G425" t="str">
        <f>IFERROR(VLOOKUP(F425,'Products Index'!$A:$B,2,FALSE),"")</f>
        <v/>
      </c>
      <c r="H425" s="11"/>
      <c r="I425" s="12"/>
      <c r="J425" s="15"/>
      <c r="K425" s="16">
        <f t="shared" si="18"/>
        <v>0</v>
      </c>
      <c r="L425" s="16">
        <f t="shared" si="19"/>
        <v>0</v>
      </c>
      <c r="M425" s="16">
        <f>IFERROR(AVERAGEIF('Production Batches'!$C:$C,F425,'Production Batches'!$L:$L),0)</f>
        <v>0</v>
      </c>
      <c r="N425" s="16">
        <f t="shared" si="20"/>
        <v>0</v>
      </c>
      <c r="P425" s="11"/>
      <c r="Q425" s="30"/>
    </row>
    <row r="426" spans="2:17">
      <c r="B426" s="30"/>
      <c r="C426" s="11"/>
      <c r="D426" s="11"/>
      <c r="E426" t="str">
        <f>IFERROR(VLOOKUP(D426,Customers!$A:$B,2,FALSE),"")</f>
        <v/>
      </c>
      <c r="F426" s="11"/>
      <c r="G426" t="str">
        <f>IFERROR(VLOOKUP(F426,'Products Index'!$A:$B,2,FALSE),"")</f>
        <v/>
      </c>
      <c r="H426" s="11"/>
      <c r="I426" s="12"/>
      <c r="J426" s="15"/>
      <c r="K426" s="16">
        <f t="shared" si="18"/>
        <v>0</v>
      </c>
      <c r="L426" s="16">
        <f t="shared" si="19"/>
        <v>0</v>
      </c>
      <c r="M426" s="16">
        <f>IFERROR(AVERAGEIF('Production Batches'!$C:$C,F426,'Production Batches'!$L:$L),0)</f>
        <v>0</v>
      </c>
      <c r="N426" s="16">
        <f t="shared" si="20"/>
        <v>0</v>
      </c>
      <c r="P426" s="11"/>
      <c r="Q426" s="30"/>
    </row>
    <row r="427" spans="2:17">
      <c r="B427" s="30"/>
      <c r="C427" s="11"/>
      <c r="D427" s="11"/>
      <c r="E427" t="str">
        <f>IFERROR(VLOOKUP(D427,Customers!$A:$B,2,FALSE),"")</f>
        <v/>
      </c>
      <c r="F427" s="11"/>
      <c r="G427" t="str">
        <f>IFERROR(VLOOKUP(F427,'Products Index'!$A:$B,2,FALSE),"")</f>
        <v/>
      </c>
      <c r="H427" s="11"/>
      <c r="I427" s="12"/>
      <c r="J427" s="15"/>
      <c r="K427" s="16">
        <f t="shared" si="18"/>
        <v>0</v>
      </c>
      <c r="L427" s="16">
        <f t="shared" si="19"/>
        <v>0</v>
      </c>
      <c r="M427" s="16">
        <f>IFERROR(AVERAGEIF('Production Batches'!$C:$C,F427,'Production Batches'!$L:$L),0)</f>
        <v>0</v>
      </c>
      <c r="N427" s="16">
        <f t="shared" si="20"/>
        <v>0</v>
      </c>
      <c r="P427" s="11"/>
      <c r="Q427" s="30"/>
    </row>
    <row r="428" spans="2:17">
      <c r="B428" s="30"/>
      <c r="C428" s="11"/>
      <c r="D428" s="11"/>
      <c r="E428" t="str">
        <f>IFERROR(VLOOKUP(D428,Customers!$A:$B,2,FALSE),"")</f>
        <v/>
      </c>
      <c r="F428" s="11"/>
      <c r="G428" t="str">
        <f>IFERROR(VLOOKUP(F428,'Products Index'!$A:$B,2,FALSE),"")</f>
        <v/>
      </c>
      <c r="H428" s="11"/>
      <c r="I428" s="12"/>
      <c r="J428" s="15"/>
      <c r="K428" s="16">
        <f t="shared" si="18"/>
        <v>0</v>
      </c>
      <c r="L428" s="16">
        <f t="shared" si="19"/>
        <v>0</v>
      </c>
      <c r="M428" s="16">
        <f>IFERROR(AVERAGEIF('Production Batches'!$C:$C,F428,'Production Batches'!$L:$L),0)</f>
        <v>0</v>
      </c>
      <c r="N428" s="16">
        <f t="shared" si="20"/>
        <v>0</v>
      </c>
      <c r="P428" s="11"/>
      <c r="Q428" s="30"/>
    </row>
    <row r="429" spans="2:17">
      <c r="B429" s="30"/>
      <c r="C429" s="11"/>
      <c r="D429" s="11"/>
      <c r="E429" t="str">
        <f>IFERROR(VLOOKUP(D429,Customers!$A:$B,2,FALSE),"")</f>
        <v/>
      </c>
      <c r="F429" s="11"/>
      <c r="G429" t="str">
        <f>IFERROR(VLOOKUP(F429,'Products Index'!$A:$B,2,FALSE),"")</f>
        <v/>
      </c>
      <c r="H429" s="11"/>
      <c r="I429" s="12"/>
      <c r="J429" s="15"/>
      <c r="K429" s="16">
        <f t="shared" si="18"/>
        <v>0</v>
      </c>
      <c r="L429" s="16">
        <f t="shared" si="19"/>
        <v>0</v>
      </c>
      <c r="M429" s="16">
        <f>IFERROR(AVERAGEIF('Production Batches'!$C:$C,F429,'Production Batches'!$L:$L),0)</f>
        <v>0</v>
      </c>
      <c r="N429" s="16">
        <f t="shared" si="20"/>
        <v>0</v>
      </c>
      <c r="P429" s="11"/>
      <c r="Q429" s="30"/>
    </row>
    <row r="430" spans="2:17">
      <c r="B430" s="30"/>
      <c r="C430" s="11"/>
      <c r="D430" s="11"/>
      <c r="E430" t="str">
        <f>IFERROR(VLOOKUP(D430,Customers!$A:$B,2,FALSE),"")</f>
        <v/>
      </c>
      <c r="F430" s="11"/>
      <c r="G430" t="str">
        <f>IFERROR(VLOOKUP(F430,'Products Index'!$A:$B,2,FALSE),"")</f>
        <v/>
      </c>
      <c r="H430" s="11"/>
      <c r="I430" s="12"/>
      <c r="J430" s="15"/>
      <c r="K430" s="16">
        <f t="shared" si="18"/>
        <v>0</v>
      </c>
      <c r="L430" s="16">
        <f t="shared" si="19"/>
        <v>0</v>
      </c>
      <c r="M430" s="16">
        <f>IFERROR(AVERAGEIF('Production Batches'!$C:$C,F430,'Production Batches'!$L:$L),0)</f>
        <v>0</v>
      </c>
      <c r="N430" s="16">
        <f t="shared" si="20"/>
        <v>0</v>
      </c>
      <c r="P430" s="11"/>
      <c r="Q430" s="30"/>
    </row>
    <row r="431" spans="2:17">
      <c r="B431" s="30"/>
      <c r="C431" s="11"/>
      <c r="D431" s="11"/>
      <c r="E431" t="str">
        <f>IFERROR(VLOOKUP(D431,Customers!$A:$B,2,FALSE),"")</f>
        <v/>
      </c>
      <c r="F431" s="11"/>
      <c r="G431" t="str">
        <f>IFERROR(VLOOKUP(F431,'Products Index'!$A:$B,2,FALSE),"")</f>
        <v/>
      </c>
      <c r="H431" s="11"/>
      <c r="I431" s="12"/>
      <c r="J431" s="15"/>
      <c r="K431" s="16">
        <f t="shared" si="18"/>
        <v>0</v>
      </c>
      <c r="L431" s="16">
        <f t="shared" si="19"/>
        <v>0</v>
      </c>
      <c r="M431" s="16">
        <f>IFERROR(AVERAGEIF('Production Batches'!$C:$C,F431,'Production Batches'!$L:$L),0)</f>
        <v>0</v>
      </c>
      <c r="N431" s="16">
        <f t="shared" si="20"/>
        <v>0</v>
      </c>
      <c r="P431" s="11"/>
      <c r="Q431" s="30"/>
    </row>
    <row r="432" spans="2:17">
      <c r="B432" s="30"/>
      <c r="C432" s="11"/>
      <c r="D432" s="11"/>
      <c r="E432" t="str">
        <f>IFERROR(VLOOKUP(D432,Customers!$A:$B,2,FALSE),"")</f>
        <v/>
      </c>
      <c r="F432" s="11"/>
      <c r="G432" t="str">
        <f>IFERROR(VLOOKUP(F432,'Products Index'!$A:$B,2,FALSE),"")</f>
        <v/>
      </c>
      <c r="H432" s="11"/>
      <c r="I432" s="12"/>
      <c r="J432" s="15"/>
      <c r="K432" s="16">
        <f t="shared" si="18"/>
        <v>0</v>
      </c>
      <c r="L432" s="16">
        <f t="shared" si="19"/>
        <v>0</v>
      </c>
      <c r="M432" s="16">
        <f>IFERROR(AVERAGEIF('Production Batches'!$C:$C,F432,'Production Batches'!$L:$L),0)</f>
        <v>0</v>
      </c>
      <c r="N432" s="16">
        <f t="shared" si="20"/>
        <v>0</v>
      </c>
      <c r="P432" s="11"/>
      <c r="Q432" s="30"/>
    </row>
    <row r="433" spans="2:17">
      <c r="B433" s="30"/>
      <c r="C433" s="11"/>
      <c r="D433" s="11"/>
      <c r="E433" t="str">
        <f>IFERROR(VLOOKUP(D433,Customers!$A:$B,2,FALSE),"")</f>
        <v/>
      </c>
      <c r="F433" s="11"/>
      <c r="G433" t="str">
        <f>IFERROR(VLOOKUP(F433,'Products Index'!$A:$B,2,FALSE),"")</f>
        <v/>
      </c>
      <c r="H433" s="11"/>
      <c r="I433" s="12"/>
      <c r="J433" s="15"/>
      <c r="K433" s="16">
        <f t="shared" si="18"/>
        <v>0</v>
      </c>
      <c r="L433" s="16">
        <f t="shared" si="19"/>
        <v>0</v>
      </c>
      <c r="M433" s="16">
        <f>IFERROR(AVERAGEIF('Production Batches'!$C:$C,F433,'Production Batches'!$L:$L),0)</f>
        <v>0</v>
      </c>
      <c r="N433" s="16">
        <f t="shared" si="20"/>
        <v>0</v>
      </c>
      <c r="P433" s="11"/>
      <c r="Q433" s="30"/>
    </row>
    <row r="434" spans="2:17">
      <c r="B434" s="30"/>
      <c r="C434" s="11"/>
      <c r="D434" s="11"/>
      <c r="E434" t="str">
        <f>IFERROR(VLOOKUP(D434,Customers!$A:$B,2,FALSE),"")</f>
        <v/>
      </c>
      <c r="F434" s="11"/>
      <c r="G434" t="str">
        <f>IFERROR(VLOOKUP(F434,'Products Index'!$A:$B,2,FALSE),"")</f>
        <v/>
      </c>
      <c r="H434" s="11"/>
      <c r="I434" s="12"/>
      <c r="J434" s="15"/>
      <c r="K434" s="16">
        <f t="shared" si="18"/>
        <v>0</v>
      </c>
      <c r="L434" s="16">
        <f t="shared" si="19"/>
        <v>0</v>
      </c>
      <c r="M434" s="16">
        <f>IFERROR(AVERAGEIF('Production Batches'!$C:$C,F434,'Production Batches'!$L:$L),0)</f>
        <v>0</v>
      </c>
      <c r="N434" s="16">
        <f t="shared" si="20"/>
        <v>0</v>
      </c>
      <c r="P434" s="11"/>
      <c r="Q434" s="30"/>
    </row>
    <row r="435" spans="2:17">
      <c r="B435" s="30"/>
      <c r="C435" s="11"/>
      <c r="D435" s="11"/>
      <c r="E435" t="str">
        <f>IFERROR(VLOOKUP(D435,Customers!$A:$B,2,FALSE),"")</f>
        <v/>
      </c>
      <c r="F435" s="11"/>
      <c r="G435" t="str">
        <f>IFERROR(VLOOKUP(F435,'Products Index'!$A:$B,2,FALSE),"")</f>
        <v/>
      </c>
      <c r="H435" s="11"/>
      <c r="I435" s="12"/>
      <c r="J435" s="15"/>
      <c r="K435" s="16">
        <f t="shared" si="18"/>
        <v>0</v>
      </c>
      <c r="L435" s="16">
        <f t="shared" si="19"/>
        <v>0</v>
      </c>
      <c r="M435" s="16">
        <f>IFERROR(AVERAGEIF('Production Batches'!$C:$C,F435,'Production Batches'!$L:$L),0)</f>
        <v>0</v>
      </c>
      <c r="N435" s="16">
        <f t="shared" si="20"/>
        <v>0</v>
      </c>
      <c r="P435" s="11"/>
      <c r="Q435" s="30"/>
    </row>
    <row r="436" spans="2:17">
      <c r="B436" s="30"/>
      <c r="C436" s="11"/>
      <c r="D436" s="11"/>
      <c r="E436" t="str">
        <f>IFERROR(VLOOKUP(D436,Customers!$A:$B,2,FALSE),"")</f>
        <v/>
      </c>
      <c r="F436" s="11"/>
      <c r="G436" t="str">
        <f>IFERROR(VLOOKUP(F436,'Products Index'!$A:$B,2,FALSE),"")</f>
        <v/>
      </c>
      <c r="H436" s="11"/>
      <c r="I436" s="12"/>
      <c r="J436" s="15"/>
      <c r="K436" s="16">
        <f t="shared" si="18"/>
        <v>0</v>
      </c>
      <c r="L436" s="16">
        <f t="shared" si="19"/>
        <v>0</v>
      </c>
      <c r="M436" s="16">
        <f>IFERROR(AVERAGEIF('Production Batches'!$C:$C,F436,'Production Batches'!$L:$L),0)</f>
        <v>0</v>
      </c>
      <c r="N436" s="16">
        <f t="shared" si="20"/>
        <v>0</v>
      </c>
      <c r="P436" s="11"/>
      <c r="Q436" s="30"/>
    </row>
    <row r="437" spans="2:17">
      <c r="B437" s="30"/>
      <c r="C437" s="11"/>
      <c r="D437" s="11"/>
      <c r="E437" t="str">
        <f>IFERROR(VLOOKUP(D437,Customers!$A:$B,2,FALSE),"")</f>
        <v/>
      </c>
      <c r="F437" s="11"/>
      <c r="G437" t="str">
        <f>IFERROR(VLOOKUP(F437,'Products Index'!$A:$B,2,FALSE),"")</f>
        <v/>
      </c>
      <c r="H437" s="11"/>
      <c r="I437" s="12"/>
      <c r="J437" s="15"/>
      <c r="K437" s="16">
        <f t="shared" si="18"/>
        <v>0</v>
      </c>
      <c r="L437" s="16">
        <f t="shared" si="19"/>
        <v>0</v>
      </c>
      <c r="M437" s="16">
        <f>IFERROR(AVERAGEIF('Production Batches'!$C:$C,F437,'Production Batches'!$L:$L),0)</f>
        <v>0</v>
      </c>
      <c r="N437" s="16">
        <f t="shared" si="20"/>
        <v>0</v>
      </c>
      <c r="P437" s="11"/>
      <c r="Q437" s="30"/>
    </row>
    <row r="438" spans="2:17">
      <c r="B438" s="30"/>
      <c r="C438" s="11"/>
      <c r="D438" s="11"/>
      <c r="E438" t="str">
        <f>IFERROR(VLOOKUP(D438,Customers!$A:$B,2,FALSE),"")</f>
        <v/>
      </c>
      <c r="F438" s="11"/>
      <c r="G438" t="str">
        <f>IFERROR(VLOOKUP(F438,'Products Index'!$A:$B,2,FALSE),"")</f>
        <v/>
      </c>
      <c r="H438" s="11"/>
      <c r="I438" s="12"/>
      <c r="J438" s="15"/>
      <c r="K438" s="16">
        <f t="shared" si="18"/>
        <v>0</v>
      </c>
      <c r="L438" s="16">
        <f t="shared" si="19"/>
        <v>0</v>
      </c>
      <c r="M438" s="16">
        <f>IFERROR(AVERAGEIF('Production Batches'!$C:$C,F438,'Production Batches'!$L:$L),0)</f>
        <v>0</v>
      </c>
      <c r="N438" s="16">
        <f t="shared" si="20"/>
        <v>0</v>
      </c>
      <c r="P438" s="11"/>
      <c r="Q438" s="30"/>
    </row>
    <row r="439" spans="2:17">
      <c r="B439" s="30"/>
      <c r="C439" s="11"/>
      <c r="D439" s="11"/>
      <c r="E439" t="str">
        <f>IFERROR(VLOOKUP(D439,Customers!$A:$B,2,FALSE),"")</f>
        <v/>
      </c>
      <c r="F439" s="11"/>
      <c r="G439" t="str">
        <f>IFERROR(VLOOKUP(F439,'Products Index'!$A:$B,2,FALSE),"")</f>
        <v/>
      </c>
      <c r="H439" s="11"/>
      <c r="I439" s="12"/>
      <c r="J439" s="15"/>
      <c r="K439" s="16">
        <f t="shared" si="18"/>
        <v>0</v>
      </c>
      <c r="L439" s="16">
        <f t="shared" si="19"/>
        <v>0</v>
      </c>
      <c r="M439" s="16">
        <f>IFERROR(AVERAGEIF('Production Batches'!$C:$C,F439,'Production Batches'!$L:$L),0)</f>
        <v>0</v>
      </c>
      <c r="N439" s="16">
        <f t="shared" si="20"/>
        <v>0</v>
      </c>
      <c r="P439" s="11"/>
      <c r="Q439" s="30"/>
    </row>
    <row r="440" spans="2:17">
      <c r="B440" s="30"/>
      <c r="C440" s="11"/>
      <c r="D440" s="11"/>
      <c r="E440" t="str">
        <f>IFERROR(VLOOKUP(D440,Customers!$A:$B,2,FALSE),"")</f>
        <v/>
      </c>
      <c r="F440" s="11"/>
      <c r="G440" t="str">
        <f>IFERROR(VLOOKUP(F440,'Products Index'!$A:$B,2,FALSE),"")</f>
        <v/>
      </c>
      <c r="H440" s="11"/>
      <c r="I440" s="12"/>
      <c r="J440" s="15"/>
      <c r="K440" s="16">
        <f t="shared" si="18"/>
        <v>0</v>
      </c>
      <c r="L440" s="16">
        <f t="shared" si="19"/>
        <v>0</v>
      </c>
      <c r="M440" s="16">
        <f>IFERROR(AVERAGEIF('Production Batches'!$C:$C,F440,'Production Batches'!$L:$L),0)</f>
        <v>0</v>
      </c>
      <c r="N440" s="16">
        <f t="shared" si="20"/>
        <v>0</v>
      </c>
      <c r="P440" s="11"/>
      <c r="Q440" s="30"/>
    </row>
    <row r="441" spans="2:17">
      <c r="B441" s="30"/>
      <c r="C441" s="11"/>
      <c r="D441" s="11"/>
      <c r="E441" t="str">
        <f>IFERROR(VLOOKUP(D441,Customers!$A:$B,2,FALSE),"")</f>
        <v/>
      </c>
      <c r="F441" s="11"/>
      <c r="G441" t="str">
        <f>IFERROR(VLOOKUP(F441,'Products Index'!$A:$B,2,FALSE),"")</f>
        <v/>
      </c>
      <c r="H441" s="11"/>
      <c r="I441" s="12"/>
      <c r="J441" s="15"/>
      <c r="K441" s="16">
        <f t="shared" si="18"/>
        <v>0</v>
      </c>
      <c r="L441" s="16">
        <f t="shared" si="19"/>
        <v>0</v>
      </c>
      <c r="M441" s="16">
        <f>IFERROR(AVERAGEIF('Production Batches'!$C:$C,F441,'Production Batches'!$L:$L),0)</f>
        <v>0</v>
      </c>
      <c r="N441" s="16">
        <f t="shared" si="20"/>
        <v>0</v>
      </c>
      <c r="P441" s="11"/>
      <c r="Q441" s="30"/>
    </row>
    <row r="442" spans="2:17">
      <c r="B442" s="30"/>
      <c r="C442" s="11"/>
      <c r="D442" s="11"/>
      <c r="E442" t="str">
        <f>IFERROR(VLOOKUP(D442,Customers!$A:$B,2,FALSE),"")</f>
        <v/>
      </c>
      <c r="F442" s="11"/>
      <c r="G442" t="str">
        <f>IFERROR(VLOOKUP(F442,'Products Index'!$A:$B,2,FALSE),"")</f>
        <v/>
      </c>
      <c r="H442" s="11"/>
      <c r="I442" s="12"/>
      <c r="J442" s="15"/>
      <c r="K442" s="16">
        <f t="shared" si="18"/>
        <v>0</v>
      </c>
      <c r="L442" s="16">
        <f t="shared" si="19"/>
        <v>0</v>
      </c>
      <c r="M442" s="16">
        <f>IFERROR(AVERAGEIF('Production Batches'!$C:$C,F442,'Production Batches'!$L:$L),0)</f>
        <v>0</v>
      </c>
      <c r="N442" s="16">
        <f t="shared" si="20"/>
        <v>0</v>
      </c>
      <c r="P442" s="11"/>
      <c r="Q442" s="30"/>
    </row>
    <row r="443" spans="2:17">
      <c r="B443" s="30"/>
      <c r="C443" s="11"/>
      <c r="D443" s="11"/>
      <c r="E443" t="str">
        <f>IFERROR(VLOOKUP(D443,Customers!$A:$B,2,FALSE),"")</f>
        <v/>
      </c>
      <c r="F443" s="11"/>
      <c r="G443" t="str">
        <f>IFERROR(VLOOKUP(F443,'Products Index'!$A:$B,2,FALSE),"")</f>
        <v/>
      </c>
      <c r="H443" s="11"/>
      <c r="I443" s="12"/>
      <c r="J443" s="15"/>
      <c r="K443" s="16">
        <f t="shared" si="18"/>
        <v>0</v>
      </c>
      <c r="L443" s="16">
        <f t="shared" si="19"/>
        <v>0</v>
      </c>
      <c r="M443" s="16">
        <f>IFERROR(AVERAGEIF('Production Batches'!$C:$C,F443,'Production Batches'!$L:$L),0)</f>
        <v>0</v>
      </c>
      <c r="N443" s="16">
        <f t="shared" si="20"/>
        <v>0</v>
      </c>
      <c r="P443" s="11"/>
      <c r="Q443" s="30"/>
    </row>
    <row r="444" spans="2:17">
      <c r="B444" s="30"/>
      <c r="C444" s="11"/>
      <c r="D444" s="11"/>
      <c r="E444" t="str">
        <f>IFERROR(VLOOKUP(D444,Customers!$A:$B,2,FALSE),"")</f>
        <v/>
      </c>
      <c r="F444" s="11"/>
      <c r="G444" t="str">
        <f>IFERROR(VLOOKUP(F444,'Products Index'!$A:$B,2,FALSE),"")</f>
        <v/>
      </c>
      <c r="H444" s="11"/>
      <c r="I444" s="12"/>
      <c r="J444" s="15"/>
      <c r="K444" s="16">
        <f t="shared" si="18"/>
        <v>0</v>
      </c>
      <c r="L444" s="16">
        <f t="shared" si="19"/>
        <v>0</v>
      </c>
      <c r="M444" s="16">
        <f>IFERROR(AVERAGEIF('Production Batches'!$C:$C,F444,'Production Batches'!$L:$L),0)</f>
        <v>0</v>
      </c>
      <c r="N444" s="16">
        <f t="shared" si="20"/>
        <v>0</v>
      </c>
      <c r="P444" s="11"/>
      <c r="Q444" s="30"/>
    </row>
    <row r="445" spans="2:17">
      <c r="B445" s="30"/>
      <c r="C445" s="11"/>
      <c r="D445" s="11"/>
      <c r="E445" t="str">
        <f>IFERROR(VLOOKUP(D445,Customers!$A:$B,2,FALSE),"")</f>
        <v/>
      </c>
      <c r="F445" s="11"/>
      <c r="G445" t="str">
        <f>IFERROR(VLOOKUP(F445,'Products Index'!$A:$B,2,FALSE),"")</f>
        <v/>
      </c>
      <c r="H445" s="11"/>
      <c r="I445" s="12"/>
      <c r="J445" s="15"/>
      <c r="K445" s="16">
        <f t="shared" si="18"/>
        <v>0</v>
      </c>
      <c r="L445" s="16">
        <f t="shared" si="19"/>
        <v>0</v>
      </c>
      <c r="M445" s="16">
        <f>IFERROR(AVERAGEIF('Production Batches'!$C:$C,F445,'Production Batches'!$L:$L),0)</f>
        <v>0</v>
      </c>
      <c r="N445" s="16">
        <f t="shared" si="20"/>
        <v>0</v>
      </c>
      <c r="P445" s="11"/>
      <c r="Q445" s="30"/>
    </row>
    <row r="446" spans="2:17">
      <c r="B446" s="30"/>
      <c r="C446" s="11"/>
      <c r="D446" s="11"/>
      <c r="E446" t="str">
        <f>IFERROR(VLOOKUP(D446,Customers!$A:$B,2,FALSE),"")</f>
        <v/>
      </c>
      <c r="F446" s="11"/>
      <c r="G446" t="str">
        <f>IFERROR(VLOOKUP(F446,'Products Index'!$A:$B,2,FALSE),"")</f>
        <v/>
      </c>
      <c r="H446" s="11"/>
      <c r="I446" s="12"/>
      <c r="J446" s="15"/>
      <c r="K446" s="16">
        <f t="shared" si="18"/>
        <v>0</v>
      </c>
      <c r="L446" s="16">
        <f t="shared" si="19"/>
        <v>0</v>
      </c>
      <c r="M446" s="16">
        <f>IFERROR(AVERAGEIF('Production Batches'!$C:$C,F446,'Production Batches'!$L:$L),0)</f>
        <v>0</v>
      </c>
      <c r="N446" s="16">
        <f t="shared" si="20"/>
        <v>0</v>
      </c>
      <c r="P446" s="11"/>
      <c r="Q446" s="30"/>
    </row>
    <row r="447" spans="2:17">
      <c r="B447" s="30"/>
      <c r="C447" s="11"/>
      <c r="D447" s="11"/>
      <c r="E447" t="str">
        <f>IFERROR(VLOOKUP(D447,Customers!$A:$B,2,FALSE),"")</f>
        <v/>
      </c>
      <c r="F447" s="11"/>
      <c r="G447" t="str">
        <f>IFERROR(VLOOKUP(F447,'Products Index'!$A:$B,2,FALSE),"")</f>
        <v/>
      </c>
      <c r="H447" s="11"/>
      <c r="I447" s="12"/>
      <c r="J447" s="15"/>
      <c r="K447" s="16">
        <f t="shared" si="18"/>
        <v>0</v>
      </c>
      <c r="L447" s="16">
        <f t="shared" si="19"/>
        <v>0</v>
      </c>
      <c r="M447" s="16">
        <f>IFERROR(AVERAGEIF('Production Batches'!$C:$C,F447,'Production Batches'!$L:$L),0)</f>
        <v>0</v>
      </c>
      <c r="N447" s="16">
        <f t="shared" si="20"/>
        <v>0</v>
      </c>
      <c r="P447" s="11"/>
      <c r="Q447" s="30"/>
    </row>
    <row r="448" spans="2:17">
      <c r="B448" s="30"/>
      <c r="C448" s="11"/>
      <c r="D448" s="11"/>
      <c r="E448" t="str">
        <f>IFERROR(VLOOKUP(D448,Customers!$A:$B,2,FALSE),"")</f>
        <v/>
      </c>
      <c r="F448" s="11"/>
      <c r="G448" t="str">
        <f>IFERROR(VLOOKUP(F448,'Products Index'!$A:$B,2,FALSE),"")</f>
        <v/>
      </c>
      <c r="H448" s="11"/>
      <c r="I448" s="12"/>
      <c r="J448" s="15"/>
      <c r="K448" s="16">
        <f t="shared" si="18"/>
        <v>0</v>
      </c>
      <c r="L448" s="16">
        <f t="shared" si="19"/>
        <v>0</v>
      </c>
      <c r="M448" s="16">
        <f>IFERROR(AVERAGEIF('Production Batches'!$C:$C,F448,'Production Batches'!$L:$L),0)</f>
        <v>0</v>
      </c>
      <c r="N448" s="16">
        <f t="shared" si="20"/>
        <v>0</v>
      </c>
      <c r="P448" s="11"/>
      <c r="Q448" s="30"/>
    </row>
    <row r="449" spans="2:17">
      <c r="B449" s="30"/>
      <c r="C449" s="11"/>
      <c r="D449" s="11"/>
      <c r="E449" t="str">
        <f>IFERROR(VLOOKUP(D449,Customers!$A:$B,2,FALSE),"")</f>
        <v/>
      </c>
      <c r="F449" s="11"/>
      <c r="G449" t="str">
        <f>IFERROR(VLOOKUP(F449,'Products Index'!$A:$B,2,FALSE),"")</f>
        <v/>
      </c>
      <c r="H449" s="11"/>
      <c r="I449" s="12"/>
      <c r="J449" s="15"/>
      <c r="K449" s="16">
        <f t="shared" si="18"/>
        <v>0</v>
      </c>
      <c r="L449" s="16">
        <f t="shared" si="19"/>
        <v>0</v>
      </c>
      <c r="M449" s="16">
        <f>IFERROR(AVERAGEIF('Production Batches'!$C:$C,F449,'Production Batches'!$L:$L),0)</f>
        <v>0</v>
      </c>
      <c r="N449" s="16">
        <f t="shared" si="20"/>
        <v>0</v>
      </c>
      <c r="P449" s="11"/>
      <c r="Q449" s="30"/>
    </row>
    <row r="450" spans="2:17">
      <c r="B450" s="30"/>
      <c r="C450" s="11"/>
      <c r="D450" s="11"/>
      <c r="E450" t="str">
        <f>IFERROR(VLOOKUP(D450,Customers!$A:$B,2,FALSE),"")</f>
        <v/>
      </c>
      <c r="F450" s="11"/>
      <c r="G450" t="str">
        <f>IFERROR(VLOOKUP(F450,'Products Index'!$A:$B,2,FALSE),"")</f>
        <v/>
      </c>
      <c r="H450" s="11"/>
      <c r="I450" s="12"/>
      <c r="J450" s="15"/>
      <c r="K450" s="16">
        <f t="shared" ref="K450:K513" si="21">IFERROR(I450*(1-J450),0)</f>
        <v>0</v>
      </c>
      <c r="L450" s="16">
        <f t="shared" ref="L450:L513" si="22">IFERROR(K450*H450,0)</f>
        <v>0</v>
      </c>
      <c r="M450" s="16">
        <f>IFERROR(AVERAGEIF('Production Batches'!$C:$C,F450,'Production Batches'!$L:$L),0)</f>
        <v>0</v>
      </c>
      <c r="N450" s="16">
        <f t="shared" ref="N450:N513" si="23">IFERROR(L450-(M450*H450),0)</f>
        <v>0</v>
      </c>
      <c r="P450" s="11"/>
      <c r="Q450" s="30"/>
    </row>
    <row r="451" spans="2:17">
      <c r="B451" s="30"/>
      <c r="C451" s="11"/>
      <c r="D451" s="11"/>
      <c r="E451" t="str">
        <f>IFERROR(VLOOKUP(D451,Customers!$A:$B,2,FALSE),"")</f>
        <v/>
      </c>
      <c r="F451" s="11"/>
      <c r="G451" t="str">
        <f>IFERROR(VLOOKUP(F451,'Products Index'!$A:$B,2,FALSE),"")</f>
        <v/>
      </c>
      <c r="H451" s="11"/>
      <c r="I451" s="12"/>
      <c r="J451" s="15"/>
      <c r="K451" s="16">
        <f t="shared" si="21"/>
        <v>0</v>
      </c>
      <c r="L451" s="16">
        <f t="shared" si="22"/>
        <v>0</v>
      </c>
      <c r="M451" s="16">
        <f>IFERROR(AVERAGEIF('Production Batches'!$C:$C,F451,'Production Batches'!$L:$L),0)</f>
        <v>0</v>
      </c>
      <c r="N451" s="16">
        <f t="shared" si="23"/>
        <v>0</v>
      </c>
      <c r="P451" s="11"/>
      <c r="Q451" s="30"/>
    </row>
    <row r="452" spans="2:17">
      <c r="B452" s="30"/>
      <c r="C452" s="11"/>
      <c r="D452" s="11"/>
      <c r="E452" t="str">
        <f>IFERROR(VLOOKUP(D452,Customers!$A:$B,2,FALSE),"")</f>
        <v/>
      </c>
      <c r="F452" s="11"/>
      <c r="G452" t="str">
        <f>IFERROR(VLOOKUP(F452,'Products Index'!$A:$B,2,FALSE),"")</f>
        <v/>
      </c>
      <c r="H452" s="11"/>
      <c r="I452" s="12"/>
      <c r="J452" s="15"/>
      <c r="K452" s="16">
        <f t="shared" si="21"/>
        <v>0</v>
      </c>
      <c r="L452" s="16">
        <f t="shared" si="22"/>
        <v>0</v>
      </c>
      <c r="M452" s="16">
        <f>IFERROR(AVERAGEIF('Production Batches'!$C:$C,F452,'Production Batches'!$L:$L),0)</f>
        <v>0</v>
      </c>
      <c r="N452" s="16">
        <f t="shared" si="23"/>
        <v>0</v>
      </c>
      <c r="P452" s="11"/>
      <c r="Q452" s="30"/>
    </row>
    <row r="453" spans="2:17">
      <c r="B453" s="30"/>
      <c r="C453" s="11"/>
      <c r="D453" s="11"/>
      <c r="E453" t="str">
        <f>IFERROR(VLOOKUP(D453,Customers!$A:$B,2,FALSE),"")</f>
        <v/>
      </c>
      <c r="F453" s="11"/>
      <c r="G453" t="str">
        <f>IFERROR(VLOOKUP(F453,'Products Index'!$A:$B,2,FALSE),"")</f>
        <v/>
      </c>
      <c r="H453" s="11"/>
      <c r="I453" s="12"/>
      <c r="J453" s="15"/>
      <c r="K453" s="16">
        <f t="shared" si="21"/>
        <v>0</v>
      </c>
      <c r="L453" s="16">
        <f t="shared" si="22"/>
        <v>0</v>
      </c>
      <c r="M453" s="16">
        <f>IFERROR(AVERAGEIF('Production Batches'!$C:$C,F453,'Production Batches'!$L:$L),0)</f>
        <v>0</v>
      </c>
      <c r="N453" s="16">
        <f t="shared" si="23"/>
        <v>0</v>
      </c>
      <c r="P453" s="11"/>
      <c r="Q453" s="30"/>
    </row>
    <row r="454" spans="2:17">
      <c r="B454" s="30"/>
      <c r="C454" s="11"/>
      <c r="D454" s="11"/>
      <c r="E454" t="str">
        <f>IFERROR(VLOOKUP(D454,Customers!$A:$B,2,FALSE),"")</f>
        <v/>
      </c>
      <c r="F454" s="11"/>
      <c r="G454" t="str">
        <f>IFERROR(VLOOKUP(F454,'Products Index'!$A:$B,2,FALSE),"")</f>
        <v/>
      </c>
      <c r="H454" s="11"/>
      <c r="I454" s="12"/>
      <c r="J454" s="15"/>
      <c r="K454" s="16">
        <f t="shared" si="21"/>
        <v>0</v>
      </c>
      <c r="L454" s="16">
        <f t="shared" si="22"/>
        <v>0</v>
      </c>
      <c r="M454" s="16">
        <f>IFERROR(AVERAGEIF('Production Batches'!$C:$C,F454,'Production Batches'!$L:$L),0)</f>
        <v>0</v>
      </c>
      <c r="N454" s="16">
        <f t="shared" si="23"/>
        <v>0</v>
      </c>
      <c r="P454" s="11"/>
      <c r="Q454" s="30"/>
    </row>
    <row r="455" spans="2:17">
      <c r="B455" s="30"/>
      <c r="C455" s="11"/>
      <c r="D455" s="11"/>
      <c r="E455" t="str">
        <f>IFERROR(VLOOKUP(D455,Customers!$A:$B,2,FALSE),"")</f>
        <v/>
      </c>
      <c r="F455" s="11"/>
      <c r="G455" t="str">
        <f>IFERROR(VLOOKUP(F455,'Products Index'!$A:$B,2,FALSE),"")</f>
        <v/>
      </c>
      <c r="H455" s="11"/>
      <c r="I455" s="12"/>
      <c r="J455" s="15"/>
      <c r="K455" s="16">
        <f t="shared" si="21"/>
        <v>0</v>
      </c>
      <c r="L455" s="16">
        <f t="shared" si="22"/>
        <v>0</v>
      </c>
      <c r="M455" s="16">
        <f>IFERROR(AVERAGEIF('Production Batches'!$C:$C,F455,'Production Batches'!$L:$L),0)</f>
        <v>0</v>
      </c>
      <c r="N455" s="16">
        <f t="shared" si="23"/>
        <v>0</v>
      </c>
      <c r="P455" s="11"/>
      <c r="Q455" s="30"/>
    </row>
    <row r="456" spans="2:17">
      <c r="B456" s="30"/>
      <c r="C456" s="11"/>
      <c r="D456" s="11"/>
      <c r="E456" t="str">
        <f>IFERROR(VLOOKUP(D456,Customers!$A:$B,2,FALSE),"")</f>
        <v/>
      </c>
      <c r="F456" s="11"/>
      <c r="G456" t="str">
        <f>IFERROR(VLOOKUP(F456,'Products Index'!$A:$B,2,FALSE),"")</f>
        <v/>
      </c>
      <c r="H456" s="11"/>
      <c r="I456" s="12"/>
      <c r="J456" s="15"/>
      <c r="K456" s="16">
        <f t="shared" si="21"/>
        <v>0</v>
      </c>
      <c r="L456" s="16">
        <f t="shared" si="22"/>
        <v>0</v>
      </c>
      <c r="M456" s="16">
        <f>IFERROR(AVERAGEIF('Production Batches'!$C:$C,F456,'Production Batches'!$L:$L),0)</f>
        <v>0</v>
      </c>
      <c r="N456" s="16">
        <f t="shared" si="23"/>
        <v>0</v>
      </c>
      <c r="P456" s="11"/>
      <c r="Q456" s="30"/>
    </row>
    <row r="457" spans="2:17">
      <c r="B457" s="30"/>
      <c r="C457" s="11"/>
      <c r="D457" s="11"/>
      <c r="E457" t="str">
        <f>IFERROR(VLOOKUP(D457,Customers!$A:$B,2,FALSE),"")</f>
        <v/>
      </c>
      <c r="F457" s="11"/>
      <c r="G457" t="str">
        <f>IFERROR(VLOOKUP(F457,'Products Index'!$A:$B,2,FALSE),"")</f>
        <v/>
      </c>
      <c r="H457" s="11"/>
      <c r="I457" s="12"/>
      <c r="J457" s="15"/>
      <c r="K457" s="16">
        <f t="shared" si="21"/>
        <v>0</v>
      </c>
      <c r="L457" s="16">
        <f t="shared" si="22"/>
        <v>0</v>
      </c>
      <c r="M457" s="16">
        <f>IFERROR(AVERAGEIF('Production Batches'!$C:$C,F457,'Production Batches'!$L:$L),0)</f>
        <v>0</v>
      </c>
      <c r="N457" s="16">
        <f t="shared" si="23"/>
        <v>0</v>
      </c>
      <c r="P457" s="11"/>
      <c r="Q457" s="30"/>
    </row>
    <row r="458" spans="2:17">
      <c r="B458" s="30"/>
      <c r="C458" s="11"/>
      <c r="D458" s="11"/>
      <c r="E458" t="str">
        <f>IFERROR(VLOOKUP(D458,Customers!$A:$B,2,FALSE),"")</f>
        <v/>
      </c>
      <c r="F458" s="11"/>
      <c r="G458" t="str">
        <f>IFERROR(VLOOKUP(F458,'Products Index'!$A:$B,2,FALSE),"")</f>
        <v/>
      </c>
      <c r="H458" s="11"/>
      <c r="I458" s="12"/>
      <c r="J458" s="15"/>
      <c r="K458" s="16">
        <f t="shared" si="21"/>
        <v>0</v>
      </c>
      <c r="L458" s="16">
        <f t="shared" si="22"/>
        <v>0</v>
      </c>
      <c r="M458" s="16">
        <f>IFERROR(AVERAGEIF('Production Batches'!$C:$C,F458,'Production Batches'!$L:$L),0)</f>
        <v>0</v>
      </c>
      <c r="N458" s="16">
        <f t="shared" si="23"/>
        <v>0</v>
      </c>
      <c r="P458" s="11"/>
      <c r="Q458" s="30"/>
    </row>
    <row r="459" spans="2:17">
      <c r="B459" s="30"/>
      <c r="C459" s="11"/>
      <c r="D459" s="11"/>
      <c r="E459" t="str">
        <f>IFERROR(VLOOKUP(D459,Customers!$A:$B,2,FALSE),"")</f>
        <v/>
      </c>
      <c r="F459" s="11"/>
      <c r="G459" t="str">
        <f>IFERROR(VLOOKUP(F459,'Products Index'!$A:$B,2,FALSE),"")</f>
        <v/>
      </c>
      <c r="H459" s="11"/>
      <c r="I459" s="12"/>
      <c r="J459" s="15"/>
      <c r="K459" s="16">
        <f t="shared" si="21"/>
        <v>0</v>
      </c>
      <c r="L459" s="16">
        <f t="shared" si="22"/>
        <v>0</v>
      </c>
      <c r="M459" s="16">
        <f>IFERROR(AVERAGEIF('Production Batches'!$C:$C,F459,'Production Batches'!$L:$L),0)</f>
        <v>0</v>
      </c>
      <c r="N459" s="16">
        <f t="shared" si="23"/>
        <v>0</v>
      </c>
      <c r="P459" s="11"/>
      <c r="Q459" s="30"/>
    </row>
    <row r="460" spans="2:17">
      <c r="B460" s="30"/>
      <c r="C460" s="11"/>
      <c r="D460" s="11"/>
      <c r="E460" t="str">
        <f>IFERROR(VLOOKUP(D460,Customers!$A:$B,2,FALSE),"")</f>
        <v/>
      </c>
      <c r="F460" s="11"/>
      <c r="G460" t="str">
        <f>IFERROR(VLOOKUP(F460,'Products Index'!$A:$B,2,FALSE),"")</f>
        <v/>
      </c>
      <c r="H460" s="11"/>
      <c r="I460" s="12"/>
      <c r="J460" s="15"/>
      <c r="K460" s="16">
        <f t="shared" si="21"/>
        <v>0</v>
      </c>
      <c r="L460" s="16">
        <f t="shared" si="22"/>
        <v>0</v>
      </c>
      <c r="M460" s="16">
        <f>IFERROR(AVERAGEIF('Production Batches'!$C:$C,F460,'Production Batches'!$L:$L),0)</f>
        <v>0</v>
      </c>
      <c r="N460" s="16">
        <f t="shared" si="23"/>
        <v>0</v>
      </c>
      <c r="P460" s="11"/>
      <c r="Q460" s="30"/>
    </row>
    <row r="461" spans="2:17">
      <c r="B461" s="30"/>
      <c r="C461" s="11"/>
      <c r="D461" s="11"/>
      <c r="E461" t="str">
        <f>IFERROR(VLOOKUP(D461,Customers!$A:$B,2,FALSE),"")</f>
        <v/>
      </c>
      <c r="F461" s="11"/>
      <c r="G461" t="str">
        <f>IFERROR(VLOOKUP(F461,'Products Index'!$A:$B,2,FALSE),"")</f>
        <v/>
      </c>
      <c r="H461" s="11"/>
      <c r="I461" s="12"/>
      <c r="J461" s="15"/>
      <c r="K461" s="16">
        <f t="shared" si="21"/>
        <v>0</v>
      </c>
      <c r="L461" s="16">
        <f t="shared" si="22"/>
        <v>0</v>
      </c>
      <c r="M461" s="16">
        <f>IFERROR(AVERAGEIF('Production Batches'!$C:$C,F461,'Production Batches'!$L:$L),0)</f>
        <v>0</v>
      </c>
      <c r="N461" s="16">
        <f t="shared" si="23"/>
        <v>0</v>
      </c>
      <c r="P461" s="11"/>
      <c r="Q461" s="30"/>
    </row>
    <row r="462" spans="2:17">
      <c r="B462" s="30"/>
      <c r="C462" s="11"/>
      <c r="D462" s="11"/>
      <c r="E462" t="str">
        <f>IFERROR(VLOOKUP(D462,Customers!$A:$B,2,FALSE),"")</f>
        <v/>
      </c>
      <c r="F462" s="11"/>
      <c r="G462" t="str">
        <f>IFERROR(VLOOKUP(F462,'Products Index'!$A:$B,2,FALSE),"")</f>
        <v/>
      </c>
      <c r="H462" s="11"/>
      <c r="I462" s="12"/>
      <c r="J462" s="15"/>
      <c r="K462" s="16">
        <f t="shared" si="21"/>
        <v>0</v>
      </c>
      <c r="L462" s="16">
        <f t="shared" si="22"/>
        <v>0</v>
      </c>
      <c r="M462" s="16">
        <f>IFERROR(AVERAGEIF('Production Batches'!$C:$C,F462,'Production Batches'!$L:$L),0)</f>
        <v>0</v>
      </c>
      <c r="N462" s="16">
        <f t="shared" si="23"/>
        <v>0</v>
      </c>
      <c r="P462" s="11"/>
      <c r="Q462" s="30"/>
    </row>
    <row r="463" spans="2:17">
      <c r="B463" s="30"/>
      <c r="C463" s="11"/>
      <c r="D463" s="11"/>
      <c r="E463" t="str">
        <f>IFERROR(VLOOKUP(D463,Customers!$A:$B,2,FALSE),"")</f>
        <v/>
      </c>
      <c r="F463" s="11"/>
      <c r="G463" t="str">
        <f>IFERROR(VLOOKUP(F463,'Products Index'!$A:$B,2,FALSE),"")</f>
        <v/>
      </c>
      <c r="H463" s="11"/>
      <c r="I463" s="12"/>
      <c r="J463" s="15"/>
      <c r="K463" s="16">
        <f t="shared" si="21"/>
        <v>0</v>
      </c>
      <c r="L463" s="16">
        <f t="shared" si="22"/>
        <v>0</v>
      </c>
      <c r="M463" s="16">
        <f>IFERROR(AVERAGEIF('Production Batches'!$C:$C,F463,'Production Batches'!$L:$L),0)</f>
        <v>0</v>
      </c>
      <c r="N463" s="16">
        <f t="shared" si="23"/>
        <v>0</v>
      </c>
      <c r="P463" s="11"/>
      <c r="Q463" s="30"/>
    </row>
    <row r="464" spans="2:17">
      <c r="B464" s="30"/>
      <c r="C464" s="11"/>
      <c r="D464" s="11"/>
      <c r="E464" t="str">
        <f>IFERROR(VLOOKUP(D464,Customers!$A:$B,2,FALSE),"")</f>
        <v/>
      </c>
      <c r="F464" s="11"/>
      <c r="G464" t="str">
        <f>IFERROR(VLOOKUP(F464,'Products Index'!$A:$B,2,FALSE),"")</f>
        <v/>
      </c>
      <c r="H464" s="11"/>
      <c r="I464" s="12"/>
      <c r="J464" s="15"/>
      <c r="K464" s="16">
        <f t="shared" si="21"/>
        <v>0</v>
      </c>
      <c r="L464" s="16">
        <f t="shared" si="22"/>
        <v>0</v>
      </c>
      <c r="M464" s="16">
        <f>IFERROR(AVERAGEIF('Production Batches'!$C:$C,F464,'Production Batches'!$L:$L),0)</f>
        <v>0</v>
      </c>
      <c r="N464" s="16">
        <f t="shared" si="23"/>
        <v>0</v>
      </c>
      <c r="P464" s="11"/>
      <c r="Q464" s="30"/>
    </row>
    <row r="465" spans="2:17">
      <c r="B465" s="30"/>
      <c r="C465" s="11"/>
      <c r="D465" s="11"/>
      <c r="E465" t="str">
        <f>IFERROR(VLOOKUP(D465,Customers!$A:$B,2,FALSE),"")</f>
        <v/>
      </c>
      <c r="F465" s="11"/>
      <c r="G465" t="str">
        <f>IFERROR(VLOOKUP(F465,'Products Index'!$A:$B,2,FALSE),"")</f>
        <v/>
      </c>
      <c r="H465" s="11"/>
      <c r="I465" s="12"/>
      <c r="J465" s="15"/>
      <c r="K465" s="16">
        <f t="shared" si="21"/>
        <v>0</v>
      </c>
      <c r="L465" s="16">
        <f t="shared" si="22"/>
        <v>0</v>
      </c>
      <c r="M465" s="16">
        <f>IFERROR(AVERAGEIF('Production Batches'!$C:$C,F465,'Production Batches'!$L:$L),0)</f>
        <v>0</v>
      </c>
      <c r="N465" s="16">
        <f t="shared" si="23"/>
        <v>0</v>
      </c>
      <c r="P465" s="11"/>
      <c r="Q465" s="30"/>
    </row>
    <row r="466" spans="2:17">
      <c r="B466" s="30"/>
      <c r="C466" s="11"/>
      <c r="D466" s="11"/>
      <c r="E466" t="str">
        <f>IFERROR(VLOOKUP(D466,Customers!$A:$B,2,FALSE),"")</f>
        <v/>
      </c>
      <c r="F466" s="11"/>
      <c r="G466" t="str">
        <f>IFERROR(VLOOKUP(F466,'Products Index'!$A:$B,2,FALSE),"")</f>
        <v/>
      </c>
      <c r="H466" s="11"/>
      <c r="I466" s="12"/>
      <c r="J466" s="15"/>
      <c r="K466" s="16">
        <f t="shared" si="21"/>
        <v>0</v>
      </c>
      <c r="L466" s="16">
        <f t="shared" si="22"/>
        <v>0</v>
      </c>
      <c r="M466" s="16">
        <f>IFERROR(AVERAGEIF('Production Batches'!$C:$C,F466,'Production Batches'!$L:$L),0)</f>
        <v>0</v>
      </c>
      <c r="N466" s="16">
        <f t="shared" si="23"/>
        <v>0</v>
      </c>
      <c r="P466" s="11"/>
      <c r="Q466" s="30"/>
    </row>
    <row r="467" spans="2:17">
      <c r="B467" s="30"/>
      <c r="C467" s="11"/>
      <c r="D467" s="11"/>
      <c r="E467" t="str">
        <f>IFERROR(VLOOKUP(D467,Customers!$A:$B,2,FALSE),"")</f>
        <v/>
      </c>
      <c r="F467" s="11"/>
      <c r="G467" t="str">
        <f>IFERROR(VLOOKUP(F467,'Products Index'!$A:$B,2,FALSE),"")</f>
        <v/>
      </c>
      <c r="H467" s="11"/>
      <c r="I467" s="12"/>
      <c r="J467" s="15"/>
      <c r="K467" s="16">
        <f t="shared" si="21"/>
        <v>0</v>
      </c>
      <c r="L467" s="16">
        <f t="shared" si="22"/>
        <v>0</v>
      </c>
      <c r="M467" s="16">
        <f>IFERROR(AVERAGEIF('Production Batches'!$C:$C,F467,'Production Batches'!$L:$L),0)</f>
        <v>0</v>
      </c>
      <c r="N467" s="16">
        <f t="shared" si="23"/>
        <v>0</v>
      </c>
      <c r="P467" s="11"/>
      <c r="Q467" s="30"/>
    </row>
    <row r="468" spans="2:17">
      <c r="B468" s="30"/>
      <c r="C468" s="11"/>
      <c r="D468" s="11"/>
      <c r="E468" t="str">
        <f>IFERROR(VLOOKUP(D468,Customers!$A:$B,2,FALSE),"")</f>
        <v/>
      </c>
      <c r="F468" s="11"/>
      <c r="G468" t="str">
        <f>IFERROR(VLOOKUP(F468,'Products Index'!$A:$B,2,FALSE),"")</f>
        <v/>
      </c>
      <c r="H468" s="11"/>
      <c r="I468" s="12"/>
      <c r="J468" s="15"/>
      <c r="K468" s="16">
        <f t="shared" si="21"/>
        <v>0</v>
      </c>
      <c r="L468" s="16">
        <f t="shared" si="22"/>
        <v>0</v>
      </c>
      <c r="M468" s="16">
        <f>IFERROR(AVERAGEIF('Production Batches'!$C:$C,F468,'Production Batches'!$L:$L),0)</f>
        <v>0</v>
      </c>
      <c r="N468" s="16">
        <f t="shared" si="23"/>
        <v>0</v>
      </c>
      <c r="P468" s="11"/>
      <c r="Q468" s="30"/>
    </row>
    <row r="469" spans="2:17">
      <c r="B469" s="30"/>
      <c r="C469" s="11"/>
      <c r="D469" s="11"/>
      <c r="E469" t="str">
        <f>IFERROR(VLOOKUP(D469,Customers!$A:$B,2,FALSE),"")</f>
        <v/>
      </c>
      <c r="F469" s="11"/>
      <c r="G469" t="str">
        <f>IFERROR(VLOOKUP(F469,'Products Index'!$A:$B,2,FALSE),"")</f>
        <v/>
      </c>
      <c r="H469" s="11"/>
      <c r="I469" s="12"/>
      <c r="J469" s="15"/>
      <c r="K469" s="16">
        <f t="shared" si="21"/>
        <v>0</v>
      </c>
      <c r="L469" s="16">
        <f t="shared" si="22"/>
        <v>0</v>
      </c>
      <c r="M469" s="16">
        <f>IFERROR(AVERAGEIF('Production Batches'!$C:$C,F469,'Production Batches'!$L:$L),0)</f>
        <v>0</v>
      </c>
      <c r="N469" s="16">
        <f t="shared" si="23"/>
        <v>0</v>
      </c>
      <c r="P469" s="11"/>
      <c r="Q469" s="30"/>
    </row>
    <row r="470" spans="2:17">
      <c r="B470" s="30"/>
      <c r="C470" s="11"/>
      <c r="D470" s="11"/>
      <c r="E470" t="str">
        <f>IFERROR(VLOOKUP(D470,Customers!$A:$B,2,FALSE),"")</f>
        <v/>
      </c>
      <c r="F470" s="11"/>
      <c r="G470" t="str">
        <f>IFERROR(VLOOKUP(F470,'Products Index'!$A:$B,2,FALSE),"")</f>
        <v/>
      </c>
      <c r="H470" s="11"/>
      <c r="I470" s="12"/>
      <c r="J470" s="15"/>
      <c r="K470" s="16">
        <f t="shared" si="21"/>
        <v>0</v>
      </c>
      <c r="L470" s="16">
        <f t="shared" si="22"/>
        <v>0</v>
      </c>
      <c r="M470" s="16">
        <f>IFERROR(AVERAGEIF('Production Batches'!$C:$C,F470,'Production Batches'!$L:$L),0)</f>
        <v>0</v>
      </c>
      <c r="N470" s="16">
        <f t="shared" si="23"/>
        <v>0</v>
      </c>
      <c r="P470" s="11"/>
      <c r="Q470" s="30"/>
    </row>
    <row r="471" spans="2:17">
      <c r="B471" s="30"/>
      <c r="C471" s="11"/>
      <c r="D471" s="11"/>
      <c r="E471" t="str">
        <f>IFERROR(VLOOKUP(D471,Customers!$A:$B,2,FALSE),"")</f>
        <v/>
      </c>
      <c r="F471" s="11"/>
      <c r="G471" t="str">
        <f>IFERROR(VLOOKUP(F471,'Products Index'!$A:$B,2,FALSE),"")</f>
        <v/>
      </c>
      <c r="H471" s="11"/>
      <c r="I471" s="12"/>
      <c r="J471" s="15"/>
      <c r="K471" s="16">
        <f t="shared" si="21"/>
        <v>0</v>
      </c>
      <c r="L471" s="16">
        <f t="shared" si="22"/>
        <v>0</v>
      </c>
      <c r="M471" s="16">
        <f>IFERROR(AVERAGEIF('Production Batches'!$C:$C,F471,'Production Batches'!$L:$L),0)</f>
        <v>0</v>
      </c>
      <c r="N471" s="16">
        <f t="shared" si="23"/>
        <v>0</v>
      </c>
      <c r="P471" s="11"/>
      <c r="Q471" s="30"/>
    </row>
    <row r="472" spans="2:17">
      <c r="B472" s="30"/>
      <c r="C472" s="11"/>
      <c r="D472" s="11"/>
      <c r="E472" t="str">
        <f>IFERROR(VLOOKUP(D472,Customers!$A:$B,2,FALSE),"")</f>
        <v/>
      </c>
      <c r="F472" s="11"/>
      <c r="G472" t="str">
        <f>IFERROR(VLOOKUP(F472,'Products Index'!$A:$B,2,FALSE),"")</f>
        <v/>
      </c>
      <c r="H472" s="11"/>
      <c r="I472" s="12"/>
      <c r="J472" s="15"/>
      <c r="K472" s="16">
        <f t="shared" si="21"/>
        <v>0</v>
      </c>
      <c r="L472" s="16">
        <f t="shared" si="22"/>
        <v>0</v>
      </c>
      <c r="M472" s="16">
        <f>IFERROR(AVERAGEIF('Production Batches'!$C:$C,F472,'Production Batches'!$L:$L),0)</f>
        <v>0</v>
      </c>
      <c r="N472" s="16">
        <f t="shared" si="23"/>
        <v>0</v>
      </c>
      <c r="P472" s="11"/>
      <c r="Q472" s="30"/>
    </row>
    <row r="473" spans="2:17">
      <c r="B473" s="30"/>
      <c r="C473" s="11"/>
      <c r="D473" s="11"/>
      <c r="E473" t="str">
        <f>IFERROR(VLOOKUP(D473,Customers!$A:$B,2,FALSE),"")</f>
        <v/>
      </c>
      <c r="F473" s="11"/>
      <c r="G473" t="str">
        <f>IFERROR(VLOOKUP(F473,'Products Index'!$A:$B,2,FALSE),"")</f>
        <v/>
      </c>
      <c r="H473" s="11"/>
      <c r="I473" s="12"/>
      <c r="J473" s="15"/>
      <c r="K473" s="16">
        <f t="shared" si="21"/>
        <v>0</v>
      </c>
      <c r="L473" s="16">
        <f t="shared" si="22"/>
        <v>0</v>
      </c>
      <c r="M473" s="16">
        <f>IFERROR(AVERAGEIF('Production Batches'!$C:$C,F473,'Production Batches'!$L:$L),0)</f>
        <v>0</v>
      </c>
      <c r="N473" s="16">
        <f t="shared" si="23"/>
        <v>0</v>
      </c>
      <c r="P473" s="11"/>
      <c r="Q473" s="30"/>
    </row>
    <row r="474" spans="2:17">
      <c r="B474" s="30"/>
      <c r="C474" s="11"/>
      <c r="D474" s="11"/>
      <c r="E474" t="str">
        <f>IFERROR(VLOOKUP(D474,Customers!$A:$B,2,FALSE),"")</f>
        <v/>
      </c>
      <c r="F474" s="11"/>
      <c r="G474" t="str">
        <f>IFERROR(VLOOKUP(F474,'Products Index'!$A:$B,2,FALSE),"")</f>
        <v/>
      </c>
      <c r="H474" s="11"/>
      <c r="I474" s="12"/>
      <c r="J474" s="15"/>
      <c r="K474" s="16">
        <f t="shared" si="21"/>
        <v>0</v>
      </c>
      <c r="L474" s="16">
        <f t="shared" si="22"/>
        <v>0</v>
      </c>
      <c r="M474" s="16">
        <f>IFERROR(AVERAGEIF('Production Batches'!$C:$C,F474,'Production Batches'!$L:$L),0)</f>
        <v>0</v>
      </c>
      <c r="N474" s="16">
        <f t="shared" si="23"/>
        <v>0</v>
      </c>
      <c r="P474" s="11"/>
      <c r="Q474" s="30"/>
    </row>
    <row r="475" spans="2:17">
      <c r="B475" s="30"/>
      <c r="C475" s="11"/>
      <c r="D475" s="11"/>
      <c r="E475" t="str">
        <f>IFERROR(VLOOKUP(D475,Customers!$A:$B,2,FALSE),"")</f>
        <v/>
      </c>
      <c r="F475" s="11"/>
      <c r="G475" t="str">
        <f>IFERROR(VLOOKUP(F475,'Products Index'!$A:$B,2,FALSE),"")</f>
        <v/>
      </c>
      <c r="H475" s="11"/>
      <c r="I475" s="12"/>
      <c r="J475" s="15"/>
      <c r="K475" s="16">
        <f t="shared" si="21"/>
        <v>0</v>
      </c>
      <c r="L475" s="16">
        <f t="shared" si="22"/>
        <v>0</v>
      </c>
      <c r="M475" s="16">
        <f>IFERROR(AVERAGEIF('Production Batches'!$C:$C,F475,'Production Batches'!$L:$L),0)</f>
        <v>0</v>
      </c>
      <c r="N475" s="16">
        <f t="shared" si="23"/>
        <v>0</v>
      </c>
      <c r="P475" s="11"/>
      <c r="Q475" s="30"/>
    </row>
    <row r="476" spans="2:17">
      <c r="B476" s="30"/>
      <c r="C476" s="11"/>
      <c r="D476" s="11"/>
      <c r="E476" t="str">
        <f>IFERROR(VLOOKUP(D476,Customers!$A:$B,2,FALSE),"")</f>
        <v/>
      </c>
      <c r="F476" s="11"/>
      <c r="G476" t="str">
        <f>IFERROR(VLOOKUP(F476,'Products Index'!$A:$B,2,FALSE),"")</f>
        <v/>
      </c>
      <c r="H476" s="11"/>
      <c r="I476" s="12"/>
      <c r="J476" s="15"/>
      <c r="K476" s="16">
        <f t="shared" si="21"/>
        <v>0</v>
      </c>
      <c r="L476" s="16">
        <f t="shared" si="22"/>
        <v>0</v>
      </c>
      <c r="M476" s="16">
        <f>IFERROR(AVERAGEIF('Production Batches'!$C:$C,F476,'Production Batches'!$L:$L),0)</f>
        <v>0</v>
      </c>
      <c r="N476" s="16">
        <f t="shared" si="23"/>
        <v>0</v>
      </c>
      <c r="P476" s="11"/>
      <c r="Q476" s="30"/>
    </row>
    <row r="477" spans="2:17">
      <c r="B477" s="30"/>
      <c r="C477" s="11"/>
      <c r="D477" s="11"/>
      <c r="E477" t="str">
        <f>IFERROR(VLOOKUP(D477,Customers!$A:$B,2,FALSE),"")</f>
        <v/>
      </c>
      <c r="F477" s="11"/>
      <c r="G477" t="str">
        <f>IFERROR(VLOOKUP(F477,'Products Index'!$A:$B,2,FALSE),"")</f>
        <v/>
      </c>
      <c r="H477" s="11"/>
      <c r="I477" s="12"/>
      <c r="J477" s="15"/>
      <c r="K477" s="16">
        <f t="shared" si="21"/>
        <v>0</v>
      </c>
      <c r="L477" s="16">
        <f t="shared" si="22"/>
        <v>0</v>
      </c>
      <c r="M477" s="16">
        <f>IFERROR(AVERAGEIF('Production Batches'!$C:$C,F477,'Production Batches'!$L:$L),0)</f>
        <v>0</v>
      </c>
      <c r="N477" s="16">
        <f t="shared" si="23"/>
        <v>0</v>
      </c>
      <c r="P477" s="11"/>
      <c r="Q477" s="30"/>
    </row>
    <row r="478" spans="2:17">
      <c r="B478" s="30"/>
      <c r="C478" s="11"/>
      <c r="D478" s="11"/>
      <c r="E478" t="str">
        <f>IFERROR(VLOOKUP(D478,Customers!$A:$B,2,FALSE),"")</f>
        <v/>
      </c>
      <c r="F478" s="11"/>
      <c r="G478" t="str">
        <f>IFERROR(VLOOKUP(F478,'Products Index'!$A:$B,2,FALSE),"")</f>
        <v/>
      </c>
      <c r="H478" s="11"/>
      <c r="I478" s="12"/>
      <c r="J478" s="15"/>
      <c r="K478" s="16">
        <f t="shared" si="21"/>
        <v>0</v>
      </c>
      <c r="L478" s="16">
        <f t="shared" si="22"/>
        <v>0</v>
      </c>
      <c r="M478" s="16">
        <f>IFERROR(AVERAGEIF('Production Batches'!$C:$C,F478,'Production Batches'!$L:$L),0)</f>
        <v>0</v>
      </c>
      <c r="N478" s="16">
        <f t="shared" si="23"/>
        <v>0</v>
      </c>
      <c r="P478" s="11"/>
      <c r="Q478" s="30"/>
    </row>
    <row r="479" spans="2:17">
      <c r="B479" s="30"/>
      <c r="C479" s="11"/>
      <c r="D479" s="11"/>
      <c r="E479" t="str">
        <f>IFERROR(VLOOKUP(D479,Customers!$A:$B,2,FALSE),"")</f>
        <v/>
      </c>
      <c r="F479" s="11"/>
      <c r="G479" t="str">
        <f>IFERROR(VLOOKUP(F479,'Products Index'!$A:$B,2,FALSE),"")</f>
        <v/>
      </c>
      <c r="H479" s="11"/>
      <c r="I479" s="12"/>
      <c r="J479" s="15"/>
      <c r="K479" s="16">
        <f t="shared" si="21"/>
        <v>0</v>
      </c>
      <c r="L479" s="16">
        <f t="shared" si="22"/>
        <v>0</v>
      </c>
      <c r="M479" s="16">
        <f>IFERROR(AVERAGEIF('Production Batches'!$C:$C,F479,'Production Batches'!$L:$L),0)</f>
        <v>0</v>
      </c>
      <c r="N479" s="16">
        <f t="shared" si="23"/>
        <v>0</v>
      </c>
      <c r="P479" s="11"/>
      <c r="Q479" s="30"/>
    </row>
    <row r="480" spans="2:17">
      <c r="B480" s="30"/>
      <c r="C480" s="11"/>
      <c r="D480" s="11"/>
      <c r="E480" t="str">
        <f>IFERROR(VLOOKUP(D480,Customers!$A:$B,2,FALSE),"")</f>
        <v/>
      </c>
      <c r="F480" s="11"/>
      <c r="G480" t="str">
        <f>IFERROR(VLOOKUP(F480,'Products Index'!$A:$B,2,FALSE),"")</f>
        <v/>
      </c>
      <c r="H480" s="11"/>
      <c r="I480" s="12"/>
      <c r="J480" s="15"/>
      <c r="K480" s="16">
        <f t="shared" si="21"/>
        <v>0</v>
      </c>
      <c r="L480" s="16">
        <f t="shared" si="22"/>
        <v>0</v>
      </c>
      <c r="M480" s="16">
        <f>IFERROR(AVERAGEIF('Production Batches'!$C:$C,F480,'Production Batches'!$L:$L),0)</f>
        <v>0</v>
      </c>
      <c r="N480" s="16">
        <f t="shared" si="23"/>
        <v>0</v>
      </c>
      <c r="P480" s="11"/>
      <c r="Q480" s="30"/>
    </row>
    <row r="481" spans="2:17">
      <c r="B481" s="30"/>
      <c r="C481" s="11"/>
      <c r="D481" s="11"/>
      <c r="E481" t="str">
        <f>IFERROR(VLOOKUP(D481,Customers!$A:$B,2,FALSE),"")</f>
        <v/>
      </c>
      <c r="F481" s="11"/>
      <c r="G481" t="str">
        <f>IFERROR(VLOOKUP(F481,'Products Index'!$A:$B,2,FALSE),"")</f>
        <v/>
      </c>
      <c r="H481" s="11"/>
      <c r="I481" s="12"/>
      <c r="J481" s="15"/>
      <c r="K481" s="16">
        <f t="shared" si="21"/>
        <v>0</v>
      </c>
      <c r="L481" s="16">
        <f t="shared" si="22"/>
        <v>0</v>
      </c>
      <c r="M481" s="16">
        <f>IFERROR(AVERAGEIF('Production Batches'!$C:$C,F481,'Production Batches'!$L:$L),0)</f>
        <v>0</v>
      </c>
      <c r="N481" s="16">
        <f t="shared" si="23"/>
        <v>0</v>
      </c>
      <c r="P481" s="11"/>
      <c r="Q481" s="30"/>
    </row>
    <row r="482" spans="2:17">
      <c r="B482" s="30"/>
      <c r="C482" s="11"/>
      <c r="D482" s="11"/>
      <c r="E482" t="str">
        <f>IFERROR(VLOOKUP(D482,Customers!$A:$B,2,FALSE),"")</f>
        <v/>
      </c>
      <c r="F482" s="11"/>
      <c r="G482" t="str">
        <f>IFERROR(VLOOKUP(F482,'Products Index'!$A:$B,2,FALSE),"")</f>
        <v/>
      </c>
      <c r="H482" s="11"/>
      <c r="I482" s="12"/>
      <c r="J482" s="15"/>
      <c r="K482" s="16">
        <f t="shared" si="21"/>
        <v>0</v>
      </c>
      <c r="L482" s="16">
        <f t="shared" si="22"/>
        <v>0</v>
      </c>
      <c r="M482" s="16">
        <f>IFERROR(AVERAGEIF('Production Batches'!$C:$C,F482,'Production Batches'!$L:$L),0)</f>
        <v>0</v>
      </c>
      <c r="N482" s="16">
        <f t="shared" si="23"/>
        <v>0</v>
      </c>
      <c r="P482" s="11"/>
      <c r="Q482" s="30"/>
    </row>
    <row r="483" spans="2:17">
      <c r="B483" s="30"/>
      <c r="C483" s="11"/>
      <c r="D483" s="11"/>
      <c r="E483" t="str">
        <f>IFERROR(VLOOKUP(D483,Customers!$A:$B,2,FALSE),"")</f>
        <v/>
      </c>
      <c r="F483" s="11"/>
      <c r="G483" t="str">
        <f>IFERROR(VLOOKUP(F483,'Products Index'!$A:$B,2,FALSE),"")</f>
        <v/>
      </c>
      <c r="H483" s="11"/>
      <c r="I483" s="12"/>
      <c r="J483" s="15"/>
      <c r="K483" s="16">
        <f t="shared" si="21"/>
        <v>0</v>
      </c>
      <c r="L483" s="16">
        <f t="shared" si="22"/>
        <v>0</v>
      </c>
      <c r="M483" s="16">
        <f>IFERROR(AVERAGEIF('Production Batches'!$C:$C,F483,'Production Batches'!$L:$L),0)</f>
        <v>0</v>
      </c>
      <c r="N483" s="16">
        <f t="shared" si="23"/>
        <v>0</v>
      </c>
      <c r="P483" s="11"/>
      <c r="Q483" s="30"/>
    </row>
    <row r="484" spans="2:17">
      <c r="B484" s="30"/>
      <c r="C484" s="11"/>
      <c r="D484" s="11"/>
      <c r="E484" t="str">
        <f>IFERROR(VLOOKUP(D484,Customers!$A:$B,2,FALSE),"")</f>
        <v/>
      </c>
      <c r="F484" s="11"/>
      <c r="G484" t="str">
        <f>IFERROR(VLOOKUP(F484,'Products Index'!$A:$B,2,FALSE),"")</f>
        <v/>
      </c>
      <c r="H484" s="11"/>
      <c r="I484" s="12"/>
      <c r="J484" s="15"/>
      <c r="K484" s="16">
        <f t="shared" si="21"/>
        <v>0</v>
      </c>
      <c r="L484" s="16">
        <f t="shared" si="22"/>
        <v>0</v>
      </c>
      <c r="M484" s="16">
        <f>IFERROR(AVERAGEIF('Production Batches'!$C:$C,F484,'Production Batches'!$L:$L),0)</f>
        <v>0</v>
      </c>
      <c r="N484" s="16">
        <f t="shared" si="23"/>
        <v>0</v>
      </c>
      <c r="P484" s="11"/>
      <c r="Q484" s="30"/>
    </row>
    <row r="485" spans="2:17">
      <c r="B485" s="30"/>
      <c r="C485" s="11"/>
      <c r="D485" s="11"/>
      <c r="E485" t="str">
        <f>IFERROR(VLOOKUP(D485,Customers!$A:$B,2,FALSE),"")</f>
        <v/>
      </c>
      <c r="F485" s="11"/>
      <c r="G485" t="str">
        <f>IFERROR(VLOOKUP(F485,'Products Index'!$A:$B,2,FALSE),"")</f>
        <v/>
      </c>
      <c r="H485" s="11"/>
      <c r="I485" s="12"/>
      <c r="J485" s="15"/>
      <c r="K485" s="16">
        <f t="shared" si="21"/>
        <v>0</v>
      </c>
      <c r="L485" s="16">
        <f t="shared" si="22"/>
        <v>0</v>
      </c>
      <c r="M485" s="16">
        <f>IFERROR(AVERAGEIF('Production Batches'!$C:$C,F485,'Production Batches'!$L:$L),0)</f>
        <v>0</v>
      </c>
      <c r="N485" s="16">
        <f t="shared" si="23"/>
        <v>0</v>
      </c>
      <c r="P485" s="11"/>
      <c r="Q485" s="30"/>
    </row>
    <row r="486" spans="2:17">
      <c r="B486" s="30"/>
      <c r="C486" s="11"/>
      <c r="D486" s="11"/>
      <c r="E486" t="str">
        <f>IFERROR(VLOOKUP(D486,Customers!$A:$B,2,FALSE),"")</f>
        <v/>
      </c>
      <c r="F486" s="11"/>
      <c r="G486" t="str">
        <f>IFERROR(VLOOKUP(F486,'Products Index'!$A:$B,2,FALSE),"")</f>
        <v/>
      </c>
      <c r="H486" s="11"/>
      <c r="I486" s="12"/>
      <c r="J486" s="15"/>
      <c r="K486" s="16">
        <f t="shared" si="21"/>
        <v>0</v>
      </c>
      <c r="L486" s="16">
        <f t="shared" si="22"/>
        <v>0</v>
      </c>
      <c r="M486" s="16">
        <f>IFERROR(AVERAGEIF('Production Batches'!$C:$C,F486,'Production Batches'!$L:$L),0)</f>
        <v>0</v>
      </c>
      <c r="N486" s="16">
        <f t="shared" si="23"/>
        <v>0</v>
      </c>
      <c r="P486" s="11"/>
      <c r="Q486" s="30"/>
    </row>
    <row r="487" spans="2:17">
      <c r="B487" s="30"/>
      <c r="C487" s="11"/>
      <c r="D487" s="11"/>
      <c r="E487" t="str">
        <f>IFERROR(VLOOKUP(D487,Customers!$A:$B,2,FALSE),"")</f>
        <v/>
      </c>
      <c r="F487" s="11"/>
      <c r="G487" t="str">
        <f>IFERROR(VLOOKUP(F487,'Products Index'!$A:$B,2,FALSE),"")</f>
        <v/>
      </c>
      <c r="H487" s="11"/>
      <c r="I487" s="12"/>
      <c r="J487" s="15"/>
      <c r="K487" s="16">
        <f t="shared" si="21"/>
        <v>0</v>
      </c>
      <c r="L487" s="16">
        <f t="shared" si="22"/>
        <v>0</v>
      </c>
      <c r="M487" s="16">
        <f>IFERROR(AVERAGEIF('Production Batches'!$C:$C,F487,'Production Batches'!$L:$L),0)</f>
        <v>0</v>
      </c>
      <c r="N487" s="16">
        <f t="shared" si="23"/>
        <v>0</v>
      </c>
      <c r="P487" s="11"/>
      <c r="Q487" s="30"/>
    </row>
    <row r="488" spans="2:17">
      <c r="B488" s="30"/>
      <c r="C488" s="11"/>
      <c r="D488" s="11"/>
      <c r="E488" t="str">
        <f>IFERROR(VLOOKUP(D488,Customers!$A:$B,2,FALSE),"")</f>
        <v/>
      </c>
      <c r="F488" s="11"/>
      <c r="G488" t="str">
        <f>IFERROR(VLOOKUP(F488,'Products Index'!$A:$B,2,FALSE),"")</f>
        <v/>
      </c>
      <c r="H488" s="11"/>
      <c r="I488" s="12"/>
      <c r="J488" s="15"/>
      <c r="K488" s="16">
        <f t="shared" si="21"/>
        <v>0</v>
      </c>
      <c r="L488" s="16">
        <f t="shared" si="22"/>
        <v>0</v>
      </c>
      <c r="M488" s="16">
        <f>IFERROR(AVERAGEIF('Production Batches'!$C:$C,F488,'Production Batches'!$L:$L),0)</f>
        <v>0</v>
      </c>
      <c r="N488" s="16">
        <f t="shared" si="23"/>
        <v>0</v>
      </c>
      <c r="P488" s="11"/>
      <c r="Q488" s="30"/>
    </row>
    <row r="489" spans="2:17">
      <c r="B489" s="30"/>
      <c r="C489" s="11"/>
      <c r="D489" s="11"/>
      <c r="E489" t="str">
        <f>IFERROR(VLOOKUP(D489,Customers!$A:$B,2,FALSE),"")</f>
        <v/>
      </c>
      <c r="F489" s="11"/>
      <c r="G489" t="str">
        <f>IFERROR(VLOOKUP(F489,'Products Index'!$A:$B,2,FALSE),"")</f>
        <v/>
      </c>
      <c r="H489" s="11"/>
      <c r="I489" s="12"/>
      <c r="J489" s="15"/>
      <c r="K489" s="16">
        <f t="shared" si="21"/>
        <v>0</v>
      </c>
      <c r="L489" s="16">
        <f t="shared" si="22"/>
        <v>0</v>
      </c>
      <c r="M489" s="16">
        <f>IFERROR(AVERAGEIF('Production Batches'!$C:$C,F489,'Production Batches'!$L:$L),0)</f>
        <v>0</v>
      </c>
      <c r="N489" s="16">
        <f t="shared" si="23"/>
        <v>0</v>
      </c>
      <c r="P489" s="11"/>
      <c r="Q489" s="30"/>
    </row>
    <row r="490" spans="2:17">
      <c r="B490" s="30"/>
      <c r="C490" s="11"/>
      <c r="D490" s="11"/>
      <c r="E490" t="str">
        <f>IFERROR(VLOOKUP(D490,Customers!$A:$B,2,FALSE),"")</f>
        <v/>
      </c>
      <c r="F490" s="11"/>
      <c r="G490" t="str">
        <f>IFERROR(VLOOKUP(F490,'Products Index'!$A:$B,2,FALSE),"")</f>
        <v/>
      </c>
      <c r="H490" s="11"/>
      <c r="I490" s="12"/>
      <c r="J490" s="15"/>
      <c r="K490" s="16">
        <f t="shared" si="21"/>
        <v>0</v>
      </c>
      <c r="L490" s="16">
        <f t="shared" si="22"/>
        <v>0</v>
      </c>
      <c r="M490" s="16">
        <f>IFERROR(AVERAGEIF('Production Batches'!$C:$C,F490,'Production Batches'!$L:$L),0)</f>
        <v>0</v>
      </c>
      <c r="N490" s="16">
        <f t="shared" si="23"/>
        <v>0</v>
      </c>
      <c r="P490" s="11"/>
      <c r="Q490" s="30"/>
    </row>
    <row r="491" spans="2:17">
      <c r="B491" s="30"/>
      <c r="C491" s="11"/>
      <c r="D491" s="11"/>
      <c r="E491" t="str">
        <f>IFERROR(VLOOKUP(D491,Customers!$A:$B,2,FALSE),"")</f>
        <v/>
      </c>
      <c r="F491" s="11"/>
      <c r="G491" t="str">
        <f>IFERROR(VLOOKUP(F491,'Products Index'!$A:$B,2,FALSE),"")</f>
        <v/>
      </c>
      <c r="H491" s="11"/>
      <c r="I491" s="12"/>
      <c r="J491" s="15"/>
      <c r="K491" s="16">
        <f t="shared" si="21"/>
        <v>0</v>
      </c>
      <c r="L491" s="16">
        <f t="shared" si="22"/>
        <v>0</v>
      </c>
      <c r="M491" s="16">
        <f>IFERROR(AVERAGEIF('Production Batches'!$C:$C,F491,'Production Batches'!$L:$L),0)</f>
        <v>0</v>
      </c>
      <c r="N491" s="16">
        <f t="shared" si="23"/>
        <v>0</v>
      </c>
      <c r="P491" s="11"/>
      <c r="Q491" s="30"/>
    </row>
    <row r="492" spans="2:17">
      <c r="B492" s="30"/>
      <c r="C492" s="11"/>
      <c r="D492" s="11"/>
      <c r="E492" t="str">
        <f>IFERROR(VLOOKUP(D492,Customers!$A:$B,2,FALSE),"")</f>
        <v/>
      </c>
      <c r="F492" s="11"/>
      <c r="G492" t="str">
        <f>IFERROR(VLOOKUP(F492,'Products Index'!$A:$B,2,FALSE),"")</f>
        <v/>
      </c>
      <c r="H492" s="11"/>
      <c r="I492" s="12"/>
      <c r="J492" s="15"/>
      <c r="K492" s="16">
        <f t="shared" si="21"/>
        <v>0</v>
      </c>
      <c r="L492" s="16">
        <f t="shared" si="22"/>
        <v>0</v>
      </c>
      <c r="M492" s="16">
        <f>IFERROR(AVERAGEIF('Production Batches'!$C:$C,F492,'Production Batches'!$L:$L),0)</f>
        <v>0</v>
      </c>
      <c r="N492" s="16">
        <f t="shared" si="23"/>
        <v>0</v>
      </c>
      <c r="P492" s="11"/>
      <c r="Q492" s="30"/>
    </row>
    <row r="493" spans="2:17">
      <c r="B493" s="30"/>
      <c r="C493" s="11"/>
      <c r="D493" s="11"/>
      <c r="E493" t="str">
        <f>IFERROR(VLOOKUP(D493,Customers!$A:$B,2,FALSE),"")</f>
        <v/>
      </c>
      <c r="F493" s="11"/>
      <c r="G493" t="str">
        <f>IFERROR(VLOOKUP(F493,'Products Index'!$A:$B,2,FALSE),"")</f>
        <v/>
      </c>
      <c r="H493" s="11"/>
      <c r="I493" s="12"/>
      <c r="J493" s="15"/>
      <c r="K493" s="16">
        <f t="shared" si="21"/>
        <v>0</v>
      </c>
      <c r="L493" s="16">
        <f t="shared" si="22"/>
        <v>0</v>
      </c>
      <c r="M493" s="16">
        <f>IFERROR(AVERAGEIF('Production Batches'!$C:$C,F493,'Production Batches'!$L:$L),0)</f>
        <v>0</v>
      </c>
      <c r="N493" s="16">
        <f t="shared" si="23"/>
        <v>0</v>
      </c>
      <c r="P493" s="11"/>
      <c r="Q493" s="30"/>
    </row>
    <row r="494" spans="2:17">
      <c r="B494" s="30"/>
      <c r="C494" s="11"/>
      <c r="D494" s="11"/>
      <c r="E494" t="str">
        <f>IFERROR(VLOOKUP(D494,Customers!$A:$B,2,FALSE),"")</f>
        <v/>
      </c>
      <c r="F494" s="11"/>
      <c r="G494" t="str">
        <f>IFERROR(VLOOKUP(F494,'Products Index'!$A:$B,2,FALSE),"")</f>
        <v/>
      </c>
      <c r="H494" s="11"/>
      <c r="I494" s="12"/>
      <c r="J494" s="15"/>
      <c r="K494" s="16">
        <f t="shared" si="21"/>
        <v>0</v>
      </c>
      <c r="L494" s="16">
        <f t="shared" si="22"/>
        <v>0</v>
      </c>
      <c r="M494" s="16">
        <f>IFERROR(AVERAGEIF('Production Batches'!$C:$C,F494,'Production Batches'!$L:$L),0)</f>
        <v>0</v>
      </c>
      <c r="N494" s="16">
        <f t="shared" si="23"/>
        <v>0</v>
      </c>
      <c r="P494" s="11"/>
      <c r="Q494" s="30"/>
    </row>
    <row r="495" spans="2:17">
      <c r="B495" s="30"/>
      <c r="C495" s="11"/>
      <c r="D495" s="11"/>
      <c r="E495" t="str">
        <f>IFERROR(VLOOKUP(D495,Customers!$A:$B,2,FALSE),"")</f>
        <v/>
      </c>
      <c r="F495" s="11"/>
      <c r="G495" t="str">
        <f>IFERROR(VLOOKUP(F495,'Products Index'!$A:$B,2,FALSE),"")</f>
        <v/>
      </c>
      <c r="H495" s="11"/>
      <c r="I495" s="12"/>
      <c r="J495" s="15"/>
      <c r="K495" s="16">
        <f t="shared" si="21"/>
        <v>0</v>
      </c>
      <c r="L495" s="16">
        <f t="shared" si="22"/>
        <v>0</v>
      </c>
      <c r="M495" s="16">
        <f>IFERROR(AVERAGEIF('Production Batches'!$C:$C,F495,'Production Batches'!$L:$L),0)</f>
        <v>0</v>
      </c>
      <c r="N495" s="16">
        <f t="shared" si="23"/>
        <v>0</v>
      </c>
      <c r="P495" s="11"/>
      <c r="Q495" s="30"/>
    </row>
    <row r="496" spans="2:17">
      <c r="B496" s="30"/>
      <c r="C496" s="11"/>
      <c r="D496" s="11"/>
      <c r="E496" t="str">
        <f>IFERROR(VLOOKUP(D496,Customers!$A:$B,2,FALSE),"")</f>
        <v/>
      </c>
      <c r="F496" s="11"/>
      <c r="G496" t="str">
        <f>IFERROR(VLOOKUP(F496,'Products Index'!$A:$B,2,FALSE),"")</f>
        <v/>
      </c>
      <c r="H496" s="11"/>
      <c r="I496" s="12"/>
      <c r="J496" s="15"/>
      <c r="K496" s="16">
        <f t="shared" si="21"/>
        <v>0</v>
      </c>
      <c r="L496" s="16">
        <f t="shared" si="22"/>
        <v>0</v>
      </c>
      <c r="M496" s="16">
        <f>IFERROR(AVERAGEIF('Production Batches'!$C:$C,F496,'Production Batches'!$L:$L),0)</f>
        <v>0</v>
      </c>
      <c r="N496" s="16">
        <f t="shared" si="23"/>
        <v>0</v>
      </c>
      <c r="P496" s="11"/>
      <c r="Q496" s="30"/>
    </row>
    <row r="497" spans="2:17">
      <c r="B497" s="30"/>
      <c r="C497" s="11"/>
      <c r="D497" s="11"/>
      <c r="E497" t="str">
        <f>IFERROR(VLOOKUP(D497,Customers!$A:$B,2,FALSE),"")</f>
        <v/>
      </c>
      <c r="F497" s="11"/>
      <c r="G497" t="str">
        <f>IFERROR(VLOOKUP(F497,'Products Index'!$A:$B,2,FALSE),"")</f>
        <v/>
      </c>
      <c r="H497" s="11"/>
      <c r="I497" s="12"/>
      <c r="J497" s="15"/>
      <c r="K497" s="16">
        <f t="shared" si="21"/>
        <v>0</v>
      </c>
      <c r="L497" s="16">
        <f t="shared" si="22"/>
        <v>0</v>
      </c>
      <c r="M497" s="16">
        <f>IFERROR(AVERAGEIF('Production Batches'!$C:$C,F497,'Production Batches'!$L:$L),0)</f>
        <v>0</v>
      </c>
      <c r="N497" s="16">
        <f t="shared" si="23"/>
        <v>0</v>
      </c>
      <c r="P497" s="11"/>
      <c r="Q497" s="30"/>
    </row>
    <row r="498" spans="2:17">
      <c r="B498" s="30"/>
      <c r="C498" s="11"/>
      <c r="D498" s="11"/>
      <c r="E498" t="str">
        <f>IFERROR(VLOOKUP(D498,Customers!$A:$B,2,FALSE),"")</f>
        <v/>
      </c>
      <c r="F498" s="11"/>
      <c r="G498" t="str">
        <f>IFERROR(VLOOKUP(F498,'Products Index'!$A:$B,2,FALSE),"")</f>
        <v/>
      </c>
      <c r="H498" s="11"/>
      <c r="I498" s="12"/>
      <c r="J498" s="15"/>
      <c r="K498" s="16">
        <f t="shared" si="21"/>
        <v>0</v>
      </c>
      <c r="L498" s="16">
        <f t="shared" si="22"/>
        <v>0</v>
      </c>
      <c r="M498" s="16">
        <f>IFERROR(AVERAGEIF('Production Batches'!$C:$C,F498,'Production Batches'!$L:$L),0)</f>
        <v>0</v>
      </c>
      <c r="N498" s="16">
        <f t="shared" si="23"/>
        <v>0</v>
      </c>
      <c r="P498" s="11"/>
      <c r="Q498" s="30"/>
    </row>
    <row r="499" spans="2:17">
      <c r="B499" s="30"/>
      <c r="C499" s="11"/>
      <c r="D499" s="11"/>
      <c r="E499" t="str">
        <f>IFERROR(VLOOKUP(D499,Customers!$A:$B,2,FALSE),"")</f>
        <v/>
      </c>
      <c r="F499" s="11"/>
      <c r="G499" t="str">
        <f>IFERROR(VLOOKUP(F499,'Products Index'!$A:$B,2,FALSE),"")</f>
        <v/>
      </c>
      <c r="H499" s="11"/>
      <c r="I499" s="12"/>
      <c r="J499" s="15"/>
      <c r="K499" s="16">
        <f t="shared" si="21"/>
        <v>0</v>
      </c>
      <c r="L499" s="16">
        <f t="shared" si="22"/>
        <v>0</v>
      </c>
      <c r="M499" s="16">
        <f>IFERROR(AVERAGEIF('Production Batches'!$C:$C,F499,'Production Batches'!$L:$L),0)</f>
        <v>0</v>
      </c>
      <c r="N499" s="16">
        <f t="shared" si="23"/>
        <v>0</v>
      </c>
      <c r="P499" s="11"/>
      <c r="Q499" s="30"/>
    </row>
    <row r="500" spans="2:17">
      <c r="B500" s="30"/>
      <c r="C500" s="11"/>
      <c r="D500" s="11"/>
      <c r="E500" t="str">
        <f>IFERROR(VLOOKUP(D500,Customers!$A:$B,2,FALSE),"")</f>
        <v/>
      </c>
      <c r="F500" s="11"/>
      <c r="G500" t="str">
        <f>IFERROR(VLOOKUP(F500,'Products Index'!$A:$B,2,FALSE),"")</f>
        <v/>
      </c>
      <c r="H500" s="11"/>
      <c r="I500" s="12"/>
      <c r="J500" s="15"/>
      <c r="K500" s="16">
        <f t="shared" si="21"/>
        <v>0</v>
      </c>
      <c r="L500" s="16">
        <f t="shared" si="22"/>
        <v>0</v>
      </c>
      <c r="M500" s="16">
        <f>IFERROR(AVERAGEIF('Production Batches'!$C:$C,F500,'Production Batches'!$L:$L),0)</f>
        <v>0</v>
      </c>
      <c r="N500" s="16">
        <f t="shared" si="23"/>
        <v>0</v>
      </c>
      <c r="P500" s="11"/>
      <c r="Q500" s="30"/>
    </row>
    <row r="501" spans="2:17">
      <c r="B501" s="30"/>
      <c r="C501" s="11"/>
      <c r="D501" s="11"/>
      <c r="E501" t="str">
        <f>IFERROR(VLOOKUP(D501,Customers!$A:$B,2,FALSE),"")</f>
        <v/>
      </c>
      <c r="F501" s="11"/>
      <c r="G501" t="str">
        <f>IFERROR(VLOOKUP(F501,'Products Index'!$A:$B,2,FALSE),"")</f>
        <v/>
      </c>
      <c r="H501" s="11"/>
      <c r="I501" s="12"/>
      <c r="J501" s="15"/>
      <c r="K501" s="16">
        <f t="shared" si="21"/>
        <v>0</v>
      </c>
      <c r="L501" s="16">
        <f t="shared" si="22"/>
        <v>0</v>
      </c>
      <c r="M501" s="16">
        <f>IFERROR(AVERAGEIF('Production Batches'!$C:$C,F501,'Production Batches'!$L:$L),0)</f>
        <v>0</v>
      </c>
      <c r="N501" s="16">
        <f t="shared" si="23"/>
        <v>0</v>
      </c>
      <c r="P501" s="11"/>
      <c r="Q501" s="30"/>
    </row>
    <row r="502" spans="2:17">
      <c r="B502" s="30"/>
      <c r="C502" s="11"/>
      <c r="D502" s="11"/>
      <c r="E502" t="str">
        <f>IFERROR(VLOOKUP(D502,Customers!$A:$B,2,FALSE),"")</f>
        <v/>
      </c>
      <c r="F502" s="11"/>
      <c r="G502" t="str">
        <f>IFERROR(VLOOKUP(F502,'Products Index'!$A:$B,2,FALSE),"")</f>
        <v/>
      </c>
      <c r="H502" s="11"/>
      <c r="I502" s="12"/>
      <c r="J502" s="15"/>
      <c r="K502" s="16">
        <f t="shared" si="21"/>
        <v>0</v>
      </c>
      <c r="L502" s="16">
        <f t="shared" si="22"/>
        <v>0</v>
      </c>
      <c r="M502" s="16">
        <f>IFERROR(AVERAGEIF('Production Batches'!$C:$C,F502,'Production Batches'!$L:$L),0)</f>
        <v>0</v>
      </c>
      <c r="N502" s="16">
        <f t="shared" si="23"/>
        <v>0</v>
      </c>
      <c r="P502" s="11"/>
      <c r="Q502" s="30"/>
    </row>
    <row r="503" spans="2:17">
      <c r="B503" s="30"/>
      <c r="C503" s="11"/>
      <c r="D503" s="11"/>
      <c r="E503" t="str">
        <f>IFERROR(VLOOKUP(D503,Customers!$A:$B,2,FALSE),"")</f>
        <v/>
      </c>
      <c r="F503" s="11"/>
      <c r="G503" t="str">
        <f>IFERROR(VLOOKUP(F503,'Products Index'!$A:$B,2,FALSE),"")</f>
        <v/>
      </c>
      <c r="H503" s="11"/>
      <c r="I503" s="12"/>
      <c r="J503" s="15"/>
      <c r="K503" s="16">
        <f t="shared" si="21"/>
        <v>0</v>
      </c>
      <c r="L503" s="16">
        <f t="shared" si="22"/>
        <v>0</v>
      </c>
      <c r="M503" s="16">
        <f>IFERROR(AVERAGEIF('Production Batches'!$C:$C,F503,'Production Batches'!$L:$L),0)</f>
        <v>0</v>
      </c>
      <c r="N503" s="16">
        <f t="shared" si="23"/>
        <v>0</v>
      </c>
      <c r="P503" s="11"/>
      <c r="Q503" s="30"/>
    </row>
    <row r="504" spans="2:17">
      <c r="B504" s="30"/>
      <c r="C504" s="11"/>
      <c r="D504" s="11"/>
      <c r="E504" t="str">
        <f>IFERROR(VLOOKUP(D504,Customers!$A:$B,2,FALSE),"")</f>
        <v/>
      </c>
      <c r="F504" s="11"/>
      <c r="G504" t="str">
        <f>IFERROR(VLOOKUP(F504,'Products Index'!$A:$B,2,FALSE),"")</f>
        <v/>
      </c>
      <c r="H504" s="11"/>
      <c r="I504" s="12"/>
      <c r="J504" s="15"/>
      <c r="K504" s="16">
        <f t="shared" si="21"/>
        <v>0</v>
      </c>
      <c r="L504" s="16">
        <f t="shared" si="22"/>
        <v>0</v>
      </c>
      <c r="M504" s="16">
        <f>IFERROR(AVERAGEIF('Production Batches'!$C:$C,F504,'Production Batches'!$L:$L),0)</f>
        <v>0</v>
      </c>
      <c r="N504" s="16">
        <f t="shared" si="23"/>
        <v>0</v>
      </c>
      <c r="P504" s="11"/>
      <c r="Q504" s="30"/>
    </row>
    <row r="505" spans="2:17">
      <c r="B505" s="30"/>
      <c r="C505" s="11"/>
      <c r="D505" s="11"/>
      <c r="E505" t="str">
        <f>IFERROR(VLOOKUP(D505,Customers!$A:$B,2,FALSE),"")</f>
        <v/>
      </c>
      <c r="F505" s="11"/>
      <c r="G505" t="str">
        <f>IFERROR(VLOOKUP(F505,'Products Index'!$A:$B,2,FALSE),"")</f>
        <v/>
      </c>
      <c r="H505" s="11"/>
      <c r="I505" s="12"/>
      <c r="J505" s="15"/>
      <c r="K505" s="16">
        <f t="shared" si="21"/>
        <v>0</v>
      </c>
      <c r="L505" s="16">
        <f t="shared" si="22"/>
        <v>0</v>
      </c>
      <c r="M505" s="16">
        <f>IFERROR(AVERAGEIF('Production Batches'!$C:$C,F505,'Production Batches'!$L:$L),0)</f>
        <v>0</v>
      </c>
      <c r="N505" s="16">
        <f t="shared" si="23"/>
        <v>0</v>
      </c>
      <c r="P505" s="11"/>
      <c r="Q505" s="30"/>
    </row>
    <row r="506" spans="2:17">
      <c r="B506" s="30"/>
      <c r="C506" s="11"/>
      <c r="D506" s="11"/>
      <c r="E506" t="str">
        <f>IFERROR(VLOOKUP(D506,Customers!$A:$B,2,FALSE),"")</f>
        <v/>
      </c>
      <c r="F506" s="11"/>
      <c r="G506" t="str">
        <f>IFERROR(VLOOKUP(F506,'Products Index'!$A:$B,2,FALSE),"")</f>
        <v/>
      </c>
      <c r="H506" s="11"/>
      <c r="I506" s="12"/>
      <c r="J506" s="15"/>
      <c r="K506" s="16">
        <f t="shared" si="21"/>
        <v>0</v>
      </c>
      <c r="L506" s="16">
        <f t="shared" si="22"/>
        <v>0</v>
      </c>
      <c r="M506" s="16">
        <f>IFERROR(AVERAGEIF('Production Batches'!$C:$C,F506,'Production Batches'!$L:$L),0)</f>
        <v>0</v>
      </c>
      <c r="N506" s="16">
        <f t="shared" si="23"/>
        <v>0</v>
      </c>
      <c r="P506" s="11"/>
      <c r="Q506" s="30"/>
    </row>
    <row r="507" spans="2:17">
      <c r="B507" s="30"/>
      <c r="C507" s="11"/>
      <c r="D507" s="11"/>
      <c r="E507" t="str">
        <f>IFERROR(VLOOKUP(D507,Customers!$A:$B,2,FALSE),"")</f>
        <v/>
      </c>
      <c r="F507" s="11"/>
      <c r="G507" t="str">
        <f>IFERROR(VLOOKUP(F507,'Products Index'!$A:$B,2,FALSE),"")</f>
        <v/>
      </c>
      <c r="H507" s="11"/>
      <c r="I507" s="12"/>
      <c r="J507" s="15"/>
      <c r="K507" s="16">
        <f t="shared" si="21"/>
        <v>0</v>
      </c>
      <c r="L507" s="16">
        <f t="shared" si="22"/>
        <v>0</v>
      </c>
      <c r="M507" s="16">
        <f>IFERROR(AVERAGEIF('Production Batches'!$C:$C,F507,'Production Batches'!$L:$L),0)</f>
        <v>0</v>
      </c>
      <c r="N507" s="16">
        <f t="shared" si="23"/>
        <v>0</v>
      </c>
      <c r="P507" s="11"/>
      <c r="Q507" s="30"/>
    </row>
    <row r="508" spans="2:17">
      <c r="B508" s="30"/>
      <c r="C508" s="11"/>
      <c r="D508" s="11"/>
      <c r="E508" t="str">
        <f>IFERROR(VLOOKUP(D508,Customers!$A:$B,2,FALSE),"")</f>
        <v/>
      </c>
      <c r="F508" s="11"/>
      <c r="G508" t="str">
        <f>IFERROR(VLOOKUP(F508,'Products Index'!$A:$B,2,FALSE),"")</f>
        <v/>
      </c>
      <c r="H508" s="11"/>
      <c r="I508" s="12"/>
      <c r="J508" s="15"/>
      <c r="K508" s="16">
        <f t="shared" si="21"/>
        <v>0</v>
      </c>
      <c r="L508" s="16">
        <f t="shared" si="22"/>
        <v>0</v>
      </c>
      <c r="M508" s="16">
        <f>IFERROR(AVERAGEIF('Production Batches'!$C:$C,F508,'Production Batches'!$L:$L),0)</f>
        <v>0</v>
      </c>
      <c r="N508" s="16">
        <f t="shared" si="23"/>
        <v>0</v>
      </c>
      <c r="P508" s="11"/>
      <c r="Q508" s="30"/>
    </row>
    <row r="509" spans="2:17">
      <c r="B509" s="30"/>
      <c r="C509" s="11"/>
      <c r="D509" s="11"/>
      <c r="E509" t="str">
        <f>IFERROR(VLOOKUP(D509,Customers!$A:$B,2,FALSE),"")</f>
        <v/>
      </c>
      <c r="F509" s="11"/>
      <c r="G509" t="str">
        <f>IFERROR(VLOOKUP(F509,'Products Index'!$A:$B,2,FALSE),"")</f>
        <v/>
      </c>
      <c r="H509" s="11"/>
      <c r="I509" s="12"/>
      <c r="J509" s="15"/>
      <c r="K509" s="16">
        <f t="shared" si="21"/>
        <v>0</v>
      </c>
      <c r="L509" s="16">
        <f t="shared" si="22"/>
        <v>0</v>
      </c>
      <c r="M509" s="16">
        <f>IFERROR(AVERAGEIF('Production Batches'!$C:$C,F509,'Production Batches'!$L:$L),0)</f>
        <v>0</v>
      </c>
      <c r="N509" s="16">
        <f t="shared" si="23"/>
        <v>0</v>
      </c>
      <c r="P509" s="11"/>
      <c r="Q509" s="30"/>
    </row>
    <row r="510" spans="2:17">
      <c r="B510" s="30"/>
      <c r="C510" s="11"/>
      <c r="D510" s="11"/>
      <c r="E510" t="str">
        <f>IFERROR(VLOOKUP(D510,Customers!$A:$B,2,FALSE),"")</f>
        <v/>
      </c>
      <c r="F510" s="11"/>
      <c r="G510" t="str">
        <f>IFERROR(VLOOKUP(F510,'Products Index'!$A:$B,2,FALSE),"")</f>
        <v/>
      </c>
      <c r="H510" s="11"/>
      <c r="I510" s="12"/>
      <c r="J510" s="15"/>
      <c r="K510" s="16">
        <f t="shared" si="21"/>
        <v>0</v>
      </c>
      <c r="L510" s="16">
        <f t="shared" si="22"/>
        <v>0</v>
      </c>
      <c r="M510" s="16">
        <f>IFERROR(AVERAGEIF('Production Batches'!$C:$C,F510,'Production Batches'!$L:$L),0)</f>
        <v>0</v>
      </c>
      <c r="N510" s="16">
        <f t="shared" si="23"/>
        <v>0</v>
      </c>
      <c r="P510" s="11"/>
      <c r="Q510" s="30"/>
    </row>
    <row r="511" spans="2:17">
      <c r="B511" s="30"/>
      <c r="C511" s="11"/>
      <c r="D511" s="11"/>
      <c r="E511" t="str">
        <f>IFERROR(VLOOKUP(D511,Customers!$A:$B,2,FALSE),"")</f>
        <v/>
      </c>
      <c r="F511" s="11"/>
      <c r="G511" t="str">
        <f>IFERROR(VLOOKUP(F511,'Products Index'!$A:$B,2,FALSE),"")</f>
        <v/>
      </c>
      <c r="H511" s="11"/>
      <c r="I511" s="12"/>
      <c r="J511" s="15"/>
      <c r="K511" s="16">
        <f t="shared" si="21"/>
        <v>0</v>
      </c>
      <c r="L511" s="16">
        <f t="shared" si="22"/>
        <v>0</v>
      </c>
      <c r="M511" s="16">
        <f>IFERROR(AVERAGEIF('Production Batches'!$C:$C,F511,'Production Batches'!$L:$L),0)</f>
        <v>0</v>
      </c>
      <c r="N511" s="16">
        <f t="shared" si="23"/>
        <v>0</v>
      </c>
      <c r="P511" s="11"/>
      <c r="Q511" s="30"/>
    </row>
    <row r="512" spans="2:17">
      <c r="B512" s="30"/>
      <c r="C512" s="11"/>
      <c r="D512" s="11"/>
      <c r="E512" t="str">
        <f>IFERROR(VLOOKUP(D512,Customers!$A:$B,2,FALSE),"")</f>
        <v/>
      </c>
      <c r="F512" s="11"/>
      <c r="G512" t="str">
        <f>IFERROR(VLOOKUP(F512,'Products Index'!$A:$B,2,FALSE),"")</f>
        <v/>
      </c>
      <c r="H512" s="11"/>
      <c r="I512" s="12"/>
      <c r="J512" s="15"/>
      <c r="K512" s="16">
        <f t="shared" si="21"/>
        <v>0</v>
      </c>
      <c r="L512" s="16">
        <f t="shared" si="22"/>
        <v>0</v>
      </c>
      <c r="M512" s="16">
        <f>IFERROR(AVERAGEIF('Production Batches'!$C:$C,F512,'Production Batches'!$L:$L),0)</f>
        <v>0</v>
      </c>
      <c r="N512" s="16">
        <f t="shared" si="23"/>
        <v>0</v>
      </c>
      <c r="P512" s="11"/>
      <c r="Q512" s="30"/>
    </row>
    <row r="513" spans="2:17">
      <c r="B513" s="30"/>
      <c r="C513" s="11"/>
      <c r="D513" s="11"/>
      <c r="E513" t="str">
        <f>IFERROR(VLOOKUP(D513,Customers!$A:$B,2,FALSE),"")</f>
        <v/>
      </c>
      <c r="F513" s="11"/>
      <c r="G513" t="str">
        <f>IFERROR(VLOOKUP(F513,'Products Index'!$A:$B,2,FALSE),"")</f>
        <v/>
      </c>
      <c r="H513" s="11"/>
      <c r="I513" s="12"/>
      <c r="J513" s="15"/>
      <c r="K513" s="16">
        <f t="shared" si="21"/>
        <v>0</v>
      </c>
      <c r="L513" s="16">
        <f t="shared" si="22"/>
        <v>0</v>
      </c>
      <c r="M513" s="16">
        <f>IFERROR(AVERAGEIF('Production Batches'!$C:$C,F513,'Production Batches'!$L:$L),0)</f>
        <v>0</v>
      </c>
      <c r="N513" s="16">
        <f t="shared" si="23"/>
        <v>0</v>
      </c>
      <c r="P513" s="11"/>
      <c r="Q513" s="30"/>
    </row>
    <row r="514" spans="2:17">
      <c r="B514" s="30"/>
      <c r="C514" s="11"/>
      <c r="D514" s="11"/>
      <c r="E514" t="str">
        <f>IFERROR(VLOOKUP(D514,Customers!$A:$B,2,FALSE),"")</f>
        <v/>
      </c>
      <c r="F514" s="11"/>
      <c r="G514" t="str">
        <f>IFERROR(VLOOKUP(F514,'Products Index'!$A:$B,2,FALSE),"")</f>
        <v/>
      </c>
      <c r="H514" s="11"/>
      <c r="I514" s="12"/>
      <c r="J514" s="15"/>
      <c r="K514" s="16">
        <f t="shared" ref="K514:K577" si="24">IFERROR(I514*(1-J514),0)</f>
        <v>0</v>
      </c>
      <c r="L514" s="16">
        <f t="shared" ref="L514:L577" si="25">IFERROR(K514*H514,0)</f>
        <v>0</v>
      </c>
      <c r="M514" s="16">
        <f>IFERROR(AVERAGEIF('Production Batches'!$C:$C,F514,'Production Batches'!$L:$L),0)</f>
        <v>0</v>
      </c>
      <c r="N514" s="16">
        <f t="shared" ref="N514:N577" si="26">IFERROR(L514-(M514*H514),0)</f>
        <v>0</v>
      </c>
      <c r="P514" s="11"/>
      <c r="Q514" s="30"/>
    </row>
    <row r="515" spans="2:17">
      <c r="B515" s="30"/>
      <c r="C515" s="11"/>
      <c r="D515" s="11"/>
      <c r="E515" t="str">
        <f>IFERROR(VLOOKUP(D515,Customers!$A:$B,2,FALSE),"")</f>
        <v/>
      </c>
      <c r="F515" s="11"/>
      <c r="G515" t="str">
        <f>IFERROR(VLOOKUP(F515,'Products Index'!$A:$B,2,FALSE),"")</f>
        <v/>
      </c>
      <c r="H515" s="11"/>
      <c r="I515" s="12"/>
      <c r="J515" s="15"/>
      <c r="K515" s="16">
        <f t="shared" si="24"/>
        <v>0</v>
      </c>
      <c r="L515" s="16">
        <f t="shared" si="25"/>
        <v>0</v>
      </c>
      <c r="M515" s="16">
        <f>IFERROR(AVERAGEIF('Production Batches'!$C:$C,F515,'Production Batches'!$L:$L),0)</f>
        <v>0</v>
      </c>
      <c r="N515" s="16">
        <f t="shared" si="26"/>
        <v>0</v>
      </c>
      <c r="P515" s="11"/>
      <c r="Q515" s="30"/>
    </row>
    <row r="516" spans="2:17">
      <c r="B516" s="30"/>
      <c r="C516" s="11"/>
      <c r="D516" s="11"/>
      <c r="E516" t="str">
        <f>IFERROR(VLOOKUP(D516,Customers!$A:$B,2,FALSE),"")</f>
        <v/>
      </c>
      <c r="F516" s="11"/>
      <c r="G516" t="str">
        <f>IFERROR(VLOOKUP(F516,'Products Index'!$A:$B,2,FALSE),"")</f>
        <v/>
      </c>
      <c r="H516" s="11"/>
      <c r="I516" s="12"/>
      <c r="J516" s="15"/>
      <c r="K516" s="16">
        <f t="shared" si="24"/>
        <v>0</v>
      </c>
      <c r="L516" s="16">
        <f t="shared" si="25"/>
        <v>0</v>
      </c>
      <c r="M516" s="16">
        <f>IFERROR(AVERAGEIF('Production Batches'!$C:$C,F516,'Production Batches'!$L:$L),0)</f>
        <v>0</v>
      </c>
      <c r="N516" s="16">
        <f t="shared" si="26"/>
        <v>0</v>
      </c>
      <c r="P516" s="11"/>
      <c r="Q516" s="30"/>
    </row>
    <row r="517" spans="2:17">
      <c r="B517" s="30"/>
      <c r="C517" s="11"/>
      <c r="D517" s="11"/>
      <c r="E517" t="str">
        <f>IFERROR(VLOOKUP(D517,Customers!$A:$B,2,FALSE),"")</f>
        <v/>
      </c>
      <c r="F517" s="11"/>
      <c r="G517" t="str">
        <f>IFERROR(VLOOKUP(F517,'Products Index'!$A:$B,2,FALSE),"")</f>
        <v/>
      </c>
      <c r="H517" s="11"/>
      <c r="I517" s="12"/>
      <c r="J517" s="15"/>
      <c r="K517" s="16">
        <f t="shared" si="24"/>
        <v>0</v>
      </c>
      <c r="L517" s="16">
        <f t="shared" si="25"/>
        <v>0</v>
      </c>
      <c r="M517" s="16">
        <f>IFERROR(AVERAGEIF('Production Batches'!$C:$C,F517,'Production Batches'!$L:$L),0)</f>
        <v>0</v>
      </c>
      <c r="N517" s="16">
        <f t="shared" si="26"/>
        <v>0</v>
      </c>
      <c r="P517" s="11"/>
      <c r="Q517" s="30"/>
    </row>
    <row r="518" spans="2:17">
      <c r="B518" s="30"/>
      <c r="C518" s="11"/>
      <c r="D518" s="11"/>
      <c r="E518" t="str">
        <f>IFERROR(VLOOKUP(D518,Customers!$A:$B,2,FALSE),"")</f>
        <v/>
      </c>
      <c r="F518" s="11"/>
      <c r="G518" t="str">
        <f>IFERROR(VLOOKUP(F518,'Products Index'!$A:$B,2,FALSE),"")</f>
        <v/>
      </c>
      <c r="H518" s="11"/>
      <c r="I518" s="12"/>
      <c r="J518" s="15"/>
      <c r="K518" s="16">
        <f t="shared" si="24"/>
        <v>0</v>
      </c>
      <c r="L518" s="16">
        <f t="shared" si="25"/>
        <v>0</v>
      </c>
      <c r="M518" s="16">
        <f>IFERROR(AVERAGEIF('Production Batches'!$C:$C,F518,'Production Batches'!$L:$L),0)</f>
        <v>0</v>
      </c>
      <c r="N518" s="16">
        <f t="shared" si="26"/>
        <v>0</v>
      </c>
      <c r="P518" s="11"/>
      <c r="Q518" s="30"/>
    </row>
    <row r="519" spans="2:17">
      <c r="B519" s="30"/>
      <c r="C519" s="11"/>
      <c r="D519" s="11"/>
      <c r="E519" t="str">
        <f>IFERROR(VLOOKUP(D519,Customers!$A:$B,2,FALSE),"")</f>
        <v/>
      </c>
      <c r="F519" s="11"/>
      <c r="G519" t="str">
        <f>IFERROR(VLOOKUP(F519,'Products Index'!$A:$B,2,FALSE),"")</f>
        <v/>
      </c>
      <c r="H519" s="11"/>
      <c r="I519" s="12"/>
      <c r="J519" s="15"/>
      <c r="K519" s="16">
        <f t="shared" si="24"/>
        <v>0</v>
      </c>
      <c r="L519" s="16">
        <f t="shared" si="25"/>
        <v>0</v>
      </c>
      <c r="M519" s="16">
        <f>IFERROR(AVERAGEIF('Production Batches'!$C:$C,F519,'Production Batches'!$L:$L),0)</f>
        <v>0</v>
      </c>
      <c r="N519" s="16">
        <f t="shared" si="26"/>
        <v>0</v>
      </c>
      <c r="P519" s="11"/>
      <c r="Q519" s="30"/>
    </row>
    <row r="520" spans="2:17">
      <c r="B520" s="30"/>
      <c r="C520" s="11"/>
      <c r="D520" s="11"/>
      <c r="E520" t="str">
        <f>IFERROR(VLOOKUP(D520,Customers!$A:$B,2,FALSE),"")</f>
        <v/>
      </c>
      <c r="F520" s="11"/>
      <c r="G520" t="str">
        <f>IFERROR(VLOOKUP(F520,'Products Index'!$A:$B,2,FALSE),"")</f>
        <v/>
      </c>
      <c r="H520" s="11"/>
      <c r="I520" s="12"/>
      <c r="J520" s="15"/>
      <c r="K520" s="16">
        <f t="shared" si="24"/>
        <v>0</v>
      </c>
      <c r="L520" s="16">
        <f t="shared" si="25"/>
        <v>0</v>
      </c>
      <c r="M520" s="16">
        <f>IFERROR(AVERAGEIF('Production Batches'!$C:$C,F520,'Production Batches'!$L:$L),0)</f>
        <v>0</v>
      </c>
      <c r="N520" s="16">
        <f t="shared" si="26"/>
        <v>0</v>
      </c>
      <c r="P520" s="11"/>
      <c r="Q520" s="30"/>
    </row>
    <row r="521" spans="2:17">
      <c r="B521" s="30"/>
      <c r="C521" s="11"/>
      <c r="D521" s="11"/>
      <c r="E521" t="str">
        <f>IFERROR(VLOOKUP(D521,Customers!$A:$B,2,FALSE),"")</f>
        <v/>
      </c>
      <c r="F521" s="11"/>
      <c r="G521" t="str">
        <f>IFERROR(VLOOKUP(F521,'Products Index'!$A:$B,2,FALSE),"")</f>
        <v/>
      </c>
      <c r="H521" s="11"/>
      <c r="I521" s="12"/>
      <c r="J521" s="15"/>
      <c r="K521" s="16">
        <f t="shared" si="24"/>
        <v>0</v>
      </c>
      <c r="L521" s="16">
        <f t="shared" si="25"/>
        <v>0</v>
      </c>
      <c r="M521" s="16">
        <f>IFERROR(AVERAGEIF('Production Batches'!$C:$C,F521,'Production Batches'!$L:$L),0)</f>
        <v>0</v>
      </c>
      <c r="N521" s="16">
        <f t="shared" si="26"/>
        <v>0</v>
      </c>
      <c r="P521" s="11"/>
      <c r="Q521" s="30"/>
    </row>
    <row r="522" spans="2:17">
      <c r="B522" s="30"/>
      <c r="C522" s="11"/>
      <c r="D522" s="11"/>
      <c r="E522" t="str">
        <f>IFERROR(VLOOKUP(D522,Customers!$A:$B,2,FALSE),"")</f>
        <v/>
      </c>
      <c r="F522" s="11"/>
      <c r="G522" t="str">
        <f>IFERROR(VLOOKUP(F522,'Products Index'!$A:$B,2,FALSE),"")</f>
        <v/>
      </c>
      <c r="H522" s="11"/>
      <c r="I522" s="12"/>
      <c r="J522" s="15"/>
      <c r="K522" s="16">
        <f t="shared" si="24"/>
        <v>0</v>
      </c>
      <c r="L522" s="16">
        <f t="shared" si="25"/>
        <v>0</v>
      </c>
      <c r="M522" s="16">
        <f>IFERROR(AVERAGEIF('Production Batches'!$C:$C,F522,'Production Batches'!$L:$L),0)</f>
        <v>0</v>
      </c>
      <c r="N522" s="16">
        <f t="shared" si="26"/>
        <v>0</v>
      </c>
      <c r="P522" s="11"/>
      <c r="Q522" s="30"/>
    </row>
    <row r="523" spans="2:17">
      <c r="B523" s="30"/>
      <c r="C523" s="11"/>
      <c r="D523" s="11"/>
      <c r="E523" t="str">
        <f>IFERROR(VLOOKUP(D523,Customers!$A:$B,2,FALSE),"")</f>
        <v/>
      </c>
      <c r="F523" s="11"/>
      <c r="G523" t="str">
        <f>IFERROR(VLOOKUP(F523,'Products Index'!$A:$B,2,FALSE),"")</f>
        <v/>
      </c>
      <c r="H523" s="11"/>
      <c r="I523" s="12"/>
      <c r="J523" s="15"/>
      <c r="K523" s="16">
        <f t="shared" si="24"/>
        <v>0</v>
      </c>
      <c r="L523" s="16">
        <f t="shared" si="25"/>
        <v>0</v>
      </c>
      <c r="M523" s="16">
        <f>IFERROR(AVERAGEIF('Production Batches'!$C:$C,F523,'Production Batches'!$L:$L),0)</f>
        <v>0</v>
      </c>
      <c r="N523" s="16">
        <f t="shared" si="26"/>
        <v>0</v>
      </c>
      <c r="P523" s="11"/>
      <c r="Q523" s="30"/>
    </row>
    <row r="524" spans="2:17">
      <c r="B524" s="30"/>
      <c r="C524" s="11"/>
      <c r="D524" s="11"/>
      <c r="E524" t="str">
        <f>IFERROR(VLOOKUP(D524,Customers!$A:$B,2,FALSE),"")</f>
        <v/>
      </c>
      <c r="F524" s="11"/>
      <c r="G524" t="str">
        <f>IFERROR(VLOOKUP(F524,'Products Index'!$A:$B,2,FALSE),"")</f>
        <v/>
      </c>
      <c r="H524" s="11"/>
      <c r="I524" s="12"/>
      <c r="J524" s="15"/>
      <c r="K524" s="16">
        <f t="shared" si="24"/>
        <v>0</v>
      </c>
      <c r="L524" s="16">
        <f t="shared" si="25"/>
        <v>0</v>
      </c>
      <c r="M524" s="16">
        <f>IFERROR(AVERAGEIF('Production Batches'!$C:$C,F524,'Production Batches'!$L:$L),0)</f>
        <v>0</v>
      </c>
      <c r="N524" s="16">
        <f t="shared" si="26"/>
        <v>0</v>
      </c>
      <c r="P524" s="11"/>
      <c r="Q524" s="30"/>
    </row>
    <row r="525" spans="2:17">
      <c r="B525" s="30"/>
      <c r="C525" s="11"/>
      <c r="D525" s="11"/>
      <c r="E525" t="str">
        <f>IFERROR(VLOOKUP(D525,Customers!$A:$B,2,FALSE),"")</f>
        <v/>
      </c>
      <c r="F525" s="11"/>
      <c r="G525" t="str">
        <f>IFERROR(VLOOKUP(F525,'Products Index'!$A:$B,2,FALSE),"")</f>
        <v/>
      </c>
      <c r="H525" s="11"/>
      <c r="I525" s="12"/>
      <c r="J525" s="15"/>
      <c r="K525" s="16">
        <f t="shared" si="24"/>
        <v>0</v>
      </c>
      <c r="L525" s="16">
        <f t="shared" si="25"/>
        <v>0</v>
      </c>
      <c r="M525" s="16">
        <f>IFERROR(AVERAGEIF('Production Batches'!$C:$C,F525,'Production Batches'!$L:$L),0)</f>
        <v>0</v>
      </c>
      <c r="N525" s="16">
        <f t="shared" si="26"/>
        <v>0</v>
      </c>
      <c r="P525" s="11"/>
      <c r="Q525" s="30"/>
    </row>
    <row r="526" spans="2:17">
      <c r="B526" s="30"/>
      <c r="C526" s="11"/>
      <c r="D526" s="11"/>
      <c r="E526" t="str">
        <f>IFERROR(VLOOKUP(D526,Customers!$A:$B,2,FALSE),"")</f>
        <v/>
      </c>
      <c r="F526" s="11"/>
      <c r="G526" t="str">
        <f>IFERROR(VLOOKUP(F526,'Products Index'!$A:$B,2,FALSE),"")</f>
        <v/>
      </c>
      <c r="H526" s="11"/>
      <c r="I526" s="12"/>
      <c r="J526" s="15"/>
      <c r="K526" s="16">
        <f t="shared" si="24"/>
        <v>0</v>
      </c>
      <c r="L526" s="16">
        <f t="shared" si="25"/>
        <v>0</v>
      </c>
      <c r="M526" s="16">
        <f>IFERROR(AVERAGEIF('Production Batches'!$C:$C,F526,'Production Batches'!$L:$L),0)</f>
        <v>0</v>
      </c>
      <c r="N526" s="16">
        <f t="shared" si="26"/>
        <v>0</v>
      </c>
      <c r="P526" s="11"/>
      <c r="Q526" s="30"/>
    </row>
    <row r="527" spans="2:17">
      <c r="B527" s="30"/>
      <c r="C527" s="11"/>
      <c r="D527" s="11"/>
      <c r="E527" t="str">
        <f>IFERROR(VLOOKUP(D527,Customers!$A:$B,2,FALSE),"")</f>
        <v/>
      </c>
      <c r="F527" s="11"/>
      <c r="G527" t="str">
        <f>IFERROR(VLOOKUP(F527,'Products Index'!$A:$B,2,FALSE),"")</f>
        <v/>
      </c>
      <c r="H527" s="11"/>
      <c r="I527" s="12"/>
      <c r="J527" s="15"/>
      <c r="K527" s="16">
        <f t="shared" si="24"/>
        <v>0</v>
      </c>
      <c r="L527" s="16">
        <f t="shared" si="25"/>
        <v>0</v>
      </c>
      <c r="M527" s="16">
        <f>IFERROR(AVERAGEIF('Production Batches'!$C:$C,F527,'Production Batches'!$L:$L),0)</f>
        <v>0</v>
      </c>
      <c r="N527" s="16">
        <f t="shared" si="26"/>
        <v>0</v>
      </c>
      <c r="P527" s="11"/>
      <c r="Q527" s="30"/>
    </row>
    <row r="528" spans="2:17">
      <c r="B528" s="30"/>
      <c r="C528" s="11"/>
      <c r="D528" s="11"/>
      <c r="E528" t="str">
        <f>IFERROR(VLOOKUP(D528,Customers!$A:$B,2,FALSE),"")</f>
        <v/>
      </c>
      <c r="F528" s="11"/>
      <c r="G528" t="str">
        <f>IFERROR(VLOOKUP(F528,'Products Index'!$A:$B,2,FALSE),"")</f>
        <v/>
      </c>
      <c r="H528" s="11"/>
      <c r="I528" s="12"/>
      <c r="J528" s="15"/>
      <c r="K528" s="16">
        <f t="shared" si="24"/>
        <v>0</v>
      </c>
      <c r="L528" s="16">
        <f t="shared" si="25"/>
        <v>0</v>
      </c>
      <c r="M528" s="16">
        <f>IFERROR(AVERAGEIF('Production Batches'!$C:$C,F528,'Production Batches'!$L:$L),0)</f>
        <v>0</v>
      </c>
      <c r="N528" s="16">
        <f t="shared" si="26"/>
        <v>0</v>
      </c>
      <c r="P528" s="11"/>
      <c r="Q528" s="30"/>
    </row>
    <row r="529" spans="2:17">
      <c r="B529" s="30"/>
      <c r="C529" s="11"/>
      <c r="D529" s="11"/>
      <c r="E529" t="str">
        <f>IFERROR(VLOOKUP(D529,Customers!$A:$B,2,FALSE),"")</f>
        <v/>
      </c>
      <c r="F529" s="11"/>
      <c r="G529" t="str">
        <f>IFERROR(VLOOKUP(F529,'Products Index'!$A:$B,2,FALSE),"")</f>
        <v/>
      </c>
      <c r="H529" s="11"/>
      <c r="I529" s="12"/>
      <c r="J529" s="15"/>
      <c r="K529" s="16">
        <f t="shared" si="24"/>
        <v>0</v>
      </c>
      <c r="L529" s="16">
        <f t="shared" si="25"/>
        <v>0</v>
      </c>
      <c r="M529" s="16">
        <f>IFERROR(AVERAGEIF('Production Batches'!$C:$C,F529,'Production Batches'!$L:$L),0)</f>
        <v>0</v>
      </c>
      <c r="N529" s="16">
        <f t="shared" si="26"/>
        <v>0</v>
      </c>
      <c r="P529" s="11"/>
      <c r="Q529" s="30"/>
    </row>
    <row r="530" spans="2:17">
      <c r="B530" s="30"/>
      <c r="C530" s="11"/>
      <c r="D530" s="11"/>
      <c r="E530" t="str">
        <f>IFERROR(VLOOKUP(D530,Customers!$A:$B,2,FALSE),"")</f>
        <v/>
      </c>
      <c r="F530" s="11"/>
      <c r="G530" t="str">
        <f>IFERROR(VLOOKUP(F530,'Products Index'!$A:$B,2,FALSE),"")</f>
        <v/>
      </c>
      <c r="H530" s="11"/>
      <c r="I530" s="12"/>
      <c r="J530" s="15"/>
      <c r="K530" s="16">
        <f t="shared" si="24"/>
        <v>0</v>
      </c>
      <c r="L530" s="16">
        <f t="shared" si="25"/>
        <v>0</v>
      </c>
      <c r="M530" s="16">
        <f>IFERROR(AVERAGEIF('Production Batches'!$C:$C,F530,'Production Batches'!$L:$L),0)</f>
        <v>0</v>
      </c>
      <c r="N530" s="16">
        <f t="shared" si="26"/>
        <v>0</v>
      </c>
      <c r="P530" s="11"/>
      <c r="Q530" s="30"/>
    </row>
    <row r="531" spans="2:17">
      <c r="B531" s="30"/>
      <c r="C531" s="11"/>
      <c r="D531" s="11"/>
      <c r="E531" t="str">
        <f>IFERROR(VLOOKUP(D531,Customers!$A:$B,2,FALSE),"")</f>
        <v/>
      </c>
      <c r="F531" s="11"/>
      <c r="G531" t="str">
        <f>IFERROR(VLOOKUP(F531,'Products Index'!$A:$B,2,FALSE),"")</f>
        <v/>
      </c>
      <c r="H531" s="11"/>
      <c r="I531" s="12"/>
      <c r="J531" s="15"/>
      <c r="K531" s="16">
        <f t="shared" si="24"/>
        <v>0</v>
      </c>
      <c r="L531" s="16">
        <f t="shared" si="25"/>
        <v>0</v>
      </c>
      <c r="M531" s="16">
        <f>IFERROR(AVERAGEIF('Production Batches'!$C:$C,F531,'Production Batches'!$L:$L),0)</f>
        <v>0</v>
      </c>
      <c r="N531" s="16">
        <f t="shared" si="26"/>
        <v>0</v>
      </c>
      <c r="P531" s="11"/>
      <c r="Q531" s="30"/>
    </row>
    <row r="532" spans="2:17">
      <c r="B532" s="30"/>
      <c r="C532" s="11"/>
      <c r="D532" s="11"/>
      <c r="E532" t="str">
        <f>IFERROR(VLOOKUP(D532,Customers!$A:$B,2,FALSE),"")</f>
        <v/>
      </c>
      <c r="F532" s="11"/>
      <c r="G532" t="str">
        <f>IFERROR(VLOOKUP(F532,'Products Index'!$A:$B,2,FALSE),"")</f>
        <v/>
      </c>
      <c r="H532" s="11"/>
      <c r="I532" s="12"/>
      <c r="J532" s="15"/>
      <c r="K532" s="16">
        <f t="shared" si="24"/>
        <v>0</v>
      </c>
      <c r="L532" s="16">
        <f t="shared" si="25"/>
        <v>0</v>
      </c>
      <c r="M532" s="16">
        <f>IFERROR(AVERAGEIF('Production Batches'!$C:$C,F532,'Production Batches'!$L:$L),0)</f>
        <v>0</v>
      </c>
      <c r="N532" s="16">
        <f t="shared" si="26"/>
        <v>0</v>
      </c>
      <c r="P532" s="11"/>
      <c r="Q532" s="30"/>
    </row>
    <row r="533" spans="2:17">
      <c r="B533" s="30"/>
      <c r="C533" s="11"/>
      <c r="D533" s="11"/>
      <c r="E533" t="str">
        <f>IFERROR(VLOOKUP(D533,Customers!$A:$B,2,FALSE),"")</f>
        <v/>
      </c>
      <c r="F533" s="11"/>
      <c r="G533" t="str">
        <f>IFERROR(VLOOKUP(F533,'Products Index'!$A:$B,2,FALSE),"")</f>
        <v/>
      </c>
      <c r="H533" s="11"/>
      <c r="I533" s="12"/>
      <c r="J533" s="15"/>
      <c r="K533" s="16">
        <f t="shared" si="24"/>
        <v>0</v>
      </c>
      <c r="L533" s="16">
        <f t="shared" si="25"/>
        <v>0</v>
      </c>
      <c r="M533" s="16">
        <f>IFERROR(AVERAGEIF('Production Batches'!$C:$C,F533,'Production Batches'!$L:$L),0)</f>
        <v>0</v>
      </c>
      <c r="N533" s="16">
        <f t="shared" si="26"/>
        <v>0</v>
      </c>
      <c r="P533" s="11"/>
      <c r="Q533" s="30"/>
    </row>
    <row r="534" spans="2:17">
      <c r="B534" s="30"/>
      <c r="C534" s="11"/>
      <c r="D534" s="11"/>
      <c r="E534" t="str">
        <f>IFERROR(VLOOKUP(D534,Customers!$A:$B,2,FALSE),"")</f>
        <v/>
      </c>
      <c r="F534" s="11"/>
      <c r="G534" t="str">
        <f>IFERROR(VLOOKUP(F534,'Products Index'!$A:$B,2,FALSE),"")</f>
        <v/>
      </c>
      <c r="H534" s="11"/>
      <c r="I534" s="12"/>
      <c r="J534" s="15"/>
      <c r="K534" s="16">
        <f t="shared" si="24"/>
        <v>0</v>
      </c>
      <c r="L534" s="16">
        <f t="shared" si="25"/>
        <v>0</v>
      </c>
      <c r="M534" s="16">
        <f>IFERROR(AVERAGEIF('Production Batches'!$C:$C,F534,'Production Batches'!$L:$L),0)</f>
        <v>0</v>
      </c>
      <c r="N534" s="16">
        <f t="shared" si="26"/>
        <v>0</v>
      </c>
      <c r="P534" s="11"/>
      <c r="Q534" s="30"/>
    </row>
    <row r="535" spans="2:17">
      <c r="B535" s="30"/>
      <c r="C535" s="11"/>
      <c r="D535" s="11"/>
      <c r="E535" t="str">
        <f>IFERROR(VLOOKUP(D535,Customers!$A:$B,2,FALSE),"")</f>
        <v/>
      </c>
      <c r="F535" s="11"/>
      <c r="G535" t="str">
        <f>IFERROR(VLOOKUP(F535,'Products Index'!$A:$B,2,FALSE),"")</f>
        <v/>
      </c>
      <c r="H535" s="11"/>
      <c r="I535" s="12"/>
      <c r="J535" s="15"/>
      <c r="K535" s="16">
        <f t="shared" si="24"/>
        <v>0</v>
      </c>
      <c r="L535" s="16">
        <f t="shared" si="25"/>
        <v>0</v>
      </c>
      <c r="M535" s="16">
        <f>IFERROR(AVERAGEIF('Production Batches'!$C:$C,F535,'Production Batches'!$L:$L),0)</f>
        <v>0</v>
      </c>
      <c r="N535" s="16">
        <f t="shared" si="26"/>
        <v>0</v>
      </c>
      <c r="P535" s="11"/>
      <c r="Q535" s="30"/>
    </row>
    <row r="536" spans="2:17">
      <c r="B536" s="30"/>
      <c r="C536" s="11"/>
      <c r="D536" s="11"/>
      <c r="E536" t="str">
        <f>IFERROR(VLOOKUP(D536,Customers!$A:$B,2,FALSE),"")</f>
        <v/>
      </c>
      <c r="F536" s="11"/>
      <c r="G536" t="str">
        <f>IFERROR(VLOOKUP(F536,'Products Index'!$A:$B,2,FALSE),"")</f>
        <v/>
      </c>
      <c r="H536" s="11"/>
      <c r="I536" s="12"/>
      <c r="J536" s="15"/>
      <c r="K536" s="16">
        <f t="shared" si="24"/>
        <v>0</v>
      </c>
      <c r="L536" s="16">
        <f t="shared" si="25"/>
        <v>0</v>
      </c>
      <c r="M536" s="16">
        <f>IFERROR(AVERAGEIF('Production Batches'!$C:$C,F536,'Production Batches'!$L:$L),0)</f>
        <v>0</v>
      </c>
      <c r="N536" s="16">
        <f t="shared" si="26"/>
        <v>0</v>
      </c>
      <c r="P536" s="11"/>
      <c r="Q536" s="30"/>
    </row>
    <row r="537" spans="2:17">
      <c r="B537" s="30"/>
      <c r="C537" s="11"/>
      <c r="D537" s="11"/>
      <c r="E537" t="str">
        <f>IFERROR(VLOOKUP(D537,Customers!$A:$B,2,FALSE),"")</f>
        <v/>
      </c>
      <c r="F537" s="11"/>
      <c r="G537" t="str">
        <f>IFERROR(VLOOKUP(F537,'Products Index'!$A:$B,2,FALSE),"")</f>
        <v/>
      </c>
      <c r="H537" s="11"/>
      <c r="I537" s="12"/>
      <c r="J537" s="15"/>
      <c r="K537" s="16">
        <f t="shared" si="24"/>
        <v>0</v>
      </c>
      <c r="L537" s="16">
        <f t="shared" si="25"/>
        <v>0</v>
      </c>
      <c r="M537" s="16">
        <f>IFERROR(AVERAGEIF('Production Batches'!$C:$C,F537,'Production Batches'!$L:$L),0)</f>
        <v>0</v>
      </c>
      <c r="N537" s="16">
        <f t="shared" si="26"/>
        <v>0</v>
      </c>
      <c r="P537" s="11"/>
      <c r="Q537" s="30"/>
    </row>
    <row r="538" spans="2:17">
      <c r="B538" s="30"/>
      <c r="C538" s="11"/>
      <c r="D538" s="11"/>
      <c r="E538" t="str">
        <f>IFERROR(VLOOKUP(D538,Customers!$A:$B,2,FALSE),"")</f>
        <v/>
      </c>
      <c r="F538" s="11"/>
      <c r="G538" t="str">
        <f>IFERROR(VLOOKUP(F538,'Products Index'!$A:$B,2,FALSE),"")</f>
        <v/>
      </c>
      <c r="H538" s="11"/>
      <c r="I538" s="12"/>
      <c r="J538" s="15"/>
      <c r="K538" s="16">
        <f t="shared" si="24"/>
        <v>0</v>
      </c>
      <c r="L538" s="16">
        <f t="shared" si="25"/>
        <v>0</v>
      </c>
      <c r="M538" s="16">
        <f>IFERROR(AVERAGEIF('Production Batches'!$C:$C,F538,'Production Batches'!$L:$L),0)</f>
        <v>0</v>
      </c>
      <c r="N538" s="16">
        <f t="shared" si="26"/>
        <v>0</v>
      </c>
      <c r="P538" s="11"/>
      <c r="Q538" s="30"/>
    </row>
    <row r="539" spans="2:17">
      <c r="B539" s="30"/>
      <c r="C539" s="11"/>
      <c r="D539" s="11"/>
      <c r="E539" t="str">
        <f>IFERROR(VLOOKUP(D539,Customers!$A:$B,2,FALSE),"")</f>
        <v/>
      </c>
      <c r="F539" s="11"/>
      <c r="G539" t="str">
        <f>IFERROR(VLOOKUP(F539,'Products Index'!$A:$B,2,FALSE),"")</f>
        <v/>
      </c>
      <c r="H539" s="11"/>
      <c r="I539" s="12"/>
      <c r="J539" s="15"/>
      <c r="K539" s="16">
        <f t="shared" si="24"/>
        <v>0</v>
      </c>
      <c r="L539" s="16">
        <f t="shared" si="25"/>
        <v>0</v>
      </c>
      <c r="M539" s="16">
        <f>IFERROR(AVERAGEIF('Production Batches'!$C:$C,F539,'Production Batches'!$L:$L),0)</f>
        <v>0</v>
      </c>
      <c r="N539" s="16">
        <f t="shared" si="26"/>
        <v>0</v>
      </c>
      <c r="P539" s="11"/>
      <c r="Q539" s="30"/>
    </row>
    <row r="540" spans="2:17">
      <c r="B540" s="30"/>
      <c r="C540" s="11"/>
      <c r="D540" s="11"/>
      <c r="E540" t="str">
        <f>IFERROR(VLOOKUP(D540,Customers!$A:$B,2,FALSE),"")</f>
        <v/>
      </c>
      <c r="F540" s="11"/>
      <c r="G540" t="str">
        <f>IFERROR(VLOOKUP(F540,'Products Index'!$A:$B,2,FALSE),"")</f>
        <v/>
      </c>
      <c r="H540" s="11"/>
      <c r="I540" s="12"/>
      <c r="J540" s="15"/>
      <c r="K540" s="16">
        <f t="shared" si="24"/>
        <v>0</v>
      </c>
      <c r="L540" s="16">
        <f t="shared" si="25"/>
        <v>0</v>
      </c>
      <c r="M540" s="16">
        <f>IFERROR(AVERAGEIF('Production Batches'!$C:$C,F540,'Production Batches'!$L:$L),0)</f>
        <v>0</v>
      </c>
      <c r="N540" s="16">
        <f t="shared" si="26"/>
        <v>0</v>
      </c>
      <c r="P540" s="11"/>
      <c r="Q540" s="30"/>
    </row>
    <row r="541" spans="2:17">
      <c r="B541" s="30"/>
      <c r="C541" s="11"/>
      <c r="D541" s="11"/>
      <c r="E541" t="str">
        <f>IFERROR(VLOOKUP(D541,Customers!$A:$B,2,FALSE),"")</f>
        <v/>
      </c>
      <c r="F541" s="11"/>
      <c r="G541" t="str">
        <f>IFERROR(VLOOKUP(F541,'Products Index'!$A:$B,2,FALSE),"")</f>
        <v/>
      </c>
      <c r="H541" s="11"/>
      <c r="I541" s="12"/>
      <c r="J541" s="15"/>
      <c r="K541" s="16">
        <f t="shared" si="24"/>
        <v>0</v>
      </c>
      <c r="L541" s="16">
        <f t="shared" si="25"/>
        <v>0</v>
      </c>
      <c r="M541" s="16">
        <f>IFERROR(AVERAGEIF('Production Batches'!$C:$C,F541,'Production Batches'!$L:$L),0)</f>
        <v>0</v>
      </c>
      <c r="N541" s="16">
        <f t="shared" si="26"/>
        <v>0</v>
      </c>
      <c r="P541" s="11"/>
      <c r="Q541" s="30"/>
    </row>
    <row r="542" spans="2:17">
      <c r="B542" s="30"/>
      <c r="C542" s="11"/>
      <c r="D542" s="11"/>
      <c r="E542" t="str">
        <f>IFERROR(VLOOKUP(D542,Customers!$A:$B,2,FALSE),"")</f>
        <v/>
      </c>
      <c r="F542" s="11"/>
      <c r="G542" t="str">
        <f>IFERROR(VLOOKUP(F542,'Products Index'!$A:$B,2,FALSE),"")</f>
        <v/>
      </c>
      <c r="H542" s="11"/>
      <c r="I542" s="12"/>
      <c r="J542" s="15"/>
      <c r="K542" s="16">
        <f t="shared" si="24"/>
        <v>0</v>
      </c>
      <c r="L542" s="16">
        <f t="shared" si="25"/>
        <v>0</v>
      </c>
      <c r="M542" s="16">
        <f>IFERROR(AVERAGEIF('Production Batches'!$C:$C,F542,'Production Batches'!$L:$L),0)</f>
        <v>0</v>
      </c>
      <c r="N542" s="16">
        <f t="shared" si="26"/>
        <v>0</v>
      </c>
      <c r="P542" s="11"/>
      <c r="Q542" s="30"/>
    </row>
    <row r="543" spans="2:17">
      <c r="B543" s="30"/>
      <c r="C543" s="11"/>
      <c r="D543" s="11"/>
      <c r="E543" t="str">
        <f>IFERROR(VLOOKUP(D543,Customers!$A:$B,2,FALSE),"")</f>
        <v/>
      </c>
      <c r="F543" s="11"/>
      <c r="G543" t="str">
        <f>IFERROR(VLOOKUP(F543,'Products Index'!$A:$B,2,FALSE),"")</f>
        <v/>
      </c>
      <c r="H543" s="11"/>
      <c r="I543" s="12"/>
      <c r="J543" s="15"/>
      <c r="K543" s="16">
        <f t="shared" si="24"/>
        <v>0</v>
      </c>
      <c r="L543" s="16">
        <f t="shared" si="25"/>
        <v>0</v>
      </c>
      <c r="M543" s="16">
        <f>IFERROR(AVERAGEIF('Production Batches'!$C:$C,F543,'Production Batches'!$L:$L),0)</f>
        <v>0</v>
      </c>
      <c r="N543" s="16">
        <f t="shared" si="26"/>
        <v>0</v>
      </c>
      <c r="P543" s="11"/>
      <c r="Q543" s="30"/>
    </row>
    <row r="544" spans="2:17">
      <c r="B544" s="30"/>
      <c r="C544" s="11"/>
      <c r="D544" s="11"/>
      <c r="E544" t="str">
        <f>IFERROR(VLOOKUP(D544,Customers!$A:$B,2,FALSE),"")</f>
        <v/>
      </c>
      <c r="F544" s="11"/>
      <c r="G544" t="str">
        <f>IFERROR(VLOOKUP(F544,'Products Index'!$A:$B,2,FALSE),"")</f>
        <v/>
      </c>
      <c r="H544" s="11"/>
      <c r="I544" s="12"/>
      <c r="J544" s="15"/>
      <c r="K544" s="16">
        <f t="shared" si="24"/>
        <v>0</v>
      </c>
      <c r="L544" s="16">
        <f t="shared" si="25"/>
        <v>0</v>
      </c>
      <c r="M544" s="16">
        <f>IFERROR(AVERAGEIF('Production Batches'!$C:$C,F544,'Production Batches'!$L:$L),0)</f>
        <v>0</v>
      </c>
      <c r="N544" s="16">
        <f t="shared" si="26"/>
        <v>0</v>
      </c>
      <c r="P544" s="11"/>
      <c r="Q544" s="30"/>
    </row>
    <row r="545" spans="2:17">
      <c r="B545" s="30"/>
      <c r="C545" s="11"/>
      <c r="D545" s="11"/>
      <c r="E545" t="str">
        <f>IFERROR(VLOOKUP(D545,Customers!$A:$B,2,FALSE),"")</f>
        <v/>
      </c>
      <c r="F545" s="11"/>
      <c r="G545" t="str">
        <f>IFERROR(VLOOKUP(F545,'Products Index'!$A:$B,2,FALSE),"")</f>
        <v/>
      </c>
      <c r="H545" s="11"/>
      <c r="I545" s="12"/>
      <c r="J545" s="15"/>
      <c r="K545" s="16">
        <f t="shared" si="24"/>
        <v>0</v>
      </c>
      <c r="L545" s="16">
        <f t="shared" si="25"/>
        <v>0</v>
      </c>
      <c r="M545" s="16">
        <f>IFERROR(AVERAGEIF('Production Batches'!$C:$C,F545,'Production Batches'!$L:$L),0)</f>
        <v>0</v>
      </c>
      <c r="N545" s="16">
        <f t="shared" si="26"/>
        <v>0</v>
      </c>
      <c r="P545" s="11"/>
      <c r="Q545" s="30"/>
    </row>
    <row r="546" spans="2:17">
      <c r="B546" s="30"/>
      <c r="C546" s="11"/>
      <c r="D546" s="11"/>
      <c r="E546" t="str">
        <f>IFERROR(VLOOKUP(D546,Customers!$A:$B,2,FALSE),"")</f>
        <v/>
      </c>
      <c r="F546" s="11"/>
      <c r="G546" t="str">
        <f>IFERROR(VLOOKUP(F546,'Products Index'!$A:$B,2,FALSE),"")</f>
        <v/>
      </c>
      <c r="H546" s="11"/>
      <c r="I546" s="12"/>
      <c r="J546" s="15"/>
      <c r="K546" s="16">
        <f t="shared" si="24"/>
        <v>0</v>
      </c>
      <c r="L546" s="16">
        <f t="shared" si="25"/>
        <v>0</v>
      </c>
      <c r="M546" s="16">
        <f>IFERROR(AVERAGEIF('Production Batches'!$C:$C,F546,'Production Batches'!$L:$L),0)</f>
        <v>0</v>
      </c>
      <c r="N546" s="16">
        <f t="shared" si="26"/>
        <v>0</v>
      </c>
      <c r="P546" s="11"/>
      <c r="Q546" s="30"/>
    </row>
    <row r="547" spans="2:17">
      <c r="B547" s="30"/>
      <c r="C547" s="11"/>
      <c r="D547" s="11"/>
      <c r="E547" t="str">
        <f>IFERROR(VLOOKUP(D547,Customers!$A:$B,2,FALSE),"")</f>
        <v/>
      </c>
      <c r="F547" s="11"/>
      <c r="G547" t="str">
        <f>IFERROR(VLOOKUP(F547,'Products Index'!$A:$B,2,FALSE),"")</f>
        <v/>
      </c>
      <c r="H547" s="11"/>
      <c r="I547" s="12"/>
      <c r="J547" s="15"/>
      <c r="K547" s="16">
        <f t="shared" si="24"/>
        <v>0</v>
      </c>
      <c r="L547" s="16">
        <f t="shared" si="25"/>
        <v>0</v>
      </c>
      <c r="M547" s="16">
        <f>IFERROR(AVERAGEIF('Production Batches'!$C:$C,F547,'Production Batches'!$L:$L),0)</f>
        <v>0</v>
      </c>
      <c r="N547" s="16">
        <f t="shared" si="26"/>
        <v>0</v>
      </c>
      <c r="P547" s="11"/>
      <c r="Q547" s="30"/>
    </row>
    <row r="548" spans="2:17">
      <c r="B548" s="30"/>
      <c r="C548" s="11"/>
      <c r="D548" s="11"/>
      <c r="E548" t="str">
        <f>IFERROR(VLOOKUP(D548,Customers!$A:$B,2,FALSE),"")</f>
        <v/>
      </c>
      <c r="F548" s="11"/>
      <c r="G548" t="str">
        <f>IFERROR(VLOOKUP(F548,'Products Index'!$A:$B,2,FALSE),"")</f>
        <v/>
      </c>
      <c r="H548" s="11"/>
      <c r="I548" s="12"/>
      <c r="J548" s="15"/>
      <c r="K548" s="16">
        <f t="shared" si="24"/>
        <v>0</v>
      </c>
      <c r="L548" s="16">
        <f t="shared" si="25"/>
        <v>0</v>
      </c>
      <c r="M548" s="16">
        <f>IFERROR(AVERAGEIF('Production Batches'!$C:$C,F548,'Production Batches'!$L:$L),0)</f>
        <v>0</v>
      </c>
      <c r="N548" s="16">
        <f t="shared" si="26"/>
        <v>0</v>
      </c>
      <c r="P548" s="11"/>
      <c r="Q548" s="30"/>
    </row>
    <row r="549" spans="2:17">
      <c r="B549" s="30"/>
      <c r="C549" s="11"/>
      <c r="D549" s="11"/>
      <c r="E549" t="str">
        <f>IFERROR(VLOOKUP(D549,Customers!$A:$B,2,FALSE),"")</f>
        <v/>
      </c>
      <c r="F549" s="11"/>
      <c r="G549" t="str">
        <f>IFERROR(VLOOKUP(F549,'Products Index'!$A:$B,2,FALSE),"")</f>
        <v/>
      </c>
      <c r="H549" s="11"/>
      <c r="I549" s="12"/>
      <c r="J549" s="15"/>
      <c r="K549" s="16">
        <f t="shared" si="24"/>
        <v>0</v>
      </c>
      <c r="L549" s="16">
        <f t="shared" si="25"/>
        <v>0</v>
      </c>
      <c r="M549" s="16">
        <f>IFERROR(AVERAGEIF('Production Batches'!$C:$C,F549,'Production Batches'!$L:$L),0)</f>
        <v>0</v>
      </c>
      <c r="N549" s="16">
        <f t="shared" si="26"/>
        <v>0</v>
      </c>
      <c r="P549" s="11"/>
      <c r="Q549" s="30"/>
    </row>
    <row r="550" spans="2:17">
      <c r="B550" s="30"/>
      <c r="C550" s="11"/>
      <c r="D550" s="11"/>
      <c r="E550" t="str">
        <f>IFERROR(VLOOKUP(D550,Customers!$A:$B,2,FALSE),"")</f>
        <v/>
      </c>
      <c r="F550" s="11"/>
      <c r="G550" t="str">
        <f>IFERROR(VLOOKUP(F550,'Products Index'!$A:$B,2,FALSE),"")</f>
        <v/>
      </c>
      <c r="H550" s="11"/>
      <c r="I550" s="12"/>
      <c r="J550" s="15"/>
      <c r="K550" s="16">
        <f t="shared" si="24"/>
        <v>0</v>
      </c>
      <c r="L550" s="16">
        <f t="shared" si="25"/>
        <v>0</v>
      </c>
      <c r="M550" s="16">
        <f>IFERROR(AVERAGEIF('Production Batches'!$C:$C,F550,'Production Batches'!$L:$L),0)</f>
        <v>0</v>
      </c>
      <c r="N550" s="16">
        <f t="shared" si="26"/>
        <v>0</v>
      </c>
      <c r="P550" s="11"/>
      <c r="Q550" s="30"/>
    </row>
    <row r="551" spans="2:17">
      <c r="B551" s="30"/>
      <c r="C551" s="11"/>
      <c r="D551" s="11"/>
      <c r="E551" t="str">
        <f>IFERROR(VLOOKUP(D551,Customers!$A:$B,2,FALSE),"")</f>
        <v/>
      </c>
      <c r="F551" s="11"/>
      <c r="G551" t="str">
        <f>IFERROR(VLOOKUP(F551,'Products Index'!$A:$B,2,FALSE),"")</f>
        <v/>
      </c>
      <c r="H551" s="11"/>
      <c r="I551" s="12"/>
      <c r="J551" s="15"/>
      <c r="K551" s="16">
        <f t="shared" si="24"/>
        <v>0</v>
      </c>
      <c r="L551" s="16">
        <f t="shared" si="25"/>
        <v>0</v>
      </c>
      <c r="M551" s="16">
        <f>IFERROR(AVERAGEIF('Production Batches'!$C:$C,F551,'Production Batches'!$L:$L),0)</f>
        <v>0</v>
      </c>
      <c r="N551" s="16">
        <f t="shared" si="26"/>
        <v>0</v>
      </c>
      <c r="P551" s="11"/>
      <c r="Q551" s="30"/>
    </row>
    <row r="552" spans="2:17">
      <c r="B552" s="30"/>
      <c r="C552" s="11"/>
      <c r="D552" s="11"/>
      <c r="E552" t="str">
        <f>IFERROR(VLOOKUP(D552,Customers!$A:$B,2,FALSE),"")</f>
        <v/>
      </c>
      <c r="F552" s="11"/>
      <c r="G552" t="str">
        <f>IFERROR(VLOOKUP(F552,'Products Index'!$A:$B,2,FALSE),"")</f>
        <v/>
      </c>
      <c r="H552" s="11"/>
      <c r="I552" s="12"/>
      <c r="J552" s="15"/>
      <c r="K552" s="16">
        <f t="shared" si="24"/>
        <v>0</v>
      </c>
      <c r="L552" s="16">
        <f t="shared" si="25"/>
        <v>0</v>
      </c>
      <c r="M552" s="16">
        <f>IFERROR(AVERAGEIF('Production Batches'!$C:$C,F552,'Production Batches'!$L:$L),0)</f>
        <v>0</v>
      </c>
      <c r="N552" s="16">
        <f t="shared" si="26"/>
        <v>0</v>
      </c>
      <c r="P552" s="11"/>
      <c r="Q552" s="30"/>
    </row>
    <row r="553" spans="2:17">
      <c r="B553" s="30"/>
      <c r="C553" s="11"/>
      <c r="D553" s="11"/>
      <c r="E553" t="str">
        <f>IFERROR(VLOOKUP(D553,Customers!$A:$B,2,FALSE),"")</f>
        <v/>
      </c>
      <c r="F553" s="11"/>
      <c r="G553" t="str">
        <f>IFERROR(VLOOKUP(F553,'Products Index'!$A:$B,2,FALSE),"")</f>
        <v/>
      </c>
      <c r="H553" s="11"/>
      <c r="I553" s="12"/>
      <c r="J553" s="15"/>
      <c r="K553" s="16">
        <f t="shared" si="24"/>
        <v>0</v>
      </c>
      <c r="L553" s="16">
        <f t="shared" si="25"/>
        <v>0</v>
      </c>
      <c r="M553" s="16">
        <f>IFERROR(AVERAGEIF('Production Batches'!$C:$C,F553,'Production Batches'!$L:$L),0)</f>
        <v>0</v>
      </c>
      <c r="N553" s="16">
        <f t="shared" si="26"/>
        <v>0</v>
      </c>
      <c r="P553" s="11"/>
      <c r="Q553" s="30"/>
    </row>
    <row r="554" spans="2:17">
      <c r="B554" s="30"/>
      <c r="C554" s="11"/>
      <c r="D554" s="11"/>
      <c r="E554" t="str">
        <f>IFERROR(VLOOKUP(D554,Customers!$A:$B,2,FALSE),"")</f>
        <v/>
      </c>
      <c r="F554" s="11"/>
      <c r="G554" t="str">
        <f>IFERROR(VLOOKUP(F554,'Products Index'!$A:$B,2,FALSE),"")</f>
        <v/>
      </c>
      <c r="H554" s="11"/>
      <c r="I554" s="12"/>
      <c r="J554" s="15"/>
      <c r="K554" s="16">
        <f t="shared" si="24"/>
        <v>0</v>
      </c>
      <c r="L554" s="16">
        <f t="shared" si="25"/>
        <v>0</v>
      </c>
      <c r="M554" s="16">
        <f>IFERROR(AVERAGEIF('Production Batches'!$C:$C,F554,'Production Batches'!$L:$L),0)</f>
        <v>0</v>
      </c>
      <c r="N554" s="16">
        <f t="shared" si="26"/>
        <v>0</v>
      </c>
      <c r="P554" s="11"/>
      <c r="Q554" s="30"/>
    </row>
    <row r="555" spans="2:17">
      <c r="B555" s="30"/>
      <c r="C555" s="11"/>
      <c r="D555" s="11"/>
      <c r="E555" t="str">
        <f>IFERROR(VLOOKUP(D555,Customers!$A:$B,2,FALSE),"")</f>
        <v/>
      </c>
      <c r="F555" s="11"/>
      <c r="G555" t="str">
        <f>IFERROR(VLOOKUP(F555,'Products Index'!$A:$B,2,FALSE),"")</f>
        <v/>
      </c>
      <c r="H555" s="11"/>
      <c r="I555" s="12"/>
      <c r="J555" s="15"/>
      <c r="K555" s="16">
        <f t="shared" si="24"/>
        <v>0</v>
      </c>
      <c r="L555" s="16">
        <f t="shared" si="25"/>
        <v>0</v>
      </c>
      <c r="M555" s="16">
        <f>IFERROR(AVERAGEIF('Production Batches'!$C:$C,F555,'Production Batches'!$L:$L),0)</f>
        <v>0</v>
      </c>
      <c r="N555" s="16">
        <f t="shared" si="26"/>
        <v>0</v>
      </c>
      <c r="P555" s="11"/>
      <c r="Q555" s="30"/>
    </row>
    <row r="556" spans="2:17">
      <c r="B556" s="30"/>
      <c r="C556" s="11"/>
      <c r="D556" s="11"/>
      <c r="E556" t="str">
        <f>IFERROR(VLOOKUP(D556,Customers!$A:$B,2,FALSE),"")</f>
        <v/>
      </c>
      <c r="F556" s="11"/>
      <c r="G556" t="str">
        <f>IFERROR(VLOOKUP(F556,'Products Index'!$A:$B,2,FALSE),"")</f>
        <v/>
      </c>
      <c r="H556" s="11"/>
      <c r="I556" s="12"/>
      <c r="J556" s="15"/>
      <c r="K556" s="16">
        <f t="shared" si="24"/>
        <v>0</v>
      </c>
      <c r="L556" s="16">
        <f t="shared" si="25"/>
        <v>0</v>
      </c>
      <c r="M556" s="16">
        <f>IFERROR(AVERAGEIF('Production Batches'!$C:$C,F556,'Production Batches'!$L:$L),0)</f>
        <v>0</v>
      </c>
      <c r="N556" s="16">
        <f t="shared" si="26"/>
        <v>0</v>
      </c>
      <c r="P556" s="11"/>
      <c r="Q556" s="30"/>
    </row>
    <row r="557" spans="2:17">
      <c r="B557" s="30"/>
      <c r="C557" s="11"/>
      <c r="D557" s="11"/>
      <c r="E557" t="str">
        <f>IFERROR(VLOOKUP(D557,Customers!$A:$B,2,FALSE),"")</f>
        <v/>
      </c>
      <c r="F557" s="11"/>
      <c r="G557" t="str">
        <f>IFERROR(VLOOKUP(F557,'Products Index'!$A:$B,2,FALSE),"")</f>
        <v/>
      </c>
      <c r="H557" s="11"/>
      <c r="I557" s="12"/>
      <c r="J557" s="15"/>
      <c r="K557" s="16">
        <f t="shared" si="24"/>
        <v>0</v>
      </c>
      <c r="L557" s="16">
        <f t="shared" si="25"/>
        <v>0</v>
      </c>
      <c r="M557" s="16">
        <f>IFERROR(AVERAGEIF('Production Batches'!$C:$C,F557,'Production Batches'!$L:$L),0)</f>
        <v>0</v>
      </c>
      <c r="N557" s="16">
        <f t="shared" si="26"/>
        <v>0</v>
      </c>
      <c r="P557" s="11"/>
      <c r="Q557" s="30"/>
    </row>
    <row r="558" spans="2:17">
      <c r="B558" s="30"/>
      <c r="C558" s="11"/>
      <c r="D558" s="11"/>
      <c r="E558" t="str">
        <f>IFERROR(VLOOKUP(D558,Customers!$A:$B,2,FALSE),"")</f>
        <v/>
      </c>
      <c r="F558" s="11"/>
      <c r="G558" t="str">
        <f>IFERROR(VLOOKUP(F558,'Products Index'!$A:$B,2,FALSE),"")</f>
        <v/>
      </c>
      <c r="H558" s="11"/>
      <c r="I558" s="12"/>
      <c r="J558" s="15"/>
      <c r="K558" s="16">
        <f t="shared" si="24"/>
        <v>0</v>
      </c>
      <c r="L558" s="16">
        <f t="shared" si="25"/>
        <v>0</v>
      </c>
      <c r="M558" s="16">
        <f>IFERROR(AVERAGEIF('Production Batches'!$C:$C,F558,'Production Batches'!$L:$L),0)</f>
        <v>0</v>
      </c>
      <c r="N558" s="16">
        <f t="shared" si="26"/>
        <v>0</v>
      </c>
      <c r="P558" s="11"/>
      <c r="Q558" s="30"/>
    </row>
    <row r="559" spans="2:17">
      <c r="B559" s="30"/>
      <c r="C559" s="11"/>
      <c r="D559" s="11"/>
      <c r="E559" t="str">
        <f>IFERROR(VLOOKUP(D559,Customers!$A:$B,2,FALSE),"")</f>
        <v/>
      </c>
      <c r="F559" s="11"/>
      <c r="G559" t="str">
        <f>IFERROR(VLOOKUP(F559,'Products Index'!$A:$B,2,FALSE),"")</f>
        <v/>
      </c>
      <c r="H559" s="11"/>
      <c r="I559" s="12"/>
      <c r="J559" s="15"/>
      <c r="K559" s="16">
        <f t="shared" si="24"/>
        <v>0</v>
      </c>
      <c r="L559" s="16">
        <f t="shared" si="25"/>
        <v>0</v>
      </c>
      <c r="M559" s="16">
        <f>IFERROR(AVERAGEIF('Production Batches'!$C:$C,F559,'Production Batches'!$L:$L),0)</f>
        <v>0</v>
      </c>
      <c r="N559" s="16">
        <f t="shared" si="26"/>
        <v>0</v>
      </c>
      <c r="P559" s="11"/>
      <c r="Q559" s="30"/>
    </row>
    <row r="560" spans="2:17">
      <c r="B560" s="30"/>
      <c r="C560" s="11"/>
      <c r="D560" s="11"/>
      <c r="E560" t="str">
        <f>IFERROR(VLOOKUP(D560,Customers!$A:$B,2,FALSE),"")</f>
        <v/>
      </c>
      <c r="F560" s="11"/>
      <c r="G560" t="str">
        <f>IFERROR(VLOOKUP(F560,'Products Index'!$A:$B,2,FALSE),"")</f>
        <v/>
      </c>
      <c r="H560" s="11"/>
      <c r="I560" s="12"/>
      <c r="J560" s="15"/>
      <c r="K560" s="16">
        <f t="shared" si="24"/>
        <v>0</v>
      </c>
      <c r="L560" s="16">
        <f t="shared" si="25"/>
        <v>0</v>
      </c>
      <c r="M560" s="16">
        <f>IFERROR(AVERAGEIF('Production Batches'!$C:$C,F560,'Production Batches'!$L:$L),0)</f>
        <v>0</v>
      </c>
      <c r="N560" s="16">
        <f t="shared" si="26"/>
        <v>0</v>
      </c>
      <c r="P560" s="11"/>
      <c r="Q560" s="30"/>
    </row>
    <row r="561" spans="2:17">
      <c r="B561" s="30"/>
      <c r="C561" s="11"/>
      <c r="D561" s="11"/>
      <c r="E561" t="str">
        <f>IFERROR(VLOOKUP(D561,Customers!$A:$B,2,FALSE),"")</f>
        <v/>
      </c>
      <c r="F561" s="11"/>
      <c r="G561" t="str">
        <f>IFERROR(VLOOKUP(F561,'Products Index'!$A:$B,2,FALSE),"")</f>
        <v/>
      </c>
      <c r="H561" s="11"/>
      <c r="I561" s="12"/>
      <c r="J561" s="15"/>
      <c r="K561" s="16">
        <f t="shared" si="24"/>
        <v>0</v>
      </c>
      <c r="L561" s="16">
        <f t="shared" si="25"/>
        <v>0</v>
      </c>
      <c r="M561" s="16">
        <f>IFERROR(AVERAGEIF('Production Batches'!$C:$C,F561,'Production Batches'!$L:$L),0)</f>
        <v>0</v>
      </c>
      <c r="N561" s="16">
        <f t="shared" si="26"/>
        <v>0</v>
      </c>
      <c r="P561" s="11"/>
      <c r="Q561" s="30"/>
    </row>
    <row r="562" spans="2:17">
      <c r="B562" s="30"/>
      <c r="C562" s="11"/>
      <c r="D562" s="11"/>
      <c r="E562" t="str">
        <f>IFERROR(VLOOKUP(D562,Customers!$A:$B,2,FALSE),"")</f>
        <v/>
      </c>
      <c r="F562" s="11"/>
      <c r="G562" t="str">
        <f>IFERROR(VLOOKUP(F562,'Products Index'!$A:$B,2,FALSE),"")</f>
        <v/>
      </c>
      <c r="H562" s="11"/>
      <c r="I562" s="12"/>
      <c r="J562" s="15"/>
      <c r="K562" s="16">
        <f t="shared" si="24"/>
        <v>0</v>
      </c>
      <c r="L562" s="16">
        <f t="shared" si="25"/>
        <v>0</v>
      </c>
      <c r="M562" s="16">
        <f>IFERROR(AVERAGEIF('Production Batches'!$C:$C,F562,'Production Batches'!$L:$L),0)</f>
        <v>0</v>
      </c>
      <c r="N562" s="16">
        <f t="shared" si="26"/>
        <v>0</v>
      </c>
      <c r="P562" s="11"/>
      <c r="Q562" s="30"/>
    </row>
    <row r="563" spans="2:17">
      <c r="B563" s="30"/>
      <c r="C563" s="11"/>
      <c r="D563" s="11"/>
      <c r="E563" t="str">
        <f>IFERROR(VLOOKUP(D563,Customers!$A:$B,2,FALSE),"")</f>
        <v/>
      </c>
      <c r="F563" s="11"/>
      <c r="G563" t="str">
        <f>IFERROR(VLOOKUP(F563,'Products Index'!$A:$B,2,FALSE),"")</f>
        <v/>
      </c>
      <c r="H563" s="11"/>
      <c r="I563" s="12"/>
      <c r="J563" s="15"/>
      <c r="K563" s="16">
        <f t="shared" si="24"/>
        <v>0</v>
      </c>
      <c r="L563" s="16">
        <f t="shared" si="25"/>
        <v>0</v>
      </c>
      <c r="M563" s="16">
        <f>IFERROR(AVERAGEIF('Production Batches'!$C:$C,F563,'Production Batches'!$L:$L),0)</f>
        <v>0</v>
      </c>
      <c r="N563" s="16">
        <f t="shared" si="26"/>
        <v>0</v>
      </c>
      <c r="P563" s="11"/>
      <c r="Q563" s="30"/>
    </row>
    <row r="564" spans="2:17">
      <c r="B564" s="30"/>
      <c r="C564" s="11"/>
      <c r="D564" s="11"/>
      <c r="E564" t="str">
        <f>IFERROR(VLOOKUP(D564,Customers!$A:$B,2,FALSE),"")</f>
        <v/>
      </c>
      <c r="F564" s="11"/>
      <c r="G564" t="str">
        <f>IFERROR(VLOOKUP(F564,'Products Index'!$A:$B,2,FALSE),"")</f>
        <v/>
      </c>
      <c r="H564" s="11"/>
      <c r="I564" s="12"/>
      <c r="J564" s="15"/>
      <c r="K564" s="16">
        <f t="shared" si="24"/>
        <v>0</v>
      </c>
      <c r="L564" s="16">
        <f t="shared" si="25"/>
        <v>0</v>
      </c>
      <c r="M564" s="16">
        <f>IFERROR(AVERAGEIF('Production Batches'!$C:$C,F564,'Production Batches'!$L:$L),0)</f>
        <v>0</v>
      </c>
      <c r="N564" s="16">
        <f t="shared" si="26"/>
        <v>0</v>
      </c>
      <c r="P564" s="11"/>
      <c r="Q564" s="30"/>
    </row>
    <row r="565" spans="2:17">
      <c r="B565" s="30"/>
      <c r="C565" s="11"/>
      <c r="D565" s="11"/>
      <c r="E565" t="str">
        <f>IFERROR(VLOOKUP(D565,Customers!$A:$B,2,FALSE),"")</f>
        <v/>
      </c>
      <c r="F565" s="11"/>
      <c r="G565" t="str">
        <f>IFERROR(VLOOKUP(F565,'Products Index'!$A:$B,2,FALSE),"")</f>
        <v/>
      </c>
      <c r="H565" s="11"/>
      <c r="I565" s="12"/>
      <c r="J565" s="15"/>
      <c r="K565" s="16">
        <f t="shared" si="24"/>
        <v>0</v>
      </c>
      <c r="L565" s="16">
        <f t="shared" si="25"/>
        <v>0</v>
      </c>
      <c r="M565" s="16">
        <f>IFERROR(AVERAGEIF('Production Batches'!$C:$C,F565,'Production Batches'!$L:$L),0)</f>
        <v>0</v>
      </c>
      <c r="N565" s="16">
        <f t="shared" si="26"/>
        <v>0</v>
      </c>
      <c r="P565" s="11"/>
      <c r="Q565" s="30"/>
    </row>
    <row r="566" spans="2:17">
      <c r="B566" s="30"/>
      <c r="C566" s="11"/>
      <c r="D566" s="11"/>
      <c r="E566" t="str">
        <f>IFERROR(VLOOKUP(D566,Customers!$A:$B,2,FALSE),"")</f>
        <v/>
      </c>
      <c r="F566" s="11"/>
      <c r="G566" t="str">
        <f>IFERROR(VLOOKUP(F566,'Products Index'!$A:$B,2,FALSE),"")</f>
        <v/>
      </c>
      <c r="H566" s="11"/>
      <c r="I566" s="12"/>
      <c r="J566" s="15"/>
      <c r="K566" s="16">
        <f t="shared" si="24"/>
        <v>0</v>
      </c>
      <c r="L566" s="16">
        <f t="shared" si="25"/>
        <v>0</v>
      </c>
      <c r="M566" s="16">
        <f>IFERROR(AVERAGEIF('Production Batches'!$C:$C,F566,'Production Batches'!$L:$L),0)</f>
        <v>0</v>
      </c>
      <c r="N566" s="16">
        <f t="shared" si="26"/>
        <v>0</v>
      </c>
      <c r="P566" s="11"/>
      <c r="Q566" s="30"/>
    </row>
    <row r="567" spans="2:17">
      <c r="B567" s="30"/>
      <c r="C567" s="11"/>
      <c r="D567" s="11"/>
      <c r="E567" t="str">
        <f>IFERROR(VLOOKUP(D567,Customers!$A:$B,2,FALSE),"")</f>
        <v/>
      </c>
      <c r="F567" s="11"/>
      <c r="G567" t="str">
        <f>IFERROR(VLOOKUP(F567,'Products Index'!$A:$B,2,FALSE),"")</f>
        <v/>
      </c>
      <c r="H567" s="11"/>
      <c r="I567" s="12"/>
      <c r="J567" s="15"/>
      <c r="K567" s="16">
        <f t="shared" si="24"/>
        <v>0</v>
      </c>
      <c r="L567" s="16">
        <f t="shared" si="25"/>
        <v>0</v>
      </c>
      <c r="M567" s="16">
        <f>IFERROR(AVERAGEIF('Production Batches'!$C:$C,F567,'Production Batches'!$L:$L),0)</f>
        <v>0</v>
      </c>
      <c r="N567" s="16">
        <f t="shared" si="26"/>
        <v>0</v>
      </c>
      <c r="P567" s="11"/>
      <c r="Q567" s="30"/>
    </row>
    <row r="568" spans="2:17">
      <c r="B568" s="30"/>
      <c r="C568" s="11"/>
      <c r="D568" s="11"/>
      <c r="E568" t="str">
        <f>IFERROR(VLOOKUP(D568,Customers!$A:$B,2,FALSE),"")</f>
        <v/>
      </c>
      <c r="F568" s="11"/>
      <c r="G568" t="str">
        <f>IFERROR(VLOOKUP(F568,'Products Index'!$A:$B,2,FALSE),"")</f>
        <v/>
      </c>
      <c r="H568" s="11"/>
      <c r="I568" s="12"/>
      <c r="J568" s="15"/>
      <c r="K568" s="16">
        <f t="shared" si="24"/>
        <v>0</v>
      </c>
      <c r="L568" s="16">
        <f t="shared" si="25"/>
        <v>0</v>
      </c>
      <c r="M568" s="16">
        <f>IFERROR(AVERAGEIF('Production Batches'!$C:$C,F568,'Production Batches'!$L:$L),0)</f>
        <v>0</v>
      </c>
      <c r="N568" s="16">
        <f t="shared" si="26"/>
        <v>0</v>
      </c>
      <c r="P568" s="11"/>
      <c r="Q568" s="30"/>
    </row>
    <row r="569" spans="2:17">
      <c r="B569" s="30"/>
      <c r="C569" s="11"/>
      <c r="D569" s="11"/>
      <c r="E569" t="str">
        <f>IFERROR(VLOOKUP(D569,Customers!$A:$B,2,FALSE),"")</f>
        <v/>
      </c>
      <c r="F569" s="11"/>
      <c r="G569" t="str">
        <f>IFERROR(VLOOKUP(F569,'Products Index'!$A:$B,2,FALSE),"")</f>
        <v/>
      </c>
      <c r="H569" s="11"/>
      <c r="I569" s="12"/>
      <c r="J569" s="15"/>
      <c r="K569" s="16">
        <f t="shared" si="24"/>
        <v>0</v>
      </c>
      <c r="L569" s="16">
        <f t="shared" si="25"/>
        <v>0</v>
      </c>
      <c r="M569" s="16">
        <f>IFERROR(AVERAGEIF('Production Batches'!$C:$C,F569,'Production Batches'!$L:$L),0)</f>
        <v>0</v>
      </c>
      <c r="N569" s="16">
        <f t="shared" si="26"/>
        <v>0</v>
      </c>
      <c r="P569" s="11"/>
      <c r="Q569" s="30"/>
    </row>
    <row r="570" spans="2:17">
      <c r="B570" s="30"/>
      <c r="C570" s="11"/>
      <c r="D570" s="11"/>
      <c r="E570" t="str">
        <f>IFERROR(VLOOKUP(D570,Customers!$A:$B,2,FALSE),"")</f>
        <v/>
      </c>
      <c r="F570" s="11"/>
      <c r="G570" t="str">
        <f>IFERROR(VLOOKUP(F570,'Products Index'!$A:$B,2,FALSE),"")</f>
        <v/>
      </c>
      <c r="H570" s="11"/>
      <c r="I570" s="12"/>
      <c r="J570" s="15"/>
      <c r="K570" s="16">
        <f t="shared" si="24"/>
        <v>0</v>
      </c>
      <c r="L570" s="16">
        <f t="shared" si="25"/>
        <v>0</v>
      </c>
      <c r="M570" s="16">
        <f>IFERROR(AVERAGEIF('Production Batches'!$C:$C,F570,'Production Batches'!$L:$L),0)</f>
        <v>0</v>
      </c>
      <c r="N570" s="16">
        <f t="shared" si="26"/>
        <v>0</v>
      </c>
      <c r="P570" s="11"/>
      <c r="Q570" s="30"/>
    </row>
    <row r="571" spans="2:17">
      <c r="B571" s="30"/>
      <c r="C571" s="11"/>
      <c r="D571" s="11"/>
      <c r="E571" t="str">
        <f>IFERROR(VLOOKUP(D571,Customers!$A:$B,2,FALSE),"")</f>
        <v/>
      </c>
      <c r="F571" s="11"/>
      <c r="G571" t="str">
        <f>IFERROR(VLOOKUP(F571,'Products Index'!$A:$B,2,FALSE),"")</f>
        <v/>
      </c>
      <c r="H571" s="11"/>
      <c r="I571" s="12"/>
      <c r="J571" s="15"/>
      <c r="K571" s="16">
        <f t="shared" si="24"/>
        <v>0</v>
      </c>
      <c r="L571" s="16">
        <f t="shared" si="25"/>
        <v>0</v>
      </c>
      <c r="M571" s="16">
        <f>IFERROR(AVERAGEIF('Production Batches'!$C:$C,F571,'Production Batches'!$L:$L),0)</f>
        <v>0</v>
      </c>
      <c r="N571" s="16">
        <f t="shared" si="26"/>
        <v>0</v>
      </c>
      <c r="P571" s="11"/>
      <c r="Q571" s="30"/>
    </row>
    <row r="572" spans="2:17">
      <c r="B572" s="30"/>
      <c r="C572" s="11"/>
      <c r="D572" s="11"/>
      <c r="E572" t="str">
        <f>IFERROR(VLOOKUP(D572,Customers!$A:$B,2,FALSE),"")</f>
        <v/>
      </c>
      <c r="F572" s="11"/>
      <c r="G572" t="str">
        <f>IFERROR(VLOOKUP(F572,'Products Index'!$A:$B,2,FALSE),"")</f>
        <v/>
      </c>
      <c r="H572" s="11"/>
      <c r="I572" s="12"/>
      <c r="J572" s="15"/>
      <c r="K572" s="16">
        <f t="shared" si="24"/>
        <v>0</v>
      </c>
      <c r="L572" s="16">
        <f t="shared" si="25"/>
        <v>0</v>
      </c>
      <c r="M572" s="16">
        <f>IFERROR(AVERAGEIF('Production Batches'!$C:$C,F572,'Production Batches'!$L:$L),0)</f>
        <v>0</v>
      </c>
      <c r="N572" s="16">
        <f t="shared" si="26"/>
        <v>0</v>
      </c>
      <c r="P572" s="11"/>
      <c r="Q572" s="30"/>
    </row>
    <row r="573" spans="2:17">
      <c r="B573" s="30"/>
      <c r="C573" s="11"/>
      <c r="D573" s="11"/>
      <c r="E573" t="str">
        <f>IFERROR(VLOOKUP(D573,Customers!$A:$B,2,FALSE),"")</f>
        <v/>
      </c>
      <c r="F573" s="11"/>
      <c r="G573" t="str">
        <f>IFERROR(VLOOKUP(F573,'Products Index'!$A:$B,2,FALSE),"")</f>
        <v/>
      </c>
      <c r="H573" s="11"/>
      <c r="I573" s="12"/>
      <c r="J573" s="15"/>
      <c r="K573" s="16">
        <f t="shared" si="24"/>
        <v>0</v>
      </c>
      <c r="L573" s="16">
        <f t="shared" si="25"/>
        <v>0</v>
      </c>
      <c r="M573" s="16">
        <f>IFERROR(AVERAGEIF('Production Batches'!$C:$C,F573,'Production Batches'!$L:$L),0)</f>
        <v>0</v>
      </c>
      <c r="N573" s="16">
        <f t="shared" si="26"/>
        <v>0</v>
      </c>
      <c r="P573" s="11"/>
      <c r="Q573" s="30"/>
    </row>
    <row r="574" spans="2:17">
      <c r="B574" s="30"/>
      <c r="C574" s="11"/>
      <c r="D574" s="11"/>
      <c r="E574" t="str">
        <f>IFERROR(VLOOKUP(D574,Customers!$A:$B,2,FALSE),"")</f>
        <v/>
      </c>
      <c r="F574" s="11"/>
      <c r="G574" t="str">
        <f>IFERROR(VLOOKUP(F574,'Products Index'!$A:$B,2,FALSE),"")</f>
        <v/>
      </c>
      <c r="H574" s="11"/>
      <c r="I574" s="12"/>
      <c r="J574" s="15"/>
      <c r="K574" s="16">
        <f t="shared" si="24"/>
        <v>0</v>
      </c>
      <c r="L574" s="16">
        <f t="shared" si="25"/>
        <v>0</v>
      </c>
      <c r="M574" s="16">
        <f>IFERROR(AVERAGEIF('Production Batches'!$C:$C,F574,'Production Batches'!$L:$L),0)</f>
        <v>0</v>
      </c>
      <c r="N574" s="16">
        <f t="shared" si="26"/>
        <v>0</v>
      </c>
      <c r="P574" s="11"/>
      <c r="Q574" s="30"/>
    </row>
    <row r="575" spans="2:17">
      <c r="B575" s="30"/>
      <c r="C575" s="11"/>
      <c r="D575" s="11"/>
      <c r="E575" t="str">
        <f>IFERROR(VLOOKUP(D575,Customers!$A:$B,2,FALSE),"")</f>
        <v/>
      </c>
      <c r="F575" s="11"/>
      <c r="G575" t="str">
        <f>IFERROR(VLOOKUP(F575,'Products Index'!$A:$B,2,FALSE),"")</f>
        <v/>
      </c>
      <c r="H575" s="11"/>
      <c r="I575" s="12"/>
      <c r="J575" s="15"/>
      <c r="K575" s="16">
        <f t="shared" si="24"/>
        <v>0</v>
      </c>
      <c r="L575" s="16">
        <f t="shared" si="25"/>
        <v>0</v>
      </c>
      <c r="M575" s="16">
        <f>IFERROR(AVERAGEIF('Production Batches'!$C:$C,F575,'Production Batches'!$L:$L),0)</f>
        <v>0</v>
      </c>
      <c r="N575" s="16">
        <f t="shared" si="26"/>
        <v>0</v>
      </c>
      <c r="P575" s="11"/>
      <c r="Q575" s="30"/>
    </row>
    <row r="576" spans="2:17">
      <c r="B576" s="30"/>
      <c r="C576" s="11"/>
      <c r="D576" s="11"/>
      <c r="E576" t="str">
        <f>IFERROR(VLOOKUP(D576,Customers!$A:$B,2,FALSE),"")</f>
        <v/>
      </c>
      <c r="F576" s="11"/>
      <c r="G576" t="str">
        <f>IFERROR(VLOOKUP(F576,'Products Index'!$A:$B,2,FALSE),"")</f>
        <v/>
      </c>
      <c r="H576" s="11"/>
      <c r="I576" s="12"/>
      <c r="J576" s="15"/>
      <c r="K576" s="16">
        <f t="shared" si="24"/>
        <v>0</v>
      </c>
      <c r="L576" s="16">
        <f t="shared" si="25"/>
        <v>0</v>
      </c>
      <c r="M576" s="16">
        <f>IFERROR(AVERAGEIF('Production Batches'!$C:$C,F576,'Production Batches'!$L:$L),0)</f>
        <v>0</v>
      </c>
      <c r="N576" s="16">
        <f t="shared" si="26"/>
        <v>0</v>
      </c>
      <c r="P576" s="11"/>
      <c r="Q576" s="30"/>
    </row>
    <row r="577" spans="2:17">
      <c r="B577" s="30"/>
      <c r="C577" s="11"/>
      <c r="D577" s="11"/>
      <c r="E577" t="str">
        <f>IFERROR(VLOOKUP(D577,Customers!$A:$B,2,FALSE),"")</f>
        <v/>
      </c>
      <c r="F577" s="11"/>
      <c r="G577" t="str">
        <f>IFERROR(VLOOKUP(F577,'Products Index'!$A:$B,2,FALSE),"")</f>
        <v/>
      </c>
      <c r="H577" s="11"/>
      <c r="I577" s="12"/>
      <c r="J577" s="15"/>
      <c r="K577" s="16">
        <f t="shared" si="24"/>
        <v>0</v>
      </c>
      <c r="L577" s="16">
        <f t="shared" si="25"/>
        <v>0</v>
      </c>
      <c r="M577" s="16">
        <f>IFERROR(AVERAGEIF('Production Batches'!$C:$C,F577,'Production Batches'!$L:$L),0)</f>
        <v>0</v>
      </c>
      <c r="N577" s="16">
        <f t="shared" si="26"/>
        <v>0</v>
      </c>
      <c r="P577" s="11"/>
      <c r="Q577" s="30"/>
    </row>
    <row r="578" spans="2:17">
      <c r="B578" s="30"/>
      <c r="C578" s="11"/>
      <c r="D578" s="11"/>
      <c r="E578" t="str">
        <f>IFERROR(VLOOKUP(D578,Customers!$A:$B,2,FALSE),"")</f>
        <v/>
      </c>
      <c r="F578" s="11"/>
      <c r="G578" t="str">
        <f>IFERROR(VLOOKUP(F578,'Products Index'!$A:$B,2,FALSE),"")</f>
        <v/>
      </c>
      <c r="H578" s="11"/>
      <c r="I578" s="12"/>
      <c r="J578" s="15"/>
      <c r="K578" s="16">
        <f t="shared" ref="K578:K641" si="27">IFERROR(I578*(1-J578),0)</f>
        <v>0</v>
      </c>
      <c r="L578" s="16">
        <f t="shared" ref="L578:L641" si="28">IFERROR(K578*H578,0)</f>
        <v>0</v>
      </c>
      <c r="M578" s="16">
        <f>IFERROR(AVERAGEIF('Production Batches'!$C:$C,F578,'Production Batches'!$L:$L),0)</f>
        <v>0</v>
      </c>
      <c r="N578" s="16">
        <f t="shared" ref="N578:N641" si="29">IFERROR(L578-(M578*H578),0)</f>
        <v>0</v>
      </c>
      <c r="P578" s="11"/>
      <c r="Q578" s="30"/>
    </row>
    <row r="579" spans="2:17">
      <c r="B579" s="30"/>
      <c r="C579" s="11"/>
      <c r="D579" s="11"/>
      <c r="E579" t="str">
        <f>IFERROR(VLOOKUP(D579,Customers!$A:$B,2,FALSE),"")</f>
        <v/>
      </c>
      <c r="F579" s="11"/>
      <c r="G579" t="str">
        <f>IFERROR(VLOOKUP(F579,'Products Index'!$A:$B,2,FALSE),"")</f>
        <v/>
      </c>
      <c r="H579" s="11"/>
      <c r="I579" s="12"/>
      <c r="J579" s="15"/>
      <c r="K579" s="16">
        <f t="shared" si="27"/>
        <v>0</v>
      </c>
      <c r="L579" s="16">
        <f t="shared" si="28"/>
        <v>0</v>
      </c>
      <c r="M579" s="16">
        <f>IFERROR(AVERAGEIF('Production Batches'!$C:$C,F579,'Production Batches'!$L:$L),0)</f>
        <v>0</v>
      </c>
      <c r="N579" s="16">
        <f t="shared" si="29"/>
        <v>0</v>
      </c>
      <c r="P579" s="11"/>
      <c r="Q579" s="30"/>
    </row>
    <row r="580" spans="2:17">
      <c r="B580" s="30"/>
      <c r="C580" s="11"/>
      <c r="D580" s="11"/>
      <c r="E580" t="str">
        <f>IFERROR(VLOOKUP(D580,Customers!$A:$B,2,FALSE),"")</f>
        <v/>
      </c>
      <c r="F580" s="11"/>
      <c r="G580" t="str">
        <f>IFERROR(VLOOKUP(F580,'Products Index'!$A:$B,2,FALSE),"")</f>
        <v/>
      </c>
      <c r="H580" s="11"/>
      <c r="I580" s="12"/>
      <c r="J580" s="15"/>
      <c r="K580" s="16">
        <f t="shared" si="27"/>
        <v>0</v>
      </c>
      <c r="L580" s="16">
        <f t="shared" si="28"/>
        <v>0</v>
      </c>
      <c r="M580" s="16">
        <f>IFERROR(AVERAGEIF('Production Batches'!$C:$C,F580,'Production Batches'!$L:$L),0)</f>
        <v>0</v>
      </c>
      <c r="N580" s="16">
        <f t="shared" si="29"/>
        <v>0</v>
      </c>
      <c r="P580" s="11"/>
      <c r="Q580" s="30"/>
    </row>
    <row r="581" spans="2:17">
      <c r="B581" s="30"/>
      <c r="C581" s="11"/>
      <c r="D581" s="11"/>
      <c r="E581" t="str">
        <f>IFERROR(VLOOKUP(D581,Customers!$A:$B,2,FALSE),"")</f>
        <v/>
      </c>
      <c r="F581" s="11"/>
      <c r="G581" t="str">
        <f>IFERROR(VLOOKUP(F581,'Products Index'!$A:$B,2,FALSE),"")</f>
        <v/>
      </c>
      <c r="H581" s="11"/>
      <c r="I581" s="12"/>
      <c r="J581" s="15"/>
      <c r="K581" s="16">
        <f t="shared" si="27"/>
        <v>0</v>
      </c>
      <c r="L581" s="16">
        <f t="shared" si="28"/>
        <v>0</v>
      </c>
      <c r="M581" s="16">
        <f>IFERROR(AVERAGEIF('Production Batches'!$C:$C,F581,'Production Batches'!$L:$L),0)</f>
        <v>0</v>
      </c>
      <c r="N581" s="16">
        <f t="shared" si="29"/>
        <v>0</v>
      </c>
      <c r="P581" s="11"/>
      <c r="Q581" s="30"/>
    </row>
    <row r="582" spans="2:17">
      <c r="B582" s="30"/>
      <c r="C582" s="11"/>
      <c r="D582" s="11"/>
      <c r="E582" t="str">
        <f>IFERROR(VLOOKUP(D582,Customers!$A:$B,2,FALSE),"")</f>
        <v/>
      </c>
      <c r="F582" s="11"/>
      <c r="G582" t="str">
        <f>IFERROR(VLOOKUP(F582,'Products Index'!$A:$B,2,FALSE),"")</f>
        <v/>
      </c>
      <c r="H582" s="11"/>
      <c r="I582" s="12"/>
      <c r="J582" s="15"/>
      <c r="K582" s="16">
        <f t="shared" si="27"/>
        <v>0</v>
      </c>
      <c r="L582" s="16">
        <f t="shared" si="28"/>
        <v>0</v>
      </c>
      <c r="M582" s="16">
        <f>IFERROR(AVERAGEIF('Production Batches'!$C:$C,F582,'Production Batches'!$L:$L),0)</f>
        <v>0</v>
      </c>
      <c r="N582" s="16">
        <f t="shared" si="29"/>
        <v>0</v>
      </c>
      <c r="P582" s="11"/>
      <c r="Q582" s="30"/>
    </row>
    <row r="583" spans="2:17">
      <c r="B583" s="30"/>
      <c r="C583" s="11"/>
      <c r="D583" s="11"/>
      <c r="E583" t="str">
        <f>IFERROR(VLOOKUP(D583,Customers!$A:$B,2,FALSE),"")</f>
        <v/>
      </c>
      <c r="F583" s="11"/>
      <c r="G583" t="str">
        <f>IFERROR(VLOOKUP(F583,'Products Index'!$A:$B,2,FALSE),"")</f>
        <v/>
      </c>
      <c r="H583" s="11"/>
      <c r="I583" s="12"/>
      <c r="J583" s="15"/>
      <c r="K583" s="16">
        <f t="shared" si="27"/>
        <v>0</v>
      </c>
      <c r="L583" s="16">
        <f t="shared" si="28"/>
        <v>0</v>
      </c>
      <c r="M583" s="16">
        <f>IFERROR(AVERAGEIF('Production Batches'!$C:$C,F583,'Production Batches'!$L:$L),0)</f>
        <v>0</v>
      </c>
      <c r="N583" s="16">
        <f t="shared" si="29"/>
        <v>0</v>
      </c>
      <c r="P583" s="11"/>
      <c r="Q583" s="30"/>
    </row>
    <row r="584" spans="2:17">
      <c r="B584" s="30"/>
      <c r="C584" s="11"/>
      <c r="D584" s="11"/>
      <c r="E584" t="str">
        <f>IFERROR(VLOOKUP(D584,Customers!$A:$B,2,FALSE),"")</f>
        <v/>
      </c>
      <c r="F584" s="11"/>
      <c r="G584" t="str">
        <f>IFERROR(VLOOKUP(F584,'Products Index'!$A:$B,2,FALSE),"")</f>
        <v/>
      </c>
      <c r="H584" s="11"/>
      <c r="I584" s="12"/>
      <c r="J584" s="15"/>
      <c r="K584" s="16">
        <f t="shared" si="27"/>
        <v>0</v>
      </c>
      <c r="L584" s="16">
        <f t="shared" si="28"/>
        <v>0</v>
      </c>
      <c r="M584" s="16">
        <f>IFERROR(AVERAGEIF('Production Batches'!$C:$C,F584,'Production Batches'!$L:$L),0)</f>
        <v>0</v>
      </c>
      <c r="N584" s="16">
        <f t="shared" si="29"/>
        <v>0</v>
      </c>
      <c r="P584" s="11"/>
      <c r="Q584" s="30"/>
    </row>
    <row r="585" spans="2:17">
      <c r="B585" s="30"/>
      <c r="C585" s="11"/>
      <c r="D585" s="11"/>
      <c r="E585" t="str">
        <f>IFERROR(VLOOKUP(D585,Customers!$A:$B,2,FALSE),"")</f>
        <v/>
      </c>
      <c r="F585" s="11"/>
      <c r="G585" t="str">
        <f>IFERROR(VLOOKUP(F585,'Products Index'!$A:$B,2,FALSE),"")</f>
        <v/>
      </c>
      <c r="H585" s="11"/>
      <c r="I585" s="12"/>
      <c r="J585" s="15"/>
      <c r="K585" s="16">
        <f t="shared" si="27"/>
        <v>0</v>
      </c>
      <c r="L585" s="16">
        <f t="shared" si="28"/>
        <v>0</v>
      </c>
      <c r="M585" s="16">
        <f>IFERROR(AVERAGEIF('Production Batches'!$C:$C,F585,'Production Batches'!$L:$L),0)</f>
        <v>0</v>
      </c>
      <c r="N585" s="16">
        <f t="shared" si="29"/>
        <v>0</v>
      </c>
      <c r="P585" s="11"/>
      <c r="Q585" s="30"/>
    </row>
    <row r="586" spans="2:17">
      <c r="B586" s="30"/>
      <c r="C586" s="11"/>
      <c r="D586" s="11"/>
      <c r="E586" t="str">
        <f>IFERROR(VLOOKUP(D586,Customers!$A:$B,2,FALSE),"")</f>
        <v/>
      </c>
      <c r="F586" s="11"/>
      <c r="G586" t="str">
        <f>IFERROR(VLOOKUP(F586,'Products Index'!$A:$B,2,FALSE),"")</f>
        <v/>
      </c>
      <c r="H586" s="11"/>
      <c r="I586" s="12"/>
      <c r="J586" s="15"/>
      <c r="K586" s="16">
        <f t="shared" si="27"/>
        <v>0</v>
      </c>
      <c r="L586" s="16">
        <f t="shared" si="28"/>
        <v>0</v>
      </c>
      <c r="M586" s="16">
        <f>IFERROR(AVERAGEIF('Production Batches'!$C:$C,F586,'Production Batches'!$L:$L),0)</f>
        <v>0</v>
      </c>
      <c r="N586" s="16">
        <f t="shared" si="29"/>
        <v>0</v>
      </c>
      <c r="P586" s="11"/>
      <c r="Q586" s="30"/>
    </row>
    <row r="587" spans="2:17">
      <c r="B587" s="30"/>
      <c r="C587" s="11"/>
      <c r="D587" s="11"/>
      <c r="E587" t="str">
        <f>IFERROR(VLOOKUP(D587,Customers!$A:$B,2,FALSE),"")</f>
        <v/>
      </c>
      <c r="F587" s="11"/>
      <c r="G587" t="str">
        <f>IFERROR(VLOOKUP(F587,'Products Index'!$A:$B,2,FALSE),"")</f>
        <v/>
      </c>
      <c r="H587" s="11"/>
      <c r="I587" s="12"/>
      <c r="J587" s="15"/>
      <c r="K587" s="16">
        <f t="shared" si="27"/>
        <v>0</v>
      </c>
      <c r="L587" s="16">
        <f t="shared" si="28"/>
        <v>0</v>
      </c>
      <c r="M587" s="16">
        <f>IFERROR(AVERAGEIF('Production Batches'!$C:$C,F587,'Production Batches'!$L:$L),0)</f>
        <v>0</v>
      </c>
      <c r="N587" s="16">
        <f t="shared" si="29"/>
        <v>0</v>
      </c>
      <c r="P587" s="11"/>
      <c r="Q587" s="30"/>
    </row>
    <row r="588" spans="2:17">
      <c r="B588" s="30"/>
      <c r="C588" s="11"/>
      <c r="D588" s="11"/>
      <c r="E588" t="str">
        <f>IFERROR(VLOOKUP(D588,Customers!$A:$B,2,FALSE),"")</f>
        <v/>
      </c>
      <c r="F588" s="11"/>
      <c r="G588" t="str">
        <f>IFERROR(VLOOKUP(F588,'Products Index'!$A:$B,2,FALSE),"")</f>
        <v/>
      </c>
      <c r="H588" s="11"/>
      <c r="I588" s="12"/>
      <c r="J588" s="15"/>
      <c r="K588" s="16">
        <f t="shared" si="27"/>
        <v>0</v>
      </c>
      <c r="L588" s="16">
        <f t="shared" si="28"/>
        <v>0</v>
      </c>
      <c r="M588" s="16">
        <f>IFERROR(AVERAGEIF('Production Batches'!$C:$C,F588,'Production Batches'!$L:$L),0)</f>
        <v>0</v>
      </c>
      <c r="N588" s="16">
        <f t="shared" si="29"/>
        <v>0</v>
      </c>
      <c r="P588" s="11"/>
      <c r="Q588" s="30"/>
    </row>
    <row r="589" spans="2:17">
      <c r="B589" s="30"/>
      <c r="C589" s="11"/>
      <c r="D589" s="11"/>
      <c r="E589" t="str">
        <f>IFERROR(VLOOKUP(D589,Customers!$A:$B,2,FALSE),"")</f>
        <v/>
      </c>
      <c r="F589" s="11"/>
      <c r="G589" t="str">
        <f>IFERROR(VLOOKUP(F589,'Products Index'!$A:$B,2,FALSE),"")</f>
        <v/>
      </c>
      <c r="H589" s="11"/>
      <c r="I589" s="12"/>
      <c r="J589" s="15"/>
      <c r="K589" s="16">
        <f t="shared" si="27"/>
        <v>0</v>
      </c>
      <c r="L589" s="16">
        <f t="shared" si="28"/>
        <v>0</v>
      </c>
      <c r="M589" s="16">
        <f>IFERROR(AVERAGEIF('Production Batches'!$C:$C,F589,'Production Batches'!$L:$L),0)</f>
        <v>0</v>
      </c>
      <c r="N589" s="16">
        <f t="shared" si="29"/>
        <v>0</v>
      </c>
      <c r="P589" s="11"/>
      <c r="Q589" s="30"/>
    </row>
    <row r="590" spans="2:17">
      <c r="B590" s="30"/>
      <c r="C590" s="11"/>
      <c r="D590" s="11"/>
      <c r="E590" t="str">
        <f>IFERROR(VLOOKUP(D590,Customers!$A:$B,2,FALSE),"")</f>
        <v/>
      </c>
      <c r="F590" s="11"/>
      <c r="G590" t="str">
        <f>IFERROR(VLOOKUP(F590,'Products Index'!$A:$B,2,FALSE),"")</f>
        <v/>
      </c>
      <c r="H590" s="11"/>
      <c r="I590" s="12"/>
      <c r="J590" s="15"/>
      <c r="K590" s="16">
        <f t="shared" si="27"/>
        <v>0</v>
      </c>
      <c r="L590" s="16">
        <f t="shared" si="28"/>
        <v>0</v>
      </c>
      <c r="M590" s="16">
        <f>IFERROR(AVERAGEIF('Production Batches'!$C:$C,F590,'Production Batches'!$L:$L),0)</f>
        <v>0</v>
      </c>
      <c r="N590" s="16">
        <f t="shared" si="29"/>
        <v>0</v>
      </c>
      <c r="P590" s="11"/>
      <c r="Q590" s="30"/>
    </row>
    <row r="591" spans="2:17">
      <c r="B591" s="30"/>
      <c r="C591" s="11"/>
      <c r="D591" s="11"/>
      <c r="E591" t="str">
        <f>IFERROR(VLOOKUP(D591,Customers!$A:$B,2,FALSE),"")</f>
        <v/>
      </c>
      <c r="F591" s="11"/>
      <c r="G591" t="str">
        <f>IFERROR(VLOOKUP(F591,'Products Index'!$A:$B,2,FALSE),"")</f>
        <v/>
      </c>
      <c r="H591" s="11"/>
      <c r="I591" s="12"/>
      <c r="J591" s="15"/>
      <c r="K591" s="16">
        <f t="shared" si="27"/>
        <v>0</v>
      </c>
      <c r="L591" s="16">
        <f t="shared" si="28"/>
        <v>0</v>
      </c>
      <c r="M591" s="16">
        <f>IFERROR(AVERAGEIF('Production Batches'!$C:$C,F591,'Production Batches'!$L:$L),0)</f>
        <v>0</v>
      </c>
      <c r="N591" s="16">
        <f t="shared" si="29"/>
        <v>0</v>
      </c>
      <c r="P591" s="11"/>
      <c r="Q591" s="30"/>
    </row>
    <row r="592" spans="2:17">
      <c r="B592" s="30"/>
      <c r="C592" s="11"/>
      <c r="D592" s="11"/>
      <c r="E592" t="str">
        <f>IFERROR(VLOOKUP(D592,Customers!$A:$B,2,FALSE),"")</f>
        <v/>
      </c>
      <c r="F592" s="11"/>
      <c r="G592" t="str">
        <f>IFERROR(VLOOKUP(F592,'Products Index'!$A:$B,2,FALSE),"")</f>
        <v/>
      </c>
      <c r="H592" s="11"/>
      <c r="I592" s="12"/>
      <c r="J592" s="15"/>
      <c r="K592" s="16">
        <f t="shared" si="27"/>
        <v>0</v>
      </c>
      <c r="L592" s="16">
        <f t="shared" si="28"/>
        <v>0</v>
      </c>
      <c r="M592" s="16">
        <f>IFERROR(AVERAGEIF('Production Batches'!$C:$C,F592,'Production Batches'!$L:$L),0)</f>
        <v>0</v>
      </c>
      <c r="N592" s="16">
        <f t="shared" si="29"/>
        <v>0</v>
      </c>
      <c r="P592" s="11"/>
      <c r="Q592" s="30"/>
    </row>
    <row r="593" spans="2:17">
      <c r="B593" s="30"/>
      <c r="C593" s="11"/>
      <c r="D593" s="11"/>
      <c r="E593" t="str">
        <f>IFERROR(VLOOKUP(D593,Customers!$A:$B,2,FALSE),"")</f>
        <v/>
      </c>
      <c r="F593" s="11"/>
      <c r="G593" t="str">
        <f>IFERROR(VLOOKUP(F593,'Products Index'!$A:$B,2,FALSE),"")</f>
        <v/>
      </c>
      <c r="H593" s="11"/>
      <c r="I593" s="12"/>
      <c r="J593" s="15"/>
      <c r="K593" s="16">
        <f t="shared" si="27"/>
        <v>0</v>
      </c>
      <c r="L593" s="16">
        <f t="shared" si="28"/>
        <v>0</v>
      </c>
      <c r="M593" s="16">
        <f>IFERROR(AVERAGEIF('Production Batches'!$C:$C,F593,'Production Batches'!$L:$L),0)</f>
        <v>0</v>
      </c>
      <c r="N593" s="16">
        <f t="shared" si="29"/>
        <v>0</v>
      </c>
      <c r="P593" s="11"/>
      <c r="Q593" s="30"/>
    </row>
    <row r="594" spans="2:17">
      <c r="B594" s="30"/>
      <c r="C594" s="11"/>
      <c r="D594" s="11"/>
      <c r="E594" t="str">
        <f>IFERROR(VLOOKUP(D594,Customers!$A:$B,2,FALSE),"")</f>
        <v/>
      </c>
      <c r="F594" s="11"/>
      <c r="G594" t="str">
        <f>IFERROR(VLOOKUP(F594,'Products Index'!$A:$B,2,FALSE),"")</f>
        <v/>
      </c>
      <c r="H594" s="11"/>
      <c r="I594" s="12"/>
      <c r="J594" s="15"/>
      <c r="K594" s="16">
        <f t="shared" si="27"/>
        <v>0</v>
      </c>
      <c r="L594" s="16">
        <f t="shared" si="28"/>
        <v>0</v>
      </c>
      <c r="M594" s="16">
        <f>IFERROR(AVERAGEIF('Production Batches'!$C:$C,F594,'Production Batches'!$L:$L),0)</f>
        <v>0</v>
      </c>
      <c r="N594" s="16">
        <f t="shared" si="29"/>
        <v>0</v>
      </c>
      <c r="P594" s="11"/>
      <c r="Q594" s="30"/>
    </row>
    <row r="595" spans="2:17">
      <c r="B595" s="30"/>
      <c r="C595" s="11"/>
      <c r="D595" s="11"/>
      <c r="E595" t="str">
        <f>IFERROR(VLOOKUP(D595,Customers!$A:$B,2,FALSE),"")</f>
        <v/>
      </c>
      <c r="F595" s="11"/>
      <c r="G595" t="str">
        <f>IFERROR(VLOOKUP(F595,'Products Index'!$A:$B,2,FALSE),"")</f>
        <v/>
      </c>
      <c r="H595" s="11"/>
      <c r="I595" s="12"/>
      <c r="J595" s="15"/>
      <c r="K595" s="16">
        <f t="shared" si="27"/>
        <v>0</v>
      </c>
      <c r="L595" s="16">
        <f t="shared" si="28"/>
        <v>0</v>
      </c>
      <c r="M595" s="16">
        <f>IFERROR(AVERAGEIF('Production Batches'!$C:$C,F595,'Production Batches'!$L:$L),0)</f>
        <v>0</v>
      </c>
      <c r="N595" s="16">
        <f t="shared" si="29"/>
        <v>0</v>
      </c>
      <c r="P595" s="11"/>
      <c r="Q595" s="30"/>
    </row>
    <row r="596" spans="2:17">
      <c r="B596" s="30"/>
      <c r="C596" s="11"/>
      <c r="D596" s="11"/>
      <c r="E596" t="str">
        <f>IFERROR(VLOOKUP(D596,Customers!$A:$B,2,FALSE),"")</f>
        <v/>
      </c>
      <c r="F596" s="11"/>
      <c r="G596" t="str">
        <f>IFERROR(VLOOKUP(F596,'Products Index'!$A:$B,2,FALSE),"")</f>
        <v/>
      </c>
      <c r="H596" s="11"/>
      <c r="I596" s="12"/>
      <c r="J596" s="15"/>
      <c r="K596" s="16">
        <f t="shared" si="27"/>
        <v>0</v>
      </c>
      <c r="L596" s="16">
        <f t="shared" si="28"/>
        <v>0</v>
      </c>
      <c r="M596" s="16">
        <f>IFERROR(AVERAGEIF('Production Batches'!$C:$C,F596,'Production Batches'!$L:$L),0)</f>
        <v>0</v>
      </c>
      <c r="N596" s="16">
        <f t="shared" si="29"/>
        <v>0</v>
      </c>
      <c r="P596" s="11"/>
      <c r="Q596" s="30"/>
    </row>
    <row r="597" spans="2:17">
      <c r="B597" s="30"/>
      <c r="C597" s="11"/>
      <c r="D597" s="11"/>
      <c r="E597" t="str">
        <f>IFERROR(VLOOKUP(D597,Customers!$A:$B,2,FALSE),"")</f>
        <v/>
      </c>
      <c r="F597" s="11"/>
      <c r="G597" t="str">
        <f>IFERROR(VLOOKUP(F597,'Products Index'!$A:$B,2,FALSE),"")</f>
        <v/>
      </c>
      <c r="H597" s="11"/>
      <c r="I597" s="12"/>
      <c r="J597" s="15"/>
      <c r="K597" s="16">
        <f t="shared" si="27"/>
        <v>0</v>
      </c>
      <c r="L597" s="16">
        <f t="shared" si="28"/>
        <v>0</v>
      </c>
      <c r="M597" s="16">
        <f>IFERROR(AVERAGEIF('Production Batches'!$C:$C,F597,'Production Batches'!$L:$L),0)</f>
        <v>0</v>
      </c>
      <c r="N597" s="16">
        <f t="shared" si="29"/>
        <v>0</v>
      </c>
      <c r="P597" s="11"/>
      <c r="Q597" s="30"/>
    </row>
    <row r="598" spans="2:17">
      <c r="B598" s="30"/>
      <c r="C598" s="11"/>
      <c r="D598" s="11"/>
      <c r="E598" t="str">
        <f>IFERROR(VLOOKUP(D598,Customers!$A:$B,2,FALSE),"")</f>
        <v/>
      </c>
      <c r="F598" s="11"/>
      <c r="G598" t="str">
        <f>IFERROR(VLOOKUP(F598,'Products Index'!$A:$B,2,FALSE),"")</f>
        <v/>
      </c>
      <c r="H598" s="11"/>
      <c r="I598" s="12"/>
      <c r="J598" s="15"/>
      <c r="K598" s="16">
        <f t="shared" si="27"/>
        <v>0</v>
      </c>
      <c r="L598" s="16">
        <f t="shared" si="28"/>
        <v>0</v>
      </c>
      <c r="M598" s="16">
        <f>IFERROR(AVERAGEIF('Production Batches'!$C:$C,F598,'Production Batches'!$L:$L),0)</f>
        <v>0</v>
      </c>
      <c r="N598" s="16">
        <f t="shared" si="29"/>
        <v>0</v>
      </c>
      <c r="P598" s="11"/>
      <c r="Q598" s="30"/>
    </row>
    <row r="599" spans="2:17">
      <c r="B599" s="30"/>
      <c r="C599" s="11"/>
      <c r="D599" s="11"/>
      <c r="E599" t="str">
        <f>IFERROR(VLOOKUP(D599,Customers!$A:$B,2,FALSE),"")</f>
        <v/>
      </c>
      <c r="F599" s="11"/>
      <c r="G599" t="str">
        <f>IFERROR(VLOOKUP(F599,'Products Index'!$A:$B,2,FALSE),"")</f>
        <v/>
      </c>
      <c r="H599" s="11"/>
      <c r="I599" s="12"/>
      <c r="J599" s="15"/>
      <c r="K599" s="16">
        <f t="shared" si="27"/>
        <v>0</v>
      </c>
      <c r="L599" s="16">
        <f t="shared" si="28"/>
        <v>0</v>
      </c>
      <c r="M599" s="16">
        <f>IFERROR(AVERAGEIF('Production Batches'!$C:$C,F599,'Production Batches'!$L:$L),0)</f>
        <v>0</v>
      </c>
      <c r="N599" s="16">
        <f t="shared" si="29"/>
        <v>0</v>
      </c>
      <c r="P599" s="11"/>
      <c r="Q599" s="30"/>
    </row>
    <row r="600" spans="2:17">
      <c r="B600" s="30"/>
      <c r="C600" s="11"/>
      <c r="D600" s="11"/>
      <c r="E600" t="str">
        <f>IFERROR(VLOOKUP(D600,Customers!$A:$B,2,FALSE),"")</f>
        <v/>
      </c>
      <c r="F600" s="11"/>
      <c r="G600" t="str">
        <f>IFERROR(VLOOKUP(F600,'Products Index'!$A:$B,2,FALSE),"")</f>
        <v/>
      </c>
      <c r="H600" s="11"/>
      <c r="I600" s="12"/>
      <c r="J600" s="15"/>
      <c r="K600" s="16">
        <f t="shared" si="27"/>
        <v>0</v>
      </c>
      <c r="L600" s="16">
        <f t="shared" si="28"/>
        <v>0</v>
      </c>
      <c r="M600" s="16">
        <f>IFERROR(AVERAGEIF('Production Batches'!$C:$C,F600,'Production Batches'!$L:$L),0)</f>
        <v>0</v>
      </c>
      <c r="N600" s="16">
        <f t="shared" si="29"/>
        <v>0</v>
      </c>
      <c r="P600" s="11"/>
      <c r="Q600" s="30"/>
    </row>
    <row r="601" spans="2:17">
      <c r="B601" s="30"/>
      <c r="C601" s="11"/>
      <c r="D601" s="11"/>
      <c r="E601" t="str">
        <f>IFERROR(VLOOKUP(D601,Customers!$A:$B,2,FALSE),"")</f>
        <v/>
      </c>
      <c r="F601" s="11"/>
      <c r="G601" t="str">
        <f>IFERROR(VLOOKUP(F601,'Products Index'!$A:$B,2,FALSE),"")</f>
        <v/>
      </c>
      <c r="H601" s="11"/>
      <c r="I601" s="12"/>
      <c r="J601" s="15"/>
      <c r="K601" s="16">
        <f t="shared" si="27"/>
        <v>0</v>
      </c>
      <c r="L601" s="16">
        <f t="shared" si="28"/>
        <v>0</v>
      </c>
      <c r="M601" s="16">
        <f>IFERROR(AVERAGEIF('Production Batches'!$C:$C,F601,'Production Batches'!$L:$L),0)</f>
        <v>0</v>
      </c>
      <c r="N601" s="16">
        <f t="shared" si="29"/>
        <v>0</v>
      </c>
      <c r="P601" s="11"/>
      <c r="Q601" s="30"/>
    </row>
    <row r="602" spans="2:17">
      <c r="B602" s="30"/>
      <c r="C602" s="11"/>
      <c r="D602" s="11"/>
      <c r="E602" t="str">
        <f>IFERROR(VLOOKUP(D602,Customers!$A:$B,2,FALSE),"")</f>
        <v/>
      </c>
      <c r="F602" s="11"/>
      <c r="G602" t="str">
        <f>IFERROR(VLOOKUP(F602,'Products Index'!$A:$B,2,FALSE),"")</f>
        <v/>
      </c>
      <c r="H602" s="11"/>
      <c r="I602" s="12"/>
      <c r="J602" s="15"/>
      <c r="K602" s="16">
        <f t="shared" si="27"/>
        <v>0</v>
      </c>
      <c r="L602" s="16">
        <f t="shared" si="28"/>
        <v>0</v>
      </c>
      <c r="M602" s="16">
        <f>IFERROR(AVERAGEIF('Production Batches'!$C:$C,F602,'Production Batches'!$L:$L),0)</f>
        <v>0</v>
      </c>
      <c r="N602" s="16">
        <f t="shared" si="29"/>
        <v>0</v>
      </c>
      <c r="P602" s="11"/>
      <c r="Q602" s="30"/>
    </row>
    <row r="603" spans="2:17">
      <c r="B603" s="30"/>
      <c r="C603" s="11"/>
      <c r="D603" s="11"/>
      <c r="E603" t="str">
        <f>IFERROR(VLOOKUP(D603,Customers!$A:$B,2,FALSE),"")</f>
        <v/>
      </c>
      <c r="F603" s="11"/>
      <c r="G603" t="str">
        <f>IFERROR(VLOOKUP(F603,'Products Index'!$A:$B,2,FALSE),"")</f>
        <v/>
      </c>
      <c r="H603" s="11"/>
      <c r="I603" s="12"/>
      <c r="J603" s="15"/>
      <c r="K603" s="16">
        <f t="shared" si="27"/>
        <v>0</v>
      </c>
      <c r="L603" s="16">
        <f t="shared" si="28"/>
        <v>0</v>
      </c>
      <c r="M603" s="16">
        <f>IFERROR(AVERAGEIF('Production Batches'!$C:$C,F603,'Production Batches'!$L:$L),0)</f>
        <v>0</v>
      </c>
      <c r="N603" s="16">
        <f t="shared" si="29"/>
        <v>0</v>
      </c>
      <c r="P603" s="11"/>
      <c r="Q603" s="30"/>
    </row>
    <row r="604" spans="2:17">
      <c r="B604" s="30"/>
      <c r="C604" s="11"/>
      <c r="D604" s="11"/>
      <c r="E604" t="str">
        <f>IFERROR(VLOOKUP(D604,Customers!$A:$B,2,FALSE),"")</f>
        <v/>
      </c>
      <c r="F604" s="11"/>
      <c r="G604" t="str">
        <f>IFERROR(VLOOKUP(F604,'Products Index'!$A:$B,2,FALSE),"")</f>
        <v/>
      </c>
      <c r="H604" s="11"/>
      <c r="I604" s="12"/>
      <c r="J604" s="15"/>
      <c r="K604" s="16">
        <f t="shared" si="27"/>
        <v>0</v>
      </c>
      <c r="L604" s="16">
        <f t="shared" si="28"/>
        <v>0</v>
      </c>
      <c r="M604" s="16">
        <f>IFERROR(AVERAGEIF('Production Batches'!$C:$C,F604,'Production Batches'!$L:$L),0)</f>
        <v>0</v>
      </c>
      <c r="N604" s="16">
        <f t="shared" si="29"/>
        <v>0</v>
      </c>
      <c r="P604" s="11"/>
      <c r="Q604" s="30"/>
    </row>
    <row r="605" spans="2:17">
      <c r="B605" s="30"/>
      <c r="C605" s="11"/>
      <c r="D605" s="11"/>
      <c r="E605" t="str">
        <f>IFERROR(VLOOKUP(D605,Customers!$A:$B,2,FALSE),"")</f>
        <v/>
      </c>
      <c r="F605" s="11"/>
      <c r="G605" t="str">
        <f>IFERROR(VLOOKUP(F605,'Products Index'!$A:$B,2,FALSE),"")</f>
        <v/>
      </c>
      <c r="H605" s="11"/>
      <c r="I605" s="12"/>
      <c r="J605" s="15"/>
      <c r="K605" s="16">
        <f t="shared" si="27"/>
        <v>0</v>
      </c>
      <c r="L605" s="16">
        <f t="shared" si="28"/>
        <v>0</v>
      </c>
      <c r="M605" s="16">
        <f>IFERROR(AVERAGEIF('Production Batches'!$C:$C,F605,'Production Batches'!$L:$L),0)</f>
        <v>0</v>
      </c>
      <c r="N605" s="16">
        <f t="shared" si="29"/>
        <v>0</v>
      </c>
      <c r="P605" s="11"/>
      <c r="Q605" s="30"/>
    </row>
    <row r="606" spans="2:17">
      <c r="B606" s="30"/>
      <c r="C606" s="11"/>
      <c r="D606" s="11"/>
      <c r="E606" t="str">
        <f>IFERROR(VLOOKUP(D606,Customers!$A:$B,2,FALSE),"")</f>
        <v/>
      </c>
      <c r="F606" s="11"/>
      <c r="G606" t="str">
        <f>IFERROR(VLOOKUP(F606,'Products Index'!$A:$B,2,FALSE),"")</f>
        <v/>
      </c>
      <c r="H606" s="11"/>
      <c r="I606" s="12"/>
      <c r="J606" s="15"/>
      <c r="K606" s="16">
        <f t="shared" si="27"/>
        <v>0</v>
      </c>
      <c r="L606" s="16">
        <f t="shared" si="28"/>
        <v>0</v>
      </c>
      <c r="M606" s="16">
        <f>IFERROR(AVERAGEIF('Production Batches'!$C:$C,F606,'Production Batches'!$L:$L),0)</f>
        <v>0</v>
      </c>
      <c r="N606" s="16">
        <f t="shared" si="29"/>
        <v>0</v>
      </c>
      <c r="P606" s="11"/>
      <c r="Q606" s="30"/>
    </row>
    <row r="607" spans="2:17">
      <c r="B607" s="30"/>
      <c r="C607" s="11"/>
      <c r="D607" s="11"/>
      <c r="E607" t="str">
        <f>IFERROR(VLOOKUP(D607,Customers!$A:$B,2,FALSE),"")</f>
        <v/>
      </c>
      <c r="F607" s="11"/>
      <c r="G607" t="str">
        <f>IFERROR(VLOOKUP(F607,'Products Index'!$A:$B,2,FALSE),"")</f>
        <v/>
      </c>
      <c r="H607" s="11"/>
      <c r="I607" s="12"/>
      <c r="J607" s="15"/>
      <c r="K607" s="16">
        <f t="shared" si="27"/>
        <v>0</v>
      </c>
      <c r="L607" s="16">
        <f t="shared" si="28"/>
        <v>0</v>
      </c>
      <c r="M607" s="16">
        <f>IFERROR(AVERAGEIF('Production Batches'!$C:$C,F607,'Production Batches'!$L:$L),0)</f>
        <v>0</v>
      </c>
      <c r="N607" s="16">
        <f t="shared" si="29"/>
        <v>0</v>
      </c>
      <c r="P607" s="11"/>
      <c r="Q607" s="30"/>
    </row>
    <row r="608" spans="2:17">
      <c r="B608" s="30"/>
      <c r="C608" s="11"/>
      <c r="D608" s="11"/>
      <c r="E608" t="str">
        <f>IFERROR(VLOOKUP(D608,Customers!$A:$B,2,FALSE),"")</f>
        <v/>
      </c>
      <c r="F608" s="11"/>
      <c r="G608" t="str">
        <f>IFERROR(VLOOKUP(F608,'Products Index'!$A:$B,2,FALSE),"")</f>
        <v/>
      </c>
      <c r="H608" s="11"/>
      <c r="I608" s="12"/>
      <c r="J608" s="15"/>
      <c r="K608" s="16">
        <f t="shared" si="27"/>
        <v>0</v>
      </c>
      <c r="L608" s="16">
        <f t="shared" si="28"/>
        <v>0</v>
      </c>
      <c r="M608" s="16">
        <f>IFERROR(AVERAGEIF('Production Batches'!$C:$C,F608,'Production Batches'!$L:$L),0)</f>
        <v>0</v>
      </c>
      <c r="N608" s="16">
        <f t="shared" si="29"/>
        <v>0</v>
      </c>
      <c r="P608" s="11"/>
      <c r="Q608" s="30"/>
    </row>
    <row r="609" spans="2:17">
      <c r="B609" s="30"/>
      <c r="C609" s="11"/>
      <c r="D609" s="11"/>
      <c r="E609" t="str">
        <f>IFERROR(VLOOKUP(D609,Customers!$A:$B,2,FALSE),"")</f>
        <v/>
      </c>
      <c r="F609" s="11"/>
      <c r="G609" t="str">
        <f>IFERROR(VLOOKUP(F609,'Products Index'!$A:$B,2,FALSE),"")</f>
        <v/>
      </c>
      <c r="H609" s="11"/>
      <c r="I609" s="12"/>
      <c r="J609" s="15"/>
      <c r="K609" s="16">
        <f t="shared" si="27"/>
        <v>0</v>
      </c>
      <c r="L609" s="16">
        <f t="shared" si="28"/>
        <v>0</v>
      </c>
      <c r="M609" s="16">
        <f>IFERROR(AVERAGEIF('Production Batches'!$C:$C,F609,'Production Batches'!$L:$L),0)</f>
        <v>0</v>
      </c>
      <c r="N609" s="16">
        <f t="shared" si="29"/>
        <v>0</v>
      </c>
      <c r="P609" s="11"/>
      <c r="Q609" s="30"/>
    </row>
    <row r="610" spans="2:17">
      <c r="B610" s="30"/>
      <c r="C610" s="11"/>
      <c r="D610" s="11"/>
      <c r="E610" t="str">
        <f>IFERROR(VLOOKUP(D610,Customers!$A:$B,2,FALSE),"")</f>
        <v/>
      </c>
      <c r="F610" s="11"/>
      <c r="G610" t="str">
        <f>IFERROR(VLOOKUP(F610,'Products Index'!$A:$B,2,FALSE),"")</f>
        <v/>
      </c>
      <c r="H610" s="11"/>
      <c r="I610" s="12"/>
      <c r="J610" s="15"/>
      <c r="K610" s="16">
        <f t="shared" si="27"/>
        <v>0</v>
      </c>
      <c r="L610" s="16">
        <f t="shared" si="28"/>
        <v>0</v>
      </c>
      <c r="M610" s="16">
        <f>IFERROR(AVERAGEIF('Production Batches'!$C:$C,F610,'Production Batches'!$L:$L),0)</f>
        <v>0</v>
      </c>
      <c r="N610" s="16">
        <f t="shared" si="29"/>
        <v>0</v>
      </c>
      <c r="P610" s="11"/>
      <c r="Q610" s="30"/>
    </row>
    <row r="611" spans="2:17">
      <c r="B611" s="30"/>
      <c r="C611" s="11"/>
      <c r="D611" s="11"/>
      <c r="E611" t="str">
        <f>IFERROR(VLOOKUP(D611,Customers!$A:$B,2,FALSE),"")</f>
        <v/>
      </c>
      <c r="F611" s="11"/>
      <c r="G611" t="str">
        <f>IFERROR(VLOOKUP(F611,'Products Index'!$A:$B,2,FALSE),"")</f>
        <v/>
      </c>
      <c r="H611" s="11"/>
      <c r="I611" s="12"/>
      <c r="J611" s="15"/>
      <c r="K611" s="16">
        <f t="shared" si="27"/>
        <v>0</v>
      </c>
      <c r="L611" s="16">
        <f t="shared" si="28"/>
        <v>0</v>
      </c>
      <c r="M611" s="16">
        <f>IFERROR(AVERAGEIF('Production Batches'!$C:$C,F611,'Production Batches'!$L:$L),0)</f>
        <v>0</v>
      </c>
      <c r="N611" s="16">
        <f t="shared" si="29"/>
        <v>0</v>
      </c>
      <c r="P611" s="11"/>
      <c r="Q611" s="30"/>
    </row>
    <row r="612" spans="2:17">
      <c r="B612" s="30"/>
      <c r="C612" s="11"/>
      <c r="D612" s="11"/>
      <c r="E612" t="str">
        <f>IFERROR(VLOOKUP(D612,Customers!$A:$B,2,FALSE),"")</f>
        <v/>
      </c>
      <c r="F612" s="11"/>
      <c r="G612" t="str">
        <f>IFERROR(VLOOKUP(F612,'Products Index'!$A:$B,2,FALSE),"")</f>
        <v/>
      </c>
      <c r="H612" s="11"/>
      <c r="I612" s="12"/>
      <c r="J612" s="15"/>
      <c r="K612" s="16">
        <f t="shared" si="27"/>
        <v>0</v>
      </c>
      <c r="L612" s="16">
        <f t="shared" si="28"/>
        <v>0</v>
      </c>
      <c r="M612" s="16">
        <f>IFERROR(AVERAGEIF('Production Batches'!$C:$C,F612,'Production Batches'!$L:$L),0)</f>
        <v>0</v>
      </c>
      <c r="N612" s="16">
        <f t="shared" si="29"/>
        <v>0</v>
      </c>
      <c r="P612" s="11"/>
      <c r="Q612" s="30"/>
    </row>
    <row r="613" spans="2:17">
      <c r="B613" s="30"/>
      <c r="C613" s="11"/>
      <c r="D613" s="11"/>
      <c r="E613" t="str">
        <f>IFERROR(VLOOKUP(D613,Customers!$A:$B,2,FALSE),"")</f>
        <v/>
      </c>
      <c r="F613" s="11"/>
      <c r="G613" t="str">
        <f>IFERROR(VLOOKUP(F613,'Products Index'!$A:$B,2,FALSE),"")</f>
        <v/>
      </c>
      <c r="H613" s="11"/>
      <c r="I613" s="12"/>
      <c r="J613" s="15"/>
      <c r="K613" s="16">
        <f t="shared" si="27"/>
        <v>0</v>
      </c>
      <c r="L613" s="16">
        <f t="shared" si="28"/>
        <v>0</v>
      </c>
      <c r="M613" s="16">
        <f>IFERROR(AVERAGEIF('Production Batches'!$C:$C,F613,'Production Batches'!$L:$L),0)</f>
        <v>0</v>
      </c>
      <c r="N613" s="16">
        <f t="shared" si="29"/>
        <v>0</v>
      </c>
      <c r="P613" s="11"/>
      <c r="Q613" s="30"/>
    </row>
    <row r="614" spans="2:17">
      <c r="B614" s="30"/>
      <c r="C614" s="11"/>
      <c r="D614" s="11"/>
      <c r="E614" t="str">
        <f>IFERROR(VLOOKUP(D614,Customers!$A:$B,2,FALSE),"")</f>
        <v/>
      </c>
      <c r="F614" s="11"/>
      <c r="G614" t="str">
        <f>IFERROR(VLOOKUP(F614,'Products Index'!$A:$B,2,FALSE),"")</f>
        <v/>
      </c>
      <c r="H614" s="11"/>
      <c r="I614" s="12"/>
      <c r="J614" s="15"/>
      <c r="K614" s="16">
        <f t="shared" si="27"/>
        <v>0</v>
      </c>
      <c r="L614" s="16">
        <f t="shared" si="28"/>
        <v>0</v>
      </c>
      <c r="M614" s="16">
        <f>IFERROR(AVERAGEIF('Production Batches'!$C:$C,F614,'Production Batches'!$L:$L),0)</f>
        <v>0</v>
      </c>
      <c r="N614" s="16">
        <f t="shared" si="29"/>
        <v>0</v>
      </c>
      <c r="P614" s="11"/>
      <c r="Q614" s="30"/>
    </row>
    <row r="615" spans="2:17">
      <c r="B615" s="30"/>
      <c r="C615" s="11"/>
      <c r="D615" s="11"/>
      <c r="E615" t="str">
        <f>IFERROR(VLOOKUP(D615,Customers!$A:$B,2,FALSE),"")</f>
        <v/>
      </c>
      <c r="F615" s="11"/>
      <c r="G615" t="str">
        <f>IFERROR(VLOOKUP(F615,'Products Index'!$A:$B,2,FALSE),"")</f>
        <v/>
      </c>
      <c r="H615" s="11"/>
      <c r="I615" s="12"/>
      <c r="J615" s="15"/>
      <c r="K615" s="16">
        <f t="shared" si="27"/>
        <v>0</v>
      </c>
      <c r="L615" s="16">
        <f t="shared" si="28"/>
        <v>0</v>
      </c>
      <c r="M615" s="16">
        <f>IFERROR(AVERAGEIF('Production Batches'!$C:$C,F615,'Production Batches'!$L:$L),0)</f>
        <v>0</v>
      </c>
      <c r="N615" s="16">
        <f t="shared" si="29"/>
        <v>0</v>
      </c>
      <c r="P615" s="11"/>
      <c r="Q615" s="30"/>
    </row>
    <row r="616" spans="2:17">
      <c r="B616" s="30"/>
      <c r="C616" s="11"/>
      <c r="D616" s="11"/>
      <c r="E616" t="str">
        <f>IFERROR(VLOOKUP(D616,Customers!$A:$B,2,FALSE),"")</f>
        <v/>
      </c>
      <c r="F616" s="11"/>
      <c r="G616" t="str">
        <f>IFERROR(VLOOKUP(F616,'Products Index'!$A:$B,2,FALSE),"")</f>
        <v/>
      </c>
      <c r="H616" s="11"/>
      <c r="I616" s="12"/>
      <c r="J616" s="15"/>
      <c r="K616" s="16">
        <f t="shared" si="27"/>
        <v>0</v>
      </c>
      <c r="L616" s="16">
        <f t="shared" si="28"/>
        <v>0</v>
      </c>
      <c r="M616" s="16">
        <f>IFERROR(AVERAGEIF('Production Batches'!$C:$C,F616,'Production Batches'!$L:$L),0)</f>
        <v>0</v>
      </c>
      <c r="N616" s="16">
        <f t="shared" si="29"/>
        <v>0</v>
      </c>
      <c r="P616" s="11"/>
      <c r="Q616" s="30"/>
    </row>
    <row r="617" spans="2:17">
      <c r="B617" s="30"/>
      <c r="C617" s="11"/>
      <c r="D617" s="11"/>
      <c r="E617" t="str">
        <f>IFERROR(VLOOKUP(D617,Customers!$A:$B,2,FALSE),"")</f>
        <v/>
      </c>
      <c r="F617" s="11"/>
      <c r="G617" t="str">
        <f>IFERROR(VLOOKUP(F617,'Products Index'!$A:$B,2,FALSE),"")</f>
        <v/>
      </c>
      <c r="H617" s="11"/>
      <c r="I617" s="12"/>
      <c r="J617" s="15"/>
      <c r="K617" s="16">
        <f t="shared" si="27"/>
        <v>0</v>
      </c>
      <c r="L617" s="16">
        <f t="shared" si="28"/>
        <v>0</v>
      </c>
      <c r="M617" s="16">
        <f>IFERROR(AVERAGEIF('Production Batches'!$C:$C,F617,'Production Batches'!$L:$L),0)</f>
        <v>0</v>
      </c>
      <c r="N617" s="16">
        <f t="shared" si="29"/>
        <v>0</v>
      </c>
      <c r="P617" s="11"/>
      <c r="Q617" s="30"/>
    </row>
    <row r="618" spans="2:17">
      <c r="B618" s="30"/>
      <c r="C618" s="11"/>
      <c r="D618" s="11"/>
      <c r="E618" t="str">
        <f>IFERROR(VLOOKUP(D618,Customers!$A:$B,2,FALSE),"")</f>
        <v/>
      </c>
      <c r="F618" s="11"/>
      <c r="G618" t="str">
        <f>IFERROR(VLOOKUP(F618,'Products Index'!$A:$B,2,FALSE),"")</f>
        <v/>
      </c>
      <c r="H618" s="11"/>
      <c r="I618" s="12"/>
      <c r="J618" s="15"/>
      <c r="K618" s="16">
        <f t="shared" si="27"/>
        <v>0</v>
      </c>
      <c r="L618" s="16">
        <f t="shared" si="28"/>
        <v>0</v>
      </c>
      <c r="M618" s="16">
        <f>IFERROR(AVERAGEIF('Production Batches'!$C:$C,F618,'Production Batches'!$L:$L),0)</f>
        <v>0</v>
      </c>
      <c r="N618" s="16">
        <f t="shared" si="29"/>
        <v>0</v>
      </c>
      <c r="P618" s="11"/>
      <c r="Q618" s="30"/>
    </row>
    <row r="619" spans="2:17">
      <c r="B619" s="30"/>
      <c r="C619" s="11"/>
      <c r="D619" s="11"/>
      <c r="E619" t="str">
        <f>IFERROR(VLOOKUP(D619,Customers!$A:$B,2,FALSE),"")</f>
        <v/>
      </c>
      <c r="F619" s="11"/>
      <c r="G619" t="str">
        <f>IFERROR(VLOOKUP(F619,'Products Index'!$A:$B,2,FALSE),"")</f>
        <v/>
      </c>
      <c r="H619" s="11"/>
      <c r="I619" s="12"/>
      <c r="J619" s="15"/>
      <c r="K619" s="16">
        <f t="shared" si="27"/>
        <v>0</v>
      </c>
      <c r="L619" s="16">
        <f t="shared" si="28"/>
        <v>0</v>
      </c>
      <c r="M619" s="16">
        <f>IFERROR(AVERAGEIF('Production Batches'!$C:$C,F619,'Production Batches'!$L:$L),0)</f>
        <v>0</v>
      </c>
      <c r="N619" s="16">
        <f t="shared" si="29"/>
        <v>0</v>
      </c>
      <c r="P619" s="11"/>
      <c r="Q619" s="30"/>
    </row>
    <row r="620" spans="2:17">
      <c r="B620" s="30"/>
      <c r="C620" s="11"/>
      <c r="D620" s="11"/>
      <c r="E620" t="str">
        <f>IFERROR(VLOOKUP(D620,Customers!$A:$B,2,FALSE),"")</f>
        <v/>
      </c>
      <c r="F620" s="11"/>
      <c r="G620" t="str">
        <f>IFERROR(VLOOKUP(F620,'Products Index'!$A:$B,2,FALSE),"")</f>
        <v/>
      </c>
      <c r="H620" s="11"/>
      <c r="I620" s="12"/>
      <c r="J620" s="15"/>
      <c r="K620" s="16">
        <f t="shared" si="27"/>
        <v>0</v>
      </c>
      <c r="L620" s="16">
        <f t="shared" si="28"/>
        <v>0</v>
      </c>
      <c r="M620" s="16">
        <f>IFERROR(AVERAGEIF('Production Batches'!$C:$C,F620,'Production Batches'!$L:$L),0)</f>
        <v>0</v>
      </c>
      <c r="N620" s="16">
        <f t="shared" si="29"/>
        <v>0</v>
      </c>
      <c r="P620" s="11"/>
      <c r="Q620" s="30"/>
    </row>
    <row r="621" spans="2:17">
      <c r="B621" s="30"/>
      <c r="C621" s="11"/>
      <c r="D621" s="11"/>
      <c r="E621" t="str">
        <f>IFERROR(VLOOKUP(D621,Customers!$A:$B,2,FALSE),"")</f>
        <v/>
      </c>
      <c r="F621" s="11"/>
      <c r="G621" t="str">
        <f>IFERROR(VLOOKUP(F621,'Products Index'!$A:$B,2,FALSE),"")</f>
        <v/>
      </c>
      <c r="H621" s="11"/>
      <c r="I621" s="12"/>
      <c r="J621" s="15"/>
      <c r="K621" s="16">
        <f t="shared" si="27"/>
        <v>0</v>
      </c>
      <c r="L621" s="16">
        <f t="shared" si="28"/>
        <v>0</v>
      </c>
      <c r="M621" s="16">
        <f>IFERROR(AVERAGEIF('Production Batches'!$C:$C,F621,'Production Batches'!$L:$L),0)</f>
        <v>0</v>
      </c>
      <c r="N621" s="16">
        <f t="shared" si="29"/>
        <v>0</v>
      </c>
      <c r="P621" s="11"/>
      <c r="Q621" s="30"/>
    </row>
    <row r="622" spans="2:17">
      <c r="B622" s="30"/>
      <c r="C622" s="11"/>
      <c r="D622" s="11"/>
      <c r="E622" t="str">
        <f>IFERROR(VLOOKUP(D622,Customers!$A:$B,2,FALSE),"")</f>
        <v/>
      </c>
      <c r="F622" s="11"/>
      <c r="G622" t="str">
        <f>IFERROR(VLOOKUP(F622,'Products Index'!$A:$B,2,FALSE),"")</f>
        <v/>
      </c>
      <c r="H622" s="11"/>
      <c r="I622" s="12"/>
      <c r="J622" s="15"/>
      <c r="K622" s="16">
        <f t="shared" si="27"/>
        <v>0</v>
      </c>
      <c r="L622" s="16">
        <f t="shared" si="28"/>
        <v>0</v>
      </c>
      <c r="M622" s="16">
        <f>IFERROR(AVERAGEIF('Production Batches'!$C:$C,F622,'Production Batches'!$L:$L),0)</f>
        <v>0</v>
      </c>
      <c r="N622" s="16">
        <f t="shared" si="29"/>
        <v>0</v>
      </c>
      <c r="P622" s="11"/>
      <c r="Q622" s="30"/>
    </row>
    <row r="623" spans="2:17">
      <c r="B623" s="30"/>
      <c r="C623" s="11"/>
      <c r="D623" s="11"/>
      <c r="E623" t="str">
        <f>IFERROR(VLOOKUP(D623,Customers!$A:$B,2,FALSE),"")</f>
        <v/>
      </c>
      <c r="F623" s="11"/>
      <c r="G623" t="str">
        <f>IFERROR(VLOOKUP(F623,'Products Index'!$A:$B,2,FALSE),"")</f>
        <v/>
      </c>
      <c r="H623" s="11"/>
      <c r="I623" s="12"/>
      <c r="J623" s="15"/>
      <c r="K623" s="16">
        <f t="shared" si="27"/>
        <v>0</v>
      </c>
      <c r="L623" s="16">
        <f t="shared" si="28"/>
        <v>0</v>
      </c>
      <c r="M623" s="16">
        <f>IFERROR(AVERAGEIF('Production Batches'!$C:$C,F623,'Production Batches'!$L:$L),0)</f>
        <v>0</v>
      </c>
      <c r="N623" s="16">
        <f t="shared" si="29"/>
        <v>0</v>
      </c>
      <c r="P623" s="11"/>
      <c r="Q623" s="30"/>
    </row>
    <row r="624" spans="2:17">
      <c r="B624" s="30"/>
      <c r="C624" s="11"/>
      <c r="D624" s="11"/>
      <c r="E624" t="str">
        <f>IFERROR(VLOOKUP(D624,Customers!$A:$B,2,FALSE),"")</f>
        <v/>
      </c>
      <c r="F624" s="11"/>
      <c r="G624" t="str">
        <f>IFERROR(VLOOKUP(F624,'Products Index'!$A:$B,2,FALSE),"")</f>
        <v/>
      </c>
      <c r="H624" s="11"/>
      <c r="I624" s="12"/>
      <c r="J624" s="15"/>
      <c r="K624" s="16">
        <f t="shared" si="27"/>
        <v>0</v>
      </c>
      <c r="L624" s="16">
        <f t="shared" si="28"/>
        <v>0</v>
      </c>
      <c r="M624" s="16">
        <f>IFERROR(AVERAGEIF('Production Batches'!$C:$C,F624,'Production Batches'!$L:$L),0)</f>
        <v>0</v>
      </c>
      <c r="N624" s="16">
        <f t="shared" si="29"/>
        <v>0</v>
      </c>
      <c r="P624" s="11"/>
      <c r="Q624" s="30"/>
    </row>
    <row r="625" spans="2:17">
      <c r="B625" s="30"/>
      <c r="C625" s="11"/>
      <c r="D625" s="11"/>
      <c r="E625" t="str">
        <f>IFERROR(VLOOKUP(D625,Customers!$A:$B,2,FALSE),"")</f>
        <v/>
      </c>
      <c r="F625" s="11"/>
      <c r="G625" t="str">
        <f>IFERROR(VLOOKUP(F625,'Products Index'!$A:$B,2,FALSE),"")</f>
        <v/>
      </c>
      <c r="H625" s="11"/>
      <c r="I625" s="12"/>
      <c r="J625" s="15"/>
      <c r="K625" s="16">
        <f t="shared" si="27"/>
        <v>0</v>
      </c>
      <c r="L625" s="16">
        <f t="shared" si="28"/>
        <v>0</v>
      </c>
      <c r="M625" s="16">
        <f>IFERROR(AVERAGEIF('Production Batches'!$C:$C,F625,'Production Batches'!$L:$L),0)</f>
        <v>0</v>
      </c>
      <c r="N625" s="16">
        <f t="shared" si="29"/>
        <v>0</v>
      </c>
      <c r="P625" s="11"/>
      <c r="Q625" s="30"/>
    </row>
    <row r="626" spans="2:17">
      <c r="B626" s="30"/>
      <c r="C626" s="11"/>
      <c r="D626" s="11"/>
      <c r="E626" t="str">
        <f>IFERROR(VLOOKUP(D626,Customers!$A:$B,2,FALSE),"")</f>
        <v/>
      </c>
      <c r="F626" s="11"/>
      <c r="G626" t="str">
        <f>IFERROR(VLOOKUP(F626,'Products Index'!$A:$B,2,FALSE),"")</f>
        <v/>
      </c>
      <c r="H626" s="11"/>
      <c r="I626" s="12"/>
      <c r="J626" s="15"/>
      <c r="K626" s="16">
        <f t="shared" si="27"/>
        <v>0</v>
      </c>
      <c r="L626" s="16">
        <f t="shared" si="28"/>
        <v>0</v>
      </c>
      <c r="M626" s="16">
        <f>IFERROR(AVERAGEIF('Production Batches'!$C:$C,F626,'Production Batches'!$L:$L),0)</f>
        <v>0</v>
      </c>
      <c r="N626" s="16">
        <f t="shared" si="29"/>
        <v>0</v>
      </c>
      <c r="P626" s="11"/>
      <c r="Q626" s="30"/>
    </row>
    <row r="627" spans="2:17">
      <c r="B627" s="30"/>
      <c r="C627" s="11"/>
      <c r="D627" s="11"/>
      <c r="E627" t="str">
        <f>IFERROR(VLOOKUP(D627,Customers!$A:$B,2,FALSE),"")</f>
        <v/>
      </c>
      <c r="F627" s="11"/>
      <c r="G627" t="str">
        <f>IFERROR(VLOOKUP(F627,'Products Index'!$A:$B,2,FALSE),"")</f>
        <v/>
      </c>
      <c r="H627" s="11"/>
      <c r="I627" s="12"/>
      <c r="J627" s="15"/>
      <c r="K627" s="16">
        <f t="shared" si="27"/>
        <v>0</v>
      </c>
      <c r="L627" s="16">
        <f t="shared" si="28"/>
        <v>0</v>
      </c>
      <c r="M627" s="16">
        <f>IFERROR(AVERAGEIF('Production Batches'!$C:$C,F627,'Production Batches'!$L:$L),0)</f>
        <v>0</v>
      </c>
      <c r="N627" s="16">
        <f t="shared" si="29"/>
        <v>0</v>
      </c>
      <c r="P627" s="11"/>
      <c r="Q627" s="30"/>
    </row>
    <row r="628" spans="2:17">
      <c r="B628" s="30"/>
      <c r="C628" s="11"/>
      <c r="D628" s="11"/>
      <c r="E628" t="str">
        <f>IFERROR(VLOOKUP(D628,Customers!$A:$B,2,FALSE),"")</f>
        <v/>
      </c>
      <c r="F628" s="11"/>
      <c r="G628" t="str">
        <f>IFERROR(VLOOKUP(F628,'Products Index'!$A:$B,2,FALSE),"")</f>
        <v/>
      </c>
      <c r="H628" s="11"/>
      <c r="I628" s="12"/>
      <c r="J628" s="15"/>
      <c r="K628" s="16">
        <f t="shared" si="27"/>
        <v>0</v>
      </c>
      <c r="L628" s="16">
        <f t="shared" si="28"/>
        <v>0</v>
      </c>
      <c r="M628" s="16">
        <f>IFERROR(AVERAGEIF('Production Batches'!$C:$C,F628,'Production Batches'!$L:$L),0)</f>
        <v>0</v>
      </c>
      <c r="N628" s="16">
        <f t="shared" si="29"/>
        <v>0</v>
      </c>
      <c r="P628" s="11"/>
      <c r="Q628" s="30"/>
    </row>
    <row r="629" spans="2:17">
      <c r="B629" s="30"/>
      <c r="C629" s="11"/>
      <c r="D629" s="11"/>
      <c r="E629" t="str">
        <f>IFERROR(VLOOKUP(D629,Customers!$A:$B,2,FALSE),"")</f>
        <v/>
      </c>
      <c r="F629" s="11"/>
      <c r="G629" t="str">
        <f>IFERROR(VLOOKUP(F629,'Products Index'!$A:$B,2,FALSE),"")</f>
        <v/>
      </c>
      <c r="H629" s="11"/>
      <c r="I629" s="12"/>
      <c r="J629" s="15"/>
      <c r="K629" s="16">
        <f t="shared" si="27"/>
        <v>0</v>
      </c>
      <c r="L629" s="16">
        <f t="shared" si="28"/>
        <v>0</v>
      </c>
      <c r="M629" s="16">
        <f>IFERROR(AVERAGEIF('Production Batches'!$C:$C,F629,'Production Batches'!$L:$L),0)</f>
        <v>0</v>
      </c>
      <c r="N629" s="16">
        <f t="shared" si="29"/>
        <v>0</v>
      </c>
      <c r="P629" s="11"/>
      <c r="Q629" s="30"/>
    </row>
    <row r="630" spans="2:17">
      <c r="B630" s="30"/>
      <c r="C630" s="11"/>
      <c r="D630" s="11"/>
      <c r="E630" t="str">
        <f>IFERROR(VLOOKUP(D630,Customers!$A:$B,2,FALSE),"")</f>
        <v/>
      </c>
      <c r="F630" s="11"/>
      <c r="G630" t="str">
        <f>IFERROR(VLOOKUP(F630,'Products Index'!$A:$B,2,FALSE),"")</f>
        <v/>
      </c>
      <c r="H630" s="11"/>
      <c r="I630" s="12"/>
      <c r="J630" s="15"/>
      <c r="K630" s="16">
        <f t="shared" si="27"/>
        <v>0</v>
      </c>
      <c r="L630" s="16">
        <f t="shared" si="28"/>
        <v>0</v>
      </c>
      <c r="M630" s="16">
        <f>IFERROR(AVERAGEIF('Production Batches'!$C:$C,F630,'Production Batches'!$L:$L),0)</f>
        <v>0</v>
      </c>
      <c r="N630" s="16">
        <f t="shared" si="29"/>
        <v>0</v>
      </c>
      <c r="P630" s="11"/>
      <c r="Q630" s="30"/>
    </row>
    <row r="631" spans="2:17">
      <c r="B631" s="30"/>
      <c r="C631" s="11"/>
      <c r="D631" s="11"/>
      <c r="E631" t="str">
        <f>IFERROR(VLOOKUP(D631,Customers!$A:$B,2,FALSE),"")</f>
        <v/>
      </c>
      <c r="F631" s="11"/>
      <c r="G631" t="str">
        <f>IFERROR(VLOOKUP(F631,'Products Index'!$A:$B,2,FALSE),"")</f>
        <v/>
      </c>
      <c r="H631" s="11"/>
      <c r="I631" s="12"/>
      <c r="J631" s="15"/>
      <c r="K631" s="16">
        <f t="shared" si="27"/>
        <v>0</v>
      </c>
      <c r="L631" s="16">
        <f t="shared" si="28"/>
        <v>0</v>
      </c>
      <c r="M631" s="16">
        <f>IFERROR(AVERAGEIF('Production Batches'!$C:$C,F631,'Production Batches'!$L:$L),0)</f>
        <v>0</v>
      </c>
      <c r="N631" s="16">
        <f t="shared" si="29"/>
        <v>0</v>
      </c>
      <c r="P631" s="11"/>
      <c r="Q631" s="30"/>
    </row>
    <row r="632" spans="2:17">
      <c r="B632" s="30"/>
      <c r="C632" s="11"/>
      <c r="D632" s="11"/>
      <c r="E632" t="str">
        <f>IFERROR(VLOOKUP(D632,Customers!$A:$B,2,FALSE),"")</f>
        <v/>
      </c>
      <c r="F632" s="11"/>
      <c r="G632" t="str">
        <f>IFERROR(VLOOKUP(F632,'Products Index'!$A:$B,2,FALSE),"")</f>
        <v/>
      </c>
      <c r="H632" s="11"/>
      <c r="I632" s="12"/>
      <c r="J632" s="15"/>
      <c r="K632" s="16">
        <f t="shared" si="27"/>
        <v>0</v>
      </c>
      <c r="L632" s="16">
        <f t="shared" si="28"/>
        <v>0</v>
      </c>
      <c r="M632" s="16">
        <f>IFERROR(AVERAGEIF('Production Batches'!$C:$C,F632,'Production Batches'!$L:$L),0)</f>
        <v>0</v>
      </c>
      <c r="N632" s="16">
        <f t="shared" si="29"/>
        <v>0</v>
      </c>
      <c r="P632" s="11"/>
      <c r="Q632" s="30"/>
    </row>
    <row r="633" spans="2:17">
      <c r="B633" s="30"/>
      <c r="C633" s="11"/>
      <c r="D633" s="11"/>
      <c r="E633" t="str">
        <f>IFERROR(VLOOKUP(D633,Customers!$A:$B,2,FALSE),"")</f>
        <v/>
      </c>
      <c r="F633" s="11"/>
      <c r="G633" t="str">
        <f>IFERROR(VLOOKUP(F633,'Products Index'!$A:$B,2,FALSE),"")</f>
        <v/>
      </c>
      <c r="H633" s="11"/>
      <c r="I633" s="12"/>
      <c r="J633" s="15"/>
      <c r="K633" s="16">
        <f t="shared" si="27"/>
        <v>0</v>
      </c>
      <c r="L633" s="16">
        <f t="shared" si="28"/>
        <v>0</v>
      </c>
      <c r="M633" s="16">
        <f>IFERROR(AVERAGEIF('Production Batches'!$C:$C,F633,'Production Batches'!$L:$L),0)</f>
        <v>0</v>
      </c>
      <c r="N633" s="16">
        <f t="shared" si="29"/>
        <v>0</v>
      </c>
      <c r="P633" s="11"/>
      <c r="Q633" s="30"/>
    </row>
    <row r="634" spans="2:17">
      <c r="B634" s="30"/>
      <c r="C634" s="11"/>
      <c r="D634" s="11"/>
      <c r="E634" t="str">
        <f>IFERROR(VLOOKUP(D634,Customers!$A:$B,2,FALSE),"")</f>
        <v/>
      </c>
      <c r="F634" s="11"/>
      <c r="G634" t="str">
        <f>IFERROR(VLOOKUP(F634,'Products Index'!$A:$B,2,FALSE),"")</f>
        <v/>
      </c>
      <c r="H634" s="11"/>
      <c r="I634" s="12"/>
      <c r="J634" s="15"/>
      <c r="K634" s="16">
        <f t="shared" si="27"/>
        <v>0</v>
      </c>
      <c r="L634" s="16">
        <f t="shared" si="28"/>
        <v>0</v>
      </c>
      <c r="M634" s="16">
        <f>IFERROR(AVERAGEIF('Production Batches'!$C:$C,F634,'Production Batches'!$L:$L),0)</f>
        <v>0</v>
      </c>
      <c r="N634" s="16">
        <f t="shared" si="29"/>
        <v>0</v>
      </c>
      <c r="P634" s="11"/>
      <c r="Q634" s="30"/>
    </row>
    <row r="635" spans="2:17">
      <c r="B635" s="30"/>
      <c r="C635" s="11"/>
      <c r="D635" s="11"/>
      <c r="E635" t="str">
        <f>IFERROR(VLOOKUP(D635,Customers!$A:$B,2,FALSE),"")</f>
        <v/>
      </c>
      <c r="F635" s="11"/>
      <c r="G635" t="str">
        <f>IFERROR(VLOOKUP(F635,'Products Index'!$A:$B,2,FALSE),"")</f>
        <v/>
      </c>
      <c r="H635" s="11"/>
      <c r="I635" s="12"/>
      <c r="J635" s="15"/>
      <c r="K635" s="16">
        <f t="shared" si="27"/>
        <v>0</v>
      </c>
      <c r="L635" s="16">
        <f t="shared" si="28"/>
        <v>0</v>
      </c>
      <c r="M635" s="16">
        <f>IFERROR(AVERAGEIF('Production Batches'!$C:$C,F635,'Production Batches'!$L:$L),0)</f>
        <v>0</v>
      </c>
      <c r="N635" s="16">
        <f t="shared" si="29"/>
        <v>0</v>
      </c>
      <c r="P635" s="11"/>
      <c r="Q635" s="30"/>
    </row>
    <row r="636" spans="2:17">
      <c r="B636" s="30"/>
      <c r="C636" s="11"/>
      <c r="D636" s="11"/>
      <c r="E636" t="str">
        <f>IFERROR(VLOOKUP(D636,Customers!$A:$B,2,FALSE),"")</f>
        <v/>
      </c>
      <c r="F636" s="11"/>
      <c r="G636" t="str">
        <f>IFERROR(VLOOKUP(F636,'Products Index'!$A:$B,2,FALSE),"")</f>
        <v/>
      </c>
      <c r="H636" s="11"/>
      <c r="I636" s="12"/>
      <c r="J636" s="15"/>
      <c r="K636" s="16">
        <f t="shared" si="27"/>
        <v>0</v>
      </c>
      <c r="L636" s="16">
        <f t="shared" si="28"/>
        <v>0</v>
      </c>
      <c r="M636" s="16">
        <f>IFERROR(AVERAGEIF('Production Batches'!$C:$C,F636,'Production Batches'!$L:$L),0)</f>
        <v>0</v>
      </c>
      <c r="N636" s="16">
        <f t="shared" si="29"/>
        <v>0</v>
      </c>
      <c r="P636" s="11"/>
      <c r="Q636" s="30"/>
    </row>
    <row r="637" spans="2:17">
      <c r="B637" s="30"/>
      <c r="C637" s="11"/>
      <c r="D637" s="11"/>
      <c r="E637" t="str">
        <f>IFERROR(VLOOKUP(D637,Customers!$A:$B,2,FALSE),"")</f>
        <v/>
      </c>
      <c r="F637" s="11"/>
      <c r="G637" t="str">
        <f>IFERROR(VLOOKUP(F637,'Products Index'!$A:$B,2,FALSE),"")</f>
        <v/>
      </c>
      <c r="H637" s="11"/>
      <c r="I637" s="12"/>
      <c r="J637" s="15"/>
      <c r="K637" s="16">
        <f t="shared" si="27"/>
        <v>0</v>
      </c>
      <c r="L637" s="16">
        <f t="shared" si="28"/>
        <v>0</v>
      </c>
      <c r="M637" s="16">
        <f>IFERROR(AVERAGEIF('Production Batches'!$C:$C,F637,'Production Batches'!$L:$L),0)</f>
        <v>0</v>
      </c>
      <c r="N637" s="16">
        <f t="shared" si="29"/>
        <v>0</v>
      </c>
      <c r="P637" s="11"/>
      <c r="Q637" s="30"/>
    </row>
    <row r="638" spans="2:17">
      <c r="B638" s="30"/>
      <c r="C638" s="11"/>
      <c r="D638" s="11"/>
      <c r="E638" t="str">
        <f>IFERROR(VLOOKUP(D638,Customers!$A:$B,2,FALSE),"")</f>
        <v/>
      </c>
      <c r="F638" s="11"/>
      <c r="G638" t="str">
        <f>IFERROR(VLOOKUP(F638,'Products Index'!$A:$B,2,FALSE),"")</f>
        <v/>
      </c>
      <c r="H638" s="11"/>
      <c r="I638" s="12"/>
      <c r="J638" s="15"/>
      <c r="K638" s="16">
        <f t="shared" si="27"/>
        <v>0</v>
      </c>
      <c r="L638" s="16">
        <f t="shared" si="28"/>
        <v>0</v>
      </c>
      <c r="M638" s="16">
        <f>IFERROR(AVERAGEIF('Production Batches'!$C:$C,F638,'Production Batches'!$L:$L),0)</f>
        <v>0</v>
      </c>
      <c r="N638" s="16">
        <f t="shared" si="29"/>
        <v>0</v>
      </c>
      <c r="P638" s="11"/>
      <c r="Q638" s="30"/>
    </row>
    <row r="639" spans="2:17">
      <c r="B639" s="30"/>
      <c r="C639" s="11"/>
      <c r="D639" s="11"/>
      <c r="E639" t="str">
        <f>IFERROR(VLOOKUP(D639,Customers!$A:$B,2,FALSE),"")</f>
        <v/>
      </c>
      <c r="F639" s="11"/>
      <c r="G639" t="str">
        <f>IFERROR(VLOOKUP(F639,'Products Index'!$A:$B,2,FALSE),"")</f>
        <v/>
      </c>
      <c r="H639" s="11"/>
      <c r="I639" s="12"/>
      <c r="J639" s="15"/>
      <c r="K639" s="16">
        <f t="shared" si="27"/>
        <v>0</v>
      </c>
      <c r="L639" s="16">
        <f t="shared" si="28"/>
        <v>0</v>
      </c>
      <c r="M639" s="16">
        <f>IFERROR(AVERAGEIF('Production Batches'!$C:$C,F639,'Production Batches'!$L:$L),0)</f>
        <v>0</v>
      </c>
      <c r="N639" s="16">
        <f t="shared" si="29"/>
        <v>0</v>
      </c>
      <c r="P639" s="11"/>
      <c r="Q639" s="30"/>
    </row>
    <row r="640" spans="2:17">
      <c r="B640" s="30"/>
      <c r="C640" s="11"/>
      <c r="D640" s="11"/>
      <c r="E640" t="str">
        <f>IFERROR(VLOOKUP(D640,Customers!$A:$B,2,FALSE),"")</f>
        <v/>
      </c>
      <c r="F640" s="11"/>
      <c r="G640" t="str">
        <f>IFERROR(VLOOKUP(F640,'Products Index'!$A:$B,2,FALSE),"")</f>
        <v/>
      </c>
      <c r="H640" s="11"/>
      <c r="I640" s="12"/>
      <c r="J640" s="15"/>
      <c r="K640" s="16">
        <f t="shared" si="27"/>
        <v>0</v>
      </c>
      <c r="L640" s="16">
        <f t="shared" si="28"/>
        <v>0</v>
      </c>
      <c r="M640" s="16">
        <f>IFERROR(AVERAGEIF('Production Batches'!$C:$C,F640,'Production Batches'!$L:$L),0)</f>
        <v>0</v>
      </c>
      <c r="N640" s="16">
        <f t="shared" si="29"/>
        <v>0</v>
      </c>
      <c r="P640" s="11"/>
      <c r="Q640" s="30"/>
    </row>
    <row r="641" spans="2:17">
      <c r="B641" s="30"/>
      <c r="C641" s="11"/>
      <c r="D641" s="11"/>
      <c r="E641" t="str">
        <f>IFERROR(VLOOKUP(D641,Customers!$A:$B,2,FALSE),"")</f>
        <v/>
      </c>
      <c r="F641" s="11"/>
      <c r="G641" t="str">
        <f>IFERROR(VLOOKUP(F641,'Products Index'!$A:$B,2,FALSE),"")</f>
        <v/>
      </c>
      <c r="H641" s="11"/>
      <c r="I641" s="12"/>
      <c r="J641" s="15"/>
      <c r="K641" s="16">
        <f t="shared" si="27"/>
        <v>0</v>
      </c>
      <c r="L641" s="16">
        <f t="shared" si="28"/>
        <v>0</v>
      </c>
      <c r="M641" s="16">
        <f>IFERROR(AVERAGEIF('Production Batches'!$C:$C,F641,'Production Batches'!$L:$L),0)</f>
        <v>0</v>
      </c>
      <c r="N641" s="16">
        <f t="shared" si="29"/>
        <v>0</v>
      </c>
      <c r="P641" s="11"/>
      <c r="Q641" s="30"/>
    </row>
    <row r="642" spans="2:17">
      <c r="B642" s="30"/>
      <c r="C642" s="11"/>
      <c r="D642" s="11"/>
      <c r="E642" t="str">
        <f>IFERROR(VLOOKUP(D642,Customers!$A:$B,2,FALSE),"")</f>
        <v/>
      </c>
      <c r="F642" s="11"/>
      <c r="G642" t="str">
        <f>IFERROR(VLOOKUP(F642,'Products Index'!$A:$B,2,FALSE),"")</f>
        <v/>
      </c>
      <c r="H642" s="11"/>
      <c r="I642" s="12"/>
      <c r="J642" s="15"/>
      <c r="K642" s="16">
        <f t="shared" ref="K642:K705" si="30">IFERROR(I642*(1-J642),0)</f>
        <v>0</v>
      </c>
      <c r="L642" s="16">
        <f t="shared" ref="L642:L705" si="31">IFERROR(K642*H642,0)</f>
        <v>0</v>
      </c>
      <c r="M642" s="16">
        <f>IFERROR(AVERAGEIF('Production Batches'!$C:$C,F642,'Production Batches'!$L:$L),0)</f>
        <v>0</v>
      </c>
      <c r="N642" s="16">
        <f t="shared" ref="N642:N705" si="32">IFERROR(L642-(M642*H642),0)</f>
        <v>0</v>
      </c>
      <c r="P642" s="11"/>
      <c r="Q642" s="30"/>
    </row>
    <row r="643" spans="2:17">
      <c r="B643" s="30"/>
      <c r="C643" s="11"/>
      <c r="D643" s="11"/>
      <c r="E643" t="str">
        <f>IFERROR(VLOOKUP(D643,Customers!$A:$B,2,FALSE),"")</f>
        <v/>
      </c>
      <c r="F643" s="11"/>
      <c r="G643" t="str">
        <f>IFERROR(VLOOKUP(F643,'Products Index'!$A:$B,2,FALSE),"")</f>
        <v/>
      </c>
      <c r="H643" s="11"/>
      <c r="I643" s="12"/>
      <c r="J643" s="15"/>
      <c r="K643" s="16">
        <f t="shared" si="30"/>
        <v>0</v>
      </c>
      <c r="L643" s="16">
        <f t="shared" si="31"/>
        <v>0</v>
      </c>
      <c r="M643" s="16">
        <f>IFERROR(AVERAGEIF('Production Batches'!$C:$C,F643,'Production Batches'!$L:$L),0)</f>
        <v>0</v>
      </c>
      <c r="N643" s="16">
        <f t="shared" si="32"/>
        <v>0</v>
      </c>
      <c r="P643" s="11"/>
      <c r="Q643" s="30"/>
    </row>
    <row r="644" spans="2:17">
      <c r="B644" s="30"/>
      <c r="C644" s="11"/>
      <c r="D644" s="11"/>
      <c r="E644" t="str">
        <f>IFERROR(VLOOKUP(D644,Customers!$A:$B,2,FALSE),"")</f>
        <v/>
      </c>
      <c r="F644" s="11"/>
      <c r="G644" t="str">
        <f>IFERROR(VLOOKUP(F644,'Products Index'!$A:$B,2,FALSE),"")</f>
        <v/>
      </c>
      <c r="H644" s="11"/>
      <c r="I644" s="12"/>
      <c r="J644" s="15"/>
      <c r="K644" s="16">
        <f t="shared" si="30"/>
        <v>0</v>
      </c>
      <c r="L644" s="16">
        <f t="shared" si="31"/>
        <v>0</v>
      </c>
      <c r="M644" s="16">
        <f>IFERROR(AVERAGEIF('Production Batches'!$C:$C,F644,'Production Batches'!$L:$L),0)</f>
        <v>0</v>
      </c>
      <c r="N644" s="16">
        <f t="shared" si="32"/>
        <v>0</v>
      </c>
      <c r="P644" s="11"/>
      <c r="Q644" s="30"/>
    </row>
    <row r="645" spans="2:17">
      <c r="B645" s="30"/>
      <c r="C645" s="11"/>
      <c r="D645" s="11"/>
      <c r="E645" t="str">
        <f>IFERROR(VLOOKUP(D645,Customers!$A:$B,2,FALSE),"")</f>
        <v/>
      </c>
      <c r="F645" s="11"/>
      <c r="G645" t="str">
        <f>IFERROR(VLOOKUP(F645,'Products Index'!$A:$B,2,FALSE),"")</f>
        <v/>
      </c>
      <c r="H645" s="11"/>
      <c r="I645" s="12"/>
      <c r="J645" s="15"/>
      <c r="K645" s="16">
        <f t="shared" si="30"/>
        <v>0</v>
      </c>
      <c r="L645" s="16">
        <f t="shared" si="31"/>
        <v>0</v>
      </c>
      <c r="M645" s="16">
        <f>IFERROR(AVERAGEIF('Production Batches'!$C:$C,F645,'Production Batches'!$L:$L),0)</f>
        <v>0</v>
      </c>
      <c r="N645" s="16">
        <f t="shared" si="32"/>
        <v>0</v>
      </c>
      <c r="P645" s="11"/>
      <c r="Q645" s="30"/>
    </row>
    <row r="646" spans="2:17">
      <c r="B646" s="30"/>
      <c r="C646" s="11"/>
      <c r="D646" s="11"/>
      <c r="E646" t="str">
        <f>IFERROR(VLOOKUP(D646,Customers!$A:$B,2,FALSE),"")</f>
        <v/>
      </c>
      <c r="F646" s="11"/>
      <c r="G646" t="str">
        <f>IFERROR(VLOOKUP(F646,'Products Index'!$A:$B,2,FALSE),"")</f>
        <v/>
      </c>
      <c r="H646" s="11"/>
      <c r="I646" s="12"/>
      <c r="J646" s="15"/>
      <c r="K646" s="16">
        <f t="shared" si="30"/>
        <v>0</v>
      </c>
      <c r="L646" s="16">
        <f t="shared" si="31"/>
        <v>0</v>
      </c>
      <c r="M646" s="16">
        <f>IFERROR(AVERAGEIF('Production Batches'!$C:$C,F646,'Production Batches'!$L:$L),0)</f>
        <v>0</v>
      </c>
      <c r="N646" s="16">
        <f t="shared" si="32"/>
        <v>0</v>
      </c>
      <c r="P646" s="11"/>
      <c r="Q646" s="30"/>
    </row>
    <row r="647" spans="2:17">
      <c r="B647" s="30"/>
      <c r="C647" s="11"/>
      <c r="D647" s="11"/>
      <c r="E647" t="str">
        <f>IFERROR(VLOOKUP(D647,Customers!$A:$B,2,FALSE),"")</f>
        <v/>
      </c>
      <c r="F647" s="11"/>
      <c r="G647" t="str">
        <f>IFERROR(VLOOKUP(F647,'Products Index'!$A:$B,2,FALSE),"")</f>
        <v/>
      </c>
      <c r="H647" s="11"/>
      <c r="I647" s="12"/>
      <c r="J647" s="15"/>
      <c r="K647" s="16">
        <f t="shared" si="30"/>
        <v>0</v>
      </c>
      <c r="L647" s="16">
        <f t="shared" si="31"/>
        <v>0</v>
      </c>
      <c r="M647" s="16">
        <f>IFERROR(AVERAGEIF('Production Batches'!$C:$C,F647,'Production Batches'!$L:$L),0)</f>
        <v>0</v>
      </c>
      <c r="N647" s="16">
        <f t="shared" si="32"/>
        <v>0</v>
      </c>
      <c r="P647" s="11"/>
      <c r="Q647" s="30"/>
    </row>
    <row r="648" spans="2:17">
      <c r="B648" s="30"/>
      <c r="C648" s="11"/>
      <c r="D648" s="11"/>
      <c r="E648" t="str">
        <f>IFERROR(VLOOKUP(D648,Customers!$A:$B,2,FALSE),"")</f>
        <v/>
      </c>
      <c r="F648" s="11"/>
      <c r="G648" t="str">
        <f>IFERROR(VLOOKUP(F648,'Products Index'!$A:$B,2,FALSE),"")</f>
        <v/>
      </c>
      <c r="H648" s="11"/>
      <c r="I648" s="12"/>
      <c r="J648" s="15"/>
      <c r="K648" s="16">
        <f t="shared" si="30"/>
        <v>0</v>
      </c>
      <c r="L648" s="16">
        <f t="shared" si="31"/>
        <v>0</v>
      </c>
      <c r="M648" s="16">
        <f>IFERROR(AVERAGEIF('Production Batches'!$C:$C,F648,'Production Batches'!$L:$L),0)</f>
        <v>0</v>
      </c>
      <c r="N648" s="16">
        <f t="shared" si="32"/>
        <v>0</v>
      </c>
      <c r="P648" s="11"/>
      <c r="Q648" s="30"/>
    </row>
    <row r="649" spans="2:17">
      <c r="B649" s="30"/>
      <c r="C649" s="11"/>
      <c r="D649" s="11"/>
      <c r="E649" t="str">
        <f>IFERROR(VLOOKUP(D649,Customers!$A:$B,2,FALSE),"")</f>
        <v/>
      </c>
      <c r="F649" s="11"/>
      <c r="G649" t="str">
        <f>IFERROR(VLOOKUP(F649,'Products Index'!$A:$B,2,FALSE),"")</f>
        <v/>
      </c>
      <c r="H649" s="11"/>
      <c r="I649" s="12"/>
      <c r="J649" s="15"/>
      <c r="K649" s="16">
        <f t="shared" si="30"/>
        <v>0</v>
      </c>
      <c r="L649" s="16">
        <f t="shared" si="31"/>
        <v>0</v>
      </c>
      <c r="M649" s="16">
        <f>IFERROR(AVERAGEIF('Production Batches'!$C:$C,F649,'Production Batches'!$L:$L),0)</f>
        <v>0</v>
      </c>
      <c r="N649" s="16">
        <f t="shared" si="32"/>
        <v>0</v>
      </c>
      <c r="P649" s="11"/>
      <c r="Q649" s="30"/>
    </row>
    <row r="650" spans="2:17">
      <c r="B650" s="30"/>
      <c r="C650" s="11"/>
      <c r="D650" s="11"/>
      <c r="E650" t="str">
        <f>IFERROR(VLOOKUP(D650,Customers!$A:$B,2,FALSE),"")</f>
        <v/>
      </c>
      <c r="F650" s="11"/>
      <c r="G650" t="str">
        <f>IFERROR(VLOOKUP(F650,'Products Index'!$A:$B,2,FALSE),"")</f>
        <v/>
      </c>
      <c r="H650" s="11"/>
      <c r="I650" s="12"/>
      <c r="J650" s="15"/>
      <c r="K650" s="16">
        <f t="shared" si="30"/>
        <v>0</v>
      </c>
      <c r="L650" s="16">
        <f t="shared" si="31"/>
        <v>0</v>
      </c>
      <c r="M650" s="16">
        <f>IFERROR(AVERAGEIF('Production Batches'!$C:$C,F650,'Production Batches'!$L:$L),0)</f>
        <v>0</v>
      </c>
      <c r="N650" s="16">
        <f t="shared" si="32"/>
        <v>0</v>
      </c>
      <c r="P650" s="11"/>
      <c r="Q650" s="30"/>
    </row>
    <row r="651" spans="2:17">
      <c r="B651" s="30"/>
      <c r="C651" s="11"/>
      <c r="D651" s="11"/>
      <c r="E651" t="str">
        <f>IFERROR(VLOOKUP(D651,Customers!$A:$B,2,FALSE),"")</f>
        <v/>
      </c>
      <c r="F651" s="11"/>
      <c r="G651" t="str">
        <f>IFERROR(VLOOKUP(F651,'Products Index'!$A:$B,2,FALSE),"")</f>
        <v/>
      </c>
      <c r="H651" s="11"/>
      <c r="I651" s="12"/>
      <c r="J651" s="15"/>
      <c r="K651" s="16">
        <f t="shared" si="30"/>
        <v>0</v>
      </c>
      <c r="L651" s="16">
        <f t="shared" si="31"/>
        <v>0</v>
      </c>
      <c r="M651" s="16">
        <f>IFERROR(AVERAGEIF('Production Batches'!$C:$C,F651,'Production Batches'!$L:$L),0)</f>
        <v>0</v>
      </c>
      <c r="N651" s="16">
        <f t="shared" si="32"/>
        <v>0</v>
      </c>
      <c r="P651" s="11"/>
      <c r="Q651" s="30"/>
    </row>
    <row r="652" spans="2:17">
      <c r="B652" s="30"/>
      <c r="C652" s="11"/>
      <c r="D652" s="11"/>
      <c r="E652" t="str">
        <f>IFERROR(VLOOKUP(D652,Customers!$A:$B,2,FALSE),"")</f>
        <v/>
      </c>
      <c r="F652" s="11"/>
      <c r="G652" t="str">
        <f>IFERROR(VLOOKUP(F652,'Products Index'!$A:$B,2,FALSE),"")</f>
        <v/>
      </c>
      <c r="H652" s="11"/>
      <c r="I652" s="12"/>
      <c r="J652" s="15"/>
      <c r="K652" s="16">
        <f t="shared" si="30"/>
        <v>0</v>
      </c>
      <c r="L652" s="16">
        <f t="shared" si="31"/>
        <v>0</v>
      </c>
      <c r="M652" s="16">
        <f>IFERROR(AVERAGEIF('Production Batches'!$C:$C,F652,'Production Batches'!$L:$L),0)</f>
        <v>0</v>
      </c>
      <c r="N652" s="16">
        <f t="shared" si="32"/>
        <v>0</v>
      </c>
      <c r="P652" s="11"/>
      <c r="Q652" s="30"/>
    </row>
    <row r="653" spans="2:17">
      <c r="B653" s="30"/>
      <c r="C653" s="11"/>
      <c r="D653" s="11"/>
      <c r="E653" t="str">
        <f>IFERROR(VLOOKUP(D653,Customers!$A:$B,2,FALSE),"")</f>
        <v/>
      </c>
      <c r="F653" s="11"/>
      <c r="G653" t="str">
        <f>IFERROR(VLOOKUP(F653,'Products Index'!$A:$B,2,FALSE),"")</f>
        <v/>
      </c>
      <c r="H653" s="11"/>
      <c r="I653" s="12"/>
      <c r="J653" s="15"/>
      <c r="K653" s="16">
        <f t="shared" si="30"/>
        <v>0</v>
      </c>
      <c r="L653" s="16">
        <f t="shared" si="31"/>
        <v>0</v>
      </c>
      <c r="M653" s="16">
        <f>IFERROR(AVERAGEIF('Production Batches'!$C:$C,F653,'Production Batches'!$L:$L),0)</f>
        <v>0</v>
      </c>
      <c r="N653" s="16">
        <f t="shared" si="32"/>
        <v>0</v>
      </c>
      <c r="P653" s="11"/>
      <c r="Q653" s="30"/>
    </row>
    <row r="654" spans="2:17">
      <c r="B654" s="30"/>
      <c r="C654" s="11"/>
      <c r="D654" s="11"/>
      <c r="E654" t="str">
        <f>IFERROR(VLOOKUP(D654,Customers!$A:$B,2,FALSE),"")</f>
        <v/>
      </c>
      <c r="F654" s="11"/>
      <c r="G654" t="str">
        <f>IFERROR(VLOOKUP(F654,'Products Index'!$A:$B,2,FALSE),"")</f>
        <v/>
      </c>
      <c r="H654" s="11"/>
      <c r="I654" s="12"/>
      <c r="J654" s="15"/>
      <c r="K654" s="16">
        <f t="shared" si="30"/>
        <v>0</v>
      </c>
      <c r="L654" s="16">
        <f t="shared" si="31"/>
        <v>0</v>
      </c>
      <c r="M654" s="16">
        <f>IFERROR(AVERAGEIF('Production Batches'!$C:$C,F654,'Production Batches'!$L:$L),0)</f>
        <v>0</v>
      </c>
      <c r="N654" s="16">
        <f t="shared" si="32"/>
        <v>0</v>
      </c>
      <c r="P654" s="11"/>
      <c r="Q654" s="30"/>
    </row>
    <row r="655" spans="2:17">
      <c r="B655" s="30"/>
      <c r="C655" s="11"/>
      <c r="D655" s="11"/>
      <c r="E655" t="str">
        <f>IFERROR(VLOOKUP(D655,Customers!$A:$B,2,FALSE),"")</f>
        <v/>
      </c>
      <c r="F655" s="11"/>
      <c r="G655" t="str">
        <f>IFERROR(VLOOKUP(F655,'Products Index'!$A:$B,2,FALSE),"")</f>
        <v/>
      </c>
      <c r="H655" s="11"/>
      <c r="I655" s="12"/>
      <c r="J655" s="15"/>
      <c r="K655" s="16">
        <f t="shared" si="30"/>
        <v>0</v>
      </c>
      <c r="L655" s="16">
        <f t="shared" si="31"/>
        <v>0</v>
      </c>
      <c r="M655" s="16">
        <f>IFERROR(AVERAGEIF('Production Batches'!$C:$C,F655,'Production Batches'!$L:$L),0)</f>
        <v>0</v>
      </c>
      <c r="N655" s="16">
        <f t="shared" si="32"/>
        <v>0</v>
      </c>
      <c r="P655" s="11"/>
      <c r="Q655" s="30"/>
    </row>
    <row r="656" spans="2:17">
      <c r="B656" s="30"/>
      <c r="C656" s="11"/>
      <c r="D656" s="11"/>
      <c r="E656" t="str">
        <f>IFERROR(VLOOKUP(D656,Customers!$A:$B,2,FALSE),"")</f>
        <v/>
      </c>
      <c r="F656" s="11"/>
      <c r="G656" t="str">
        <f>IFERROR(VLOOKUP(F656,'Products Index'!$A:$B,2,FALSE),"")</f>
        <v/>
      </c>
      <c r="H656" s="11"/>
      <c r="I656" s="12"/>
      <c r="J656" s="15"/>
      <c r="K656" s="16">
        <f t="shared" si="30"/>
        <v>0</v>
      </c>
      <c r="L656" s="16">
        <f t="shared" si="31"/>
        <v>0</v>
      </c>
      <c r="M656" s="16">
        <f>IFERROR(AVERAGEIF('Production Batches'!$C:$C,F656,'Production Batches'!$L:$L),0)</f>
        <v>0</v>
      </c>
      <c r="N656" s="16">
        <f t="shared" si="32"/>
        <v>0</v>
      </c>
      <c r="P656" s="11"/>
      <c r="Q656" s="30"/>
    </row>
    <row r="657" spans="2:17">
      <c r="B657" s="30"/>
      <c r="C657" s="11"/>
      <c r="D657" s="11"/>
      <c r="E657" t="str">
        <f>IFERROR(VLOOKUP(D657,Customers!$A:$B,2,FALSE),"")</f>
        <v/>
      </c>
      <c r="F657" s="11"/>
      <c r="G657" t="str">
        <f>IFERROR(VLOOKUP(F657,'Products Index'!$A:$B,2,FALSE),"")</f>
        <v/>
      </c>
      <c r="H657" s="11"/>
      <c r="I657" s="12"/>
      <c r="J657" s="15"/>
      <c r="K657" s="16">
        <f t="shared" si="30"/>
        <v>0</v>
      </c>
      <c r="L657" s="16">
        <f t="shared" si="31"/>
        <v>0</v>
      </c>
      <c r="M657" s="16">
        <f>IFERROR(AVERAGEIF('Production Batches'!$C:$C,F657,'Production Batches'!$L:$L),0)</f>
        <v>0</v>
      </c>
      <c r="N657" s="16">
        <f t="shared" si="32"/>
        <v>0</v>
      </c>
      <c r="P657" s="11"/>
      <c r="Q657" s="30"/>
    </row>
    <row r="658" spans="2:17">
      <c r="B658" s="30"/>
      <c r="C658" s="11"/>
      <c r="D658" s="11"/>
      <c r="E658" t="str">
        <f>IFERROR(VLOOKUP(D658,Customers!$A:$B,2,FALSE),"")</f>
        <v/>
      </c>
      <c r="F658" s="11"/>
      <c r="G658" t="str">
        <f>IFERROR(VLOOKUP(F658,'Products Index'!$A:$B,2,FALSE),"")</f>
        <v/>
      </c>
      <c r="H658" s="11"/>
      <c r="I658" s="12"/>
      <c r="J658" s="15"/>
      <c r="K658" s="16">
        <f t="shared" si="30"/>
        <v>0</v>
      </c>
      <c r="L658" s="16">
        <f t="shared" si="31"/>
        <v>0</v>
      </c>
      <c r="M658" s="16">
        <f>IFERROR(AVERAGEIF('Production Batches'!$C:$C,F658,'Production Batches'!$L:$L),0)</f>
        <v>0</v>
      </c>
      <c r="N658" s="16">
        <f t="shared" si="32"/>
        <v>0</v>
      </c>
      <c r="P658" s="11"/>
      <c r="Q658" s="30"/>
    </row>
    <row r="659" spans="2:17">
      <c r="B659" s="30"/>
      <c r="C659" s="11"/>
      <c r="D659" s="11"/>
      <c r="E659" t="str">
        <f>IFERROR(VLOOKUP(D659,Customers!$A:$B,2,FALSE),"")</f>
        <v/>
      </c>
      <c r="F659" s="11"/>
      <c r="G659" t="str">
        <f>IFERROR(VLOOKUP(F659,'Products Index'!$A:$B,2,FALSE),"")</f>
        <v/>
      </c>
      <c r="H659" s="11"/>
      <c r="I659" s="12"/>
      <c r="J659" s="15"/>
      <c r="K659" s="16">
        <f t="shared" si="30"/>
        <v>0</v>
      </c>
      <c r="L659" s="16">
        <f t="shared" si="31"/>
        <v>0</v>
      </c>
      <c r="M659" s="16">
        <f>IFERROR(AVERAGEIF('Production Batches'!$C:$C,F659,'Production Batches'!$L:$L),0)</f>
        <v>0</v>
      </c>
      <c r="N659" s="16">
        <f t="shared" si="32"/>
        <v>0</v>
      </c>
      <c r="P659" s="11"/>
      <c r="Q659" s="30"/>
    </row>
    <row r="660" spans="2:17">
      <c r="B660" s="30"/>
      <c r="C660" s="11"/>
      <c r="D660" s="11"/>
      <c r="E660" t="str">
        <f>IFERROR(VLOOKUP(D660,Customers!$A:$B,2,FALSE),"")</f>
        <v/>
      </c>
      <c r="F660" s="11"/>
      <c r="G660" t="str">
        <f>IFERROR(VLOOKUP(F660,'Products Index'!$A:$B,2,FALSE),"")</f>
        <v/>
      </c>
      <c r="H660" s="11"/>
      <c r="I660" s="12"/>
      <c r="J660" s="15"/>
      <c r="K660" s="16">
        <f t="shared" si="30"/>
        <v>0</v>
      </c>
      <c r="L660" s="16">
        <f t="shared" si="31"/>
        <v>0</v>
      </c>
      <c r="M660" s="16">
        <f>IFERROR(AVERAGEIF('Production Batches'!$C:$C,F660,'Production Batches'!$L:$L),0)</f>
        <v>0</v>
      </c>
      <c r="N660" s="16">
        <f t="shared" si="32"/>
        <v>0</v>
      </c>
      <c r="P660" s="11"/>
      <c r="Q660" s="30"/>
    </row>
    <row r="661" spans="2:17">
      <c r="B661" s="30"/>
      <c r="C661" s="11"/>
      <c r="D661" s="11"/>
      <c r="E661" t="str">
        <f>IFERROR(VLOOKUP(D661,Customers!$A:$B,2,FALSE),"")</f>
        <v/>
      </c>
      <c r="F661" s="11"/>
      <c r="G661" t="str">
        <f>IFERROR(VLOOKUP(F661,'Products Index'!$A:$B,2,FALSE),"")</f>
        <v/>
      </c>
      <c r="H661" s="11"/>
      <c r="I661" s="12"/>
      <c r="J661" s="15"/>
      <c r="K661" s="16">
        <f t="shared" si="30"/>
        <v>0</v>
      </c>
      <c r="L661" s="16">
        <f t="shared" si="31"/>
        <v>0</v>
      </c>
      <c r="M661" s="16">
        <f>IFERROR(AVERAGEIF('Production Batches'!$C:$C,F661,'Production Batches'!$L:$L),0)</f>
        <v>0</v>
      </c>
      <c r="N661" s="16">
        <f t="shared" si="32"/>
        <v>0</v>
      </c>
      <c r="P661" s="11"/>
      <c r="Q661" s="30"/>
    </row>
    <row r="662" spans="2:17">
      <c r="B662" s="30"/>
      <c r="C662" s="11"/>
      <c r="D662" s="11"/>
      <c r="E662" t="str">
        <f>IFERROR(VLOOKUP(D662,Customers!$A:$B,2,FALSE),"")</f>
        <v/>
      </c>
      <c r="F662" s="11"/>
      <c r="G662" t="str">
        <f>IFERROR(VLOOKUP(F662,'Products Index'!$A:$B,2,FALSE),"")</f>
        <v/>
      </c>
      <c r="H662" s="11"/>
      <c r="I662" s="12"/>
      <c r="J662" s="15"/>
      <c r="K662" s="16">
        <f t="shared" si="30"/>
        <v>0</v>
      </c>
      <c r="L662" s="16">
        <f t="shared" si="31"/>
        <v>0</v>
      </c>
      <c r="M662" s="16">
        <f>IFERROR(AVERAGEIF('Production Batches'!$C:$C,F662,'Production Batches'!$L:$L),0)</f>
        <v>0</v>
      </c>
      <c r="N662" s="16">
        <f t="shared" si="32"/>
        <v>0</v>
      </c>
      <c r="P662" s="11"/>
      <c r="Q662" s="30"/>
    </row>
    <row r="663" spans="2:17">
      <c r="B663" s="30"/>
      <c r="C663" s="11"/>
      <c r="D663" s="11"/>
      <c r="E663" t="str">
        <f>IFERROR(VLOOKUP(D663,Customers!$A:$B,2,FALSE),"")</f>
        <v/>
      </c>
      <c r="F663" s="11"/>
      <c r="G663" t="str">
        <f>IFERROR(VLOOKUP(F663,'Products Index'!$A:$B,2,FALSE),"")</f>
        <v/>
      </c>
      <c r="H663" s="11"/>
      <c r="I663" s="12"/>
      <c r="J663" s="15"/>
      <c r="K663" s="16">
        <f t="shared" si="30"/>
        <v>0</v>
      </c>
      <c r="L663" s="16">
        <f t="shared" si="31"/>
        <v>0</v>
      </c>
      <c r="M663" s="16">
        <f>IFERROR(AVERAGEIF('Production Batches'!$C:$C,F663,'Production Batches'!$L:$L),0)</f>
        <v>0</v>
      </c>
      <c r="N663" s="16">
        <f t="shared" si="32"/>
        <v>0</v>
      </c>
      <c r="P663" s="11"/>
      <c r="Q663" s="30"/>
    </row>
    <row r="664" spans="2:17">
      <c r="B664" s="30"/>
      <c r="C664" s="11"/>
      <c r="D664" s="11"/>
      <c r="E664" t="str">
        <f>IFERROR(VLOOKUP(D664,Customers!$A:$B,2,FALSE),"")</f>
        <v/>
      </c>
      <c r="F664" s="11"/>
      <c r="G664" t="str">
        <f>IFERROR(VLOOKUP(F664,'Products Index'!$A:$B,2,FALSE),"")</f>
        <v/>
      </c>
      <c r="H664" s="11"/>
      <c r="I664" s="12"/>
      <c r="J664" s="15"/>
      <c r="K664" s="16">
        <f t="shared" si="30"/>
        <v>0</v>
      </c>
      <c r="L664" s="16">
        <f t="shared" si="31"/>
        <v>0</v>
      </c>
      <c r="M664" s="16">
        <f>IFERROR(AVERAGEIF('Production Batches'!$C:$C,F664,'Production Batches'!$L:$L),0)</f>
        <v>0</v>
      </c>
      <c r="N664" s="16">
        <f t="shared" si="32"/>
        <v>0</v>
      </c>
      <c r="P664" s="11"/>
      <c r="Q664" s="30"/>
    </row>
    <row r="665" spans="2:17">
      <c r="B665" s="30"/>
      <c r="C665" s="11"/>
      <c r="D665" s="11"/>
      <c r="E665" t="str">
        <f>IFERROR(VLOOKUP(D665,Customers!$A:$B,2,FALSE),"")</f>
        <v/>
      </c>
      <c r="F665" s="11"/>
      <c r="G665" t="str">
        <f>IFERROR(VLOOKUP(F665,'Products Index'!$A:$B,2,FALSE),"")</f>
        <v/>
      </c>
      <c r="H665" s="11"/>
      <c r="I665" s="12"/>
      <c r="J665" s="15"/>
      <c r="K665" s="16">
        <f t="shared" si="30"/>
        <v>0</v>
      </c>
      <c r="L665" s="16">
        <f t="shared" si="31"/>
        <v>0</v>
      </c>
      <c r="M665" s="16">
        <f>IFERROR(AVERAGEIF('Production Batches'!$C:$C,F665,'Production Batches'!$L:$L),0)</f>
        <v>0</v>
      </c>
      <c r="N665" s="16">
        <f t="shared" si="32"/>
        <v>0</v>
      </c>
      <c r="P665" s="11"/>
      <c r="Q665" s="30"/>
    </row>
    <row r="666" spans="2:17">
      <c r="B666" s="30"/>
      <c r="C666" s="11"/>
      <c r="D666" s="11"/>
      <c r="E666" t="str">
        <f>IFERROR(VLOOKUP(D666,Customers!$A:$B,2,FALSE),"")</f>
        <v/>
      </c>
      <c r="F666" s="11"/>
      <c r="G666" t="str">
        <f>IFERROR(VLOOKUP(F666,'Products Index'!$A:$B,2,FALSE),"")</f>
        <v/>
      </c>
      <c r="H666" s="11"/>
      <c r="I666" s="12"/>
      <c r="J666" s="15"/>
      <c r="K666" s="16">
        <f t="shared" si="30"/>
        <v>0</v>
      </c>
      <c r="L666" s="16">
        <f t="shared" si="31"/>
        <v>0</v>
      </c>
      <c r="M666" s="16">
        <f>IFERROR(AVERAGEIF('Production Batches'!$C:$C,F666,'Production Batches'!$L:$L),0)</f>
        <v>0</v>
      </c>
      <c r="N666" s="16">
        <f t="shared" si="32"/>
        <v>0</v>
      </c>
      <c r="P666" s="11"/>
      <c r="Q666" s="30"/>
    </row>
    <row r="667" spans="2:17">
      <c r="B667" s="30"/>
      <c r="C667" s="11"/>
      <c r="D667" s="11"/>
      <c r="E667" t="str">
        <f>IFERROR(VLOOKUP(D667,Customers!$A:$B,2,FALSE),"")</f>
        <v/>
      </c>
      <c r="F667" s="11"/>
      <c r="G667" t="str">
        <f>IFERROR(VLOOKUP(F667,'Products Index'!$A:$B,2,FALSE),"")</f>
        <v/>
      </c>
      <c r="H667" s="11"/>
      <c r="I667" s="12"/>
      <c r="J667" s="15"/>
      <c r="K667" s="16">
        <f t="shared" si="30"/>
        <v>0</v>
      </c>
      <c r="L667" s="16">
        <f t="shared" si="31"/>
        <v>0</v>
      </c>
      <c r="M667" s="16">
        <f>IFERROR(AVERAGEIF('Production Batches'!$C:$C,F667,'Production Batches'!$L:$L),0)</f>
        <v>0</v>
      </c>
      <c r="N667" s="16">
        <f t="shared" si="32"/>
        <v>0</v>
      </c>
      <c r="P667" s="11"/>
      <c r="Q667" s="30"/>
    </row>
    <row r="668" spans="2:17">
      <c r="B668" s="30"/>
      <c r="C668" s="11"/>
      <c r="D668" s="11"/>
      <c r="E668" t="str">
        <f>IFERROR(VLOOKUP(D668,Customers!$A:$B,2,FALSE),"")</f>
        <v/>
      </c>
      <c r="F668" s="11"/>
      <c r="G668" t="str">
        <f>IFERROR(VLOOKUP(F668,'Products Index'!$A:$B,2,FALSE),"")</f>
        <v/>
      </c>
      <c r="H668" s="11"/>
      <c r="I668" s="12"/>
      <c r="J668" s="15"/>
      <c r="K668" s="16">
        <f t="shared" si="30"/>
        <v>0</v>
      </c>
      <c r="L668" s="16">
        <f t="shared" si="31"/>
        <v>0</v>
      </c>
      <c r="M668" s="16">
        <f>IFERROR(AVERAGEIF('Production Batches'!$C:$C,F668,'Production Batches'!$L:$L),0)</f>
        <v>0</v>
      </c>
      <c r="N668" s="16">
        <f t="shared" si="32"/>
        <v>0</v>
      </c>
      <c r="P668" s="11"/>
      <c r="Q668" s="30"/>
    </row>
    <row r="669" spans="2:17">
      <c r="B669" s="30"/>
      <c r="C669" s="11"/>
      <c r="D669" s="11"/>
      <c r="E669" t="str">
        <f>IFERROR(VLOOKUP(D669,Customers!$A:$B,2,FALSE),"")</f>
        <v/>
      </c>
      <c r="F669" s="11"/>
      <c r="G669" t="str">
        <f>IFERROR(VLOOKUP(F669,'Products Index'!$A:$B,2,FALSE),"")</f>
        <v/>
      </c>
      <c r="H669" s="11"/>
      <c r="I669" s="12"/>
      <c r="J669" s="15"/>
      <c r="K669" s="16">
        <f t="shared" si="30"/>
        <v>0</v>
      </c>
      <c r="L669" s="16">
        <f t="shared" si="31"/>
        <v>0</v>
      </c>
      <c r="M669" s="16">
        <f>IFERROR(AVERAGEIF('Production Batches'!$C:$C,F669,'Production Batches'!$L:$L),0)</f>
        <v>0</v>
      </c>
      <c r="N669" s="16">
        <f t="shared" si="32"/>
        <v>0</v>
      </c>
      <c r="P669" s="11"/>
      <c r="Q669" s="30"/>
    </row>
    <row r="670" spans="2:17">
      <c r="B670" s="30"/>
      <c r="C670" s="11"/>
      <c r="D670" s="11"/>
      <c r="E670" t="str">
        <f>IFERROR(VLOOKUP(D670,Customers!$A:$B,2,FALSE),"")</f>
        <v/>
      </c>
      <c r="F670" s="11"/>
      <c r="G670" t="str">
        <f>IFERROR(VLOOKUP(F670,'Products Index'!$A:$B,2,FALSE),"")</f>
        <v/>
      </c>
      <c r="H670" s="11"/>
      <c r="I670" s="12"/>
      <c r="J670" s="15"/>
      <c r="K670" s="16">
        <f t="shared" si="30"/>
        <v>0</v>
      </c>
      <c r="L670" s="16">
        <f t="shared" si="31"/>
        <v>0</v>
      </c>
      <c r="M670" s="16">
        <f>IFERROR(AVERAGEIF('Production Batches'!$C:$C,F670,'Production Batches'!$L:$L),0)</f>
        <v>0</v>
      </c>
      <c r="N670" s="16">
        <f t="shared" si="32"/>
        <v>0</v>
      </c>
      <c r="P670" s="11"/>
      <c r="Q670" s="30"/>
    </row>
    <row r="671" spans="2:17">
      <c r="B671" s="30"/>
      <c r="C671" s="11"/>
      <c r="D671" s="11"/>
      <c r="E671" t="str">
        <f>IFERROR(VLOOKUP(D671,Customers!$A:$B,2,FALSE),"")</f>
        <v/>
      </c>
      <c r="F671" s="11"/>
      <c r="G671" t="str">
        <f>IFERROR(VLOOKUP(F671,'Products Index'!$A:$B,2,FALSE),"")</f>
        <v/>
      </c>
      <c r="H671" s="11"/>
      <c r="I671" s="12"/>
      <c r="J671" s="15"/>
      <c r="K671" s="16">
        <f t="shared" si="30"/>
        <v>0</v>
      </c>
      <c r="L671" s="16">
        <f t="shared" si="31"/>
        <v>0</v>
      </c>
      <c r="M671" s="16">
        <f>IFERROR(AVERAGEIF('Production Batches'!$C:$C,F671,'Production Batches'!$L:$L),0)</f>
        <v>0</v>
      </c>
      <c r="N671" s="16">
        <f t="shared" si="32"/>
        <v>0</v>
      </c>
      <c r="P671" s="11"/>
      <c r="Q671" s="30"/>
    </row>
    <row r="672" spans="2:17">
      <c r="B672" s="30"/>
      <c r="C672" s="11"/>
      <c r="D672" s="11"/>
      <c r="E672" t="str">
        <f>IFERROR(VLOOKUP(D672,Customers!$A:$B,2,FALSE),"")</f>
        <v/>
      </c>
      <c r="F672" s="11"/>
      <c r="G672" t="str">
        <f>IFERROR(VLOOKUP(F672,'Products Index'!$A:$B,2,FALSE),"")</f>
        <v/>
      </c>
      <c r="H672" s="11"/>
      <c r="I672" s="12"/>
      <c r="J672" s="15"/>
      <c r="K672" s="16">
        <f t="shared" si="30"/>
        <v>0</v>
      </c>
      <c r="L672" s="16">
        <f t="shared" si="31"/>
        <v>0</v>
      </c>
      <c r="M672" s="16">
        <f>IFERROR(AVERAGEIF('Production Batches'!$C:$C,F672,'Production Batches'!$L:$L),0)</f>
        <v>0</v>
      </c>
      <c r="N672" s="16">
        <f t="shared" si="32"/>
        <v>0</v>
      </c>
      <c r="P672" s="11"/>
      <c r="Q672" s="30"/>
    </row>
    <row r="673" spans="2:17">
      <c r="B673" s="30"/>
      <c r="C673" s="11"/>
      <c r="D673" s="11"/>
      <c r="E673" t="str">
        <f>IFERROR(VLOOKUP(D673,Customers!$A:$B,2,FALSE),"")</f>
        <v/>
      </c>
      <c r="F673" s="11"/>
      <c r="G673" t="str">
        <f>IFERROR(VLOOKUP(F673,'Products Index'!$A:$B,2,FALSE),"")</f>
        <v/>
      </c>
      <c r="H673" s="11"/>
      <c r="I673" s="12"/>
      <c r="J673" s="15"/>
      <c r="K673" s="16">
        <f t="shared" si="30"/>
        <v>0</v>
      </c>
      <c r="L673" s="16">
        <f t="shared" si="31"/>
        <v>0</v>
      </c>
      <c r="M673" s="16">
        <f>IFERROR(AVERAGEIF('Production Batches'!$C:$C,F673,'Production Batches'!$L:$L),0)</f>
        <v>0</v>
      </c>
      <c r="N673" s="16">
        <f t="shared" si="32"/>
        <v>0</v>
      </c>
      <c r="P673" s="11"/>
      <c r="Q673" s="30"/>
    </row>
    <row r="674" spans="2:17">
      <c r="B674" s="30"/>
      <c r="C674" s="11"/>
      <c r="D674" s="11"/>
      <c r="E674" t="str">
        <f>IFERROR(VLOOKUP(D674,Customers!$A:$B,2,FALSE),"")</f>
        <v/>
      </c>
      <c r="F674" s="11"/>
      <c r="G674" t="str">
        <f>IFERROR(VLOOKUP(F674,'Products Index'!$A:$B,2,FALSE),"")</f>
        <v/>
      </c>
      <c r="H674" s="11"/>
      <c r="I674" s="12"/>
      <c r="J674" s="15"/>
      <c r="K674" s="16">
        <f t="shared" si="30"/>
        <v>0</v>
      </c>
      <c r="L674" s="16">
        <f t="shared" si="31"/>
        <v>0</v>
      </c>
      <c r="M674" s="16">
        <f>IFERROR(AVERAGEIF('Production Batches'!$C:$C,F674,'Production Batches'!$L:$L),0)</f>
        <v>0</v>
      </c>
      <c r="N674" s="16">
        <f t="shared" si="32"/>
        <v>0</v>
      </c>
      <c r="P674" s="11"/>
      <c r="Q674" s="30"/>
    </row>
    <row r="675" spans="2:17">
      <c r="B675" s="30"/>
      <c r="C675" s="11"/>
      <c r="D675" s="11"/>
      <c r="E675" t="str">
        <f>IFERROR(VLOOKUP(D675,Customers!$A:$B,2,FALSE),"")</f>
        <v/>
      </c>
      <c r="F675" s="11"/>
      <c r="G675" t="str">
        <f>IFERROR(VLOOKUP(F675,'Products Index'!$A:$B,2,FALSE),"")</f>
        <v/>
      </c>
      <c r="H675" s="11"/>
      <c r="I675" s="12"/>
      <c r="J675" s="15"/>
      <c r="K675" s="16">
        <f t="shared" si="30"/>
        <v>0</v>
      </c>
      <c r="L675" s="16">
        <f t="shared" si="31"/>
        <v>0</v>
      </c>
      <c r="M675" s="16">
        <f>IFERROR(AVERAGEIF('Production Batches'!$C:$C,F675,'Production Batches'!$L:$L),0)</f>
        <v>0</v>
      </c>
      <c r="N675" s="16">
        <f t="shared" si="32"/>
        <v>0</v>
      </c>
      <c r="P675" s="11"/>
      <c r="Q675" s="30"/>
    </row>
    <row r="676" spans="2:17">
      <c r="B676" s="30"/>
      <c r="C676" s="11"/>
      <c r="D676" s="11"/>
      <c r="E676" t="str">
        <f>IFERROR(VLOOKUP(D676,Customers!$A:$B,2,FALSE),"")</f>
        <v/>
      </c>
      <c r="F676" s="11"/>
      <c r="G676" t="str">
        <f>IFERROR(VLOOKUP(F676,'Products Index'!$A:$B,2,FALSE),"")</f>
        <v/>
      </c>
      <c r="H676" s="11"/>
      <c r="I676" s="12"/>
      <c r="J676" s="15"/>
      <c r="K676" s="16">
        <f t="shared" si="30"/>
        <v>0</v>
      </c>
      <c r="L676" s="16">
        <f t="shared" si="31"/>
        <v>0</v>
      </c>
      <c r="M676" s="16">
        <f>IFERROR(AVERAGEIF('Production Batches'!$C:$C,F676,'Production Batches'!$L:$L),0)</f>
        <v>0</v>
      </c>
      <c r="N676" s="16">
        <f t="shared" si="32"/>
        <v>0</v>
      </c>
      <c r="P676" s="11"/>
      <c r="Q676" s="30"/>
    </row>
    <row r="677" spans="2:17">
      <c r="B677" s="30"/>
      <c r="C677" s="11"/>
      <c r="D677" s="11"/>
      <c r="E677" t="str">
        <f>IFERROR(VLOOKUP(D677,Customers!$A:$B,2,FALSE),"")</f>
        <v/>
      </c>
      <c r="F677" s="11"/>
      <c r="G677" t="str">
        <f>IFERROR(VLOOKUP(F677,'Products Index'!$A:$B,2,FALSE),"")</f>
        <v/>
      </c>
      <c r="H677" s="11"/>
      <c r="I677" s="12"/>
      <c r="J677" s="15"/>
      <c r="K677" s="16">
        <f t="shared" si="30"/>
        <v>0</v>
      </c>
      <c r="L677" s="16">
        <f t="shared" si="31"/>
        <v>0</v>
      </c>
      <c r="M677" s="16">
        <f>IFERROR(AVERAGEIF('Production Batches'!$C:$C,F677,'Production Batches'!$L:$L),0)</f>
        <v>0</v>
      </c>
      <c r="N677" s="16">
        <f t="shared" si="32"/>
        <v>0</v>
      </c>
      <c r="P677" s="11"/>
      <c r="Q677" s="30"/>
    </row>
    <row r="678" spans="2:17">
      <c r="B678" s="30"/>
      <c r="C678" s="11"/>
      <c r="D678" s="11"/>
      <c r="E678" t="str">
        <f>IFERROR(VLOOKUP(D678,Customers!$A:$B,2,FALSE),"")</f>
        <v/>
      </c>
      <c r="F678" s="11"/>
      <c r="G678" t="str">
        <f>IFERROR(VLOOKUP(F678,'Products Index'!$A:$B,2,FALSE),"")</f>
        <v/>
      </c>
      <c r="H678" s="11"/>
      <c r="I678" s="12"/>
      <c r="J678" s="15"/>
      <c r="K678" s="16">
        <f t="shared" si="30"/>
        <v>0</v>
      </c>
      <c r="L678" s="16">
        <f t="shared" si="31"/>
        <v>0</v>
      </c>
      <c r="M678" s="16">
        <f>IFERROR(AVERAGEIF('Production Batches'!$C:$C,F678,'Production Batches'!$L:$L),0)</f>
        <v>0</v>
      </c>
      <c r="N678" s="16">
        <f t="shared" si="32"/>
        <v>0</v>
      </c>
      <c r="P678" s="11"/>
      <c r="Q678" s="30"/>
    </row>
    <row r="679" spans="2:17">
      <c r="B679" s="30"/>
      <c r="C679" s="11"/>
      <c r="D679" s="11"/>
      <c r="E679" t="str">
        <f>IFERROR(VLOOKUP(D679,Customers!$A:$B,2,FALSE),"")</f>
        <v/>
      </c>
      <c r="F679" s="11"/>
      <c r="G679" t="str">
        <f>IFERROR(VLOOKUP(F679,'Products Index'!$A:$B,2,FALSE),"")</f>
        <v/>
      </c>
      <c r="H679" s="11"/>
      <c r="I679" s="12"/>
      <c r="J679" s="15"/>
      <c r="K679" s="16">
        <f t="shared" si="30"/>
        <v>0</v>
      </c>
      <c r="L679" s="16">
        <f t="shared" si="31"/>
        <v>0</v>
      </c>
      <c r="M679" s="16">
        <f>IFERROR(AVERAGEIF('Production Batches'!$C:$C,F679,'Production Batches'!$L:$L),0)</f>
        <v>0</v>
      </c>
      <c r="N679" s="16">
        <f t="shared" si="32"/>
        <v>0</v>
      </c>
      <c r="P679" s="11"/>
      <c r="Q679" s="30"/>
    </row>
    <row r="680" spans="2:17">
      <c r="B680" s="30"/>
      <c r="C680" s="11"/>
      <c r="D680" s="11"/>
      <c r="E680" t="str">
        <f>IFERROR(VLOOKUP(D680,Customers!$A:$B,2,FALSE),"")</f>
        <v/>
      </c>
      <c r="F680" s="11"/>
      <c r="G680" t="str">
        <f>IFERROR(VLOOKUP(F680,'Products Index'!$A:$B,2,FALSE),"")</f>
        <v/>
      </c>
      <c r="H680" s="11"/>
      <c r="I680" s="12"/>
      <c r="J680" s="15"/>
      <c r="K680" s="16">
        <f t="shared" si="30"/>
        <v>0</v>
      </c>
      <c r="L680" s="16">
        <f t="shared" si="31"/>
        <v>0</v>
      </c>
      <c r="M680" s="16">
        <f>IFERROR(AVERAGEIF('Production Batches'!$C:$C,F680,'Production Batches'!$L:$L),0)</f>
        <v>0</v>
      </c>
      <c r="N680" s="16">
        <f t="shared" si="32"/>
        <v>0</v>
      </c>
      <c r="P680" s="11"/>
      <c r="Q680" s="30"/>
    </row>
    <row r="681" spans="2:17">
      <c r="B681" s="30"/>
      <c r="C681" s="11"/>
      <c r="D681" s="11"/>
      <c r="E681" t="str">
        <f>IFERROR(VLOOKUP(D681,Customers!$A:$B,2,FALSE),"")</f>
        <v/>
      </c>
      <c r="F681" s="11"/>
      <c r="G681" t="str">
        <f>IFERROR(VLOOKUP(F681,'Products Index'!$A:$B,2,FALSE),"")</f>
        <v/>
      </c>
      <c r="H681" s="11"/>
      <c r="I681" s="12"/>
      <c r="J681" s="15"/>
      <c r="K681" s="16">
        <f t="shared" si="30"/>
        <v>0</v>
      </c>
      <c r="L681" s="16">
        <f t="shared" si="31"/>
        <v>0</v>
      </c>
      <c r="M681" s="16">
        <f>IFERROR(AVERAGEIF('Production Batches'!$C:$C,F681,'Production Batches'!$L:$L),0)</f>
        <v>0</v>
      </c>
      <c r="N681" s="16">
        <f t="shared" si="32"/>
        <v>0</v>
      </c>
      <c r="P681" s="11"/>
      <c r="Q681" s="30"/>
    </row>
    <row r="682" spans="2:17">
      <c r="B682" s="30"/>
      <c r="C682" s="11"/>
      <c r="D682" s="11"/>
      <c r="E682" t="str">
        <f>IFERROR(VLOOKUP(D682,Customers!$A:$B,2,FALSE),"")</f>
        <v/>
      </c>
      <c r="F682" s="11"/>
      <c r="G682" t="str">
        <f>IFERROR(VLOOKUP(F682,'Products Index'!$A:$B,2,FALSE),"")</f>
        <v/>
      </c>
      <c r="H682" s="11"/>
      <c r="I682" s="12"/>
      <c r="J682" s="15"/>
      <c r="K682" s="16">
        <f t="shared" si="30"/>
        <v>0</v>
      </c>
      <c r="L682" s="16">
        <f t="shared" si="31"/>
        <v>0</v>
      </c>
      <c r="M682" s="16">
        <f>IFERROR(AVERAGEIF('Production Batches'!$C:$C,F682,'Production Batches'!$L:$L),0)</f>
        <v>0</v>
      </c>
      <c r="N682" s="16">
        <f t="shared" si="32"/>
        <v>0</v>
      </c>
      <c r="P682" s="11"/>
      <c r="Q682" s="30"/>
    </row>
    <row r="683" spans="2:17">
      <c r="B683" s="30"/>
      <c r="C683" s="11"/>
      <c r="D683" s="11"/>
      <c r="E683" t="str">
        <f>IFERROR(VLOOKUP(D683,Customers!$A:$B,2,FALSE),"")</f>
        <v/>
      </c>
      <c r="F683" s="11"/>
      <c r="G683" t="str">
        <f>IFERROR(VLOOKUP(F683,'Products Index'!$A:$B,2,FALSE),"")</f>
        <v/>
      </c>
      <c r="H683" s="11"/>
      <c r="I683" s="12"/>
      <c r="J683" s="15"/>
      <c r="K683" s="16">
        <f t="shared" si="30"/>
        <v>0</v>
      </c>
      <c r="L683" s="16">
        <f t="shared" si="31"/>
        <v>0</v>
      </c>
      <c r="M683" s="16">
        <f>IFERROR(AVERAGEIF('Production Batches'!$C:$C,F683,'Production Batches'!$L:$L),0)</f>
        <v>0</v>
      </c>
      <c r="N683" s="16">
        <f t="shared" si="32"/>
        <v>0</v>
      </c>
      <c r="P683" s="11"/>
      <c r="Q683" s="30"/>
    </row>
    <row r="684" spans="2:17">
      <c r="B684" s="30"/>
      <c r="C684" s="11"/>
      <c r="D684" s="11"/>
      <c r="E684" t="str">
        <f>IFERROR(VLOOKUP(D684,Customers!$A:$B,2,FALSE),"")</f>
        <v/>
      </c>
      <c r="F684" s="11"/>
      <c r="G684" t="str">
        <f>IFERROR(VLOOKUP(F684,'Products Index'!$A:$B,2,FALSE),"")</f>
        <v/>
      </c>
      <c r="H684" s="11"/>
      <c r="I684" s="12"/>
      <c r="J684" s="15"/>
      <c r="K684" s="16">
        <f t="shared" si="30"/>
        <v>0</v>
      </c>
      <c r="L684" s="16">
        <f t="shared" si="31"/>
        <v>0</v>
      </c>
      <c r="M684" s="16">
        <f>IFERROR(AVERAGEIF('Production Batches'!$C:$C,F684,'Production Batches'!$L:$L),0)</f>
        <v>0</v>
      </c>
      <c r="N684" s="16">
        <f t="shared" si="32"/>
        <v>0</v>
      </c>
      <c r="P684" s="11"/>
      <c r="Q684" s="30"/>
    </row>
    <row r="685" spans="2:17">
      <c r="B685" s="30"/>
      <c r="C685" s="11"/>
      <c r="D685" s="11"/>
      <c r="E685" t="str">
        <f>IFERROR(VLOOKUP(D685,Customers!$A:$B,2,FALSE),"")</f>
        <v/>
      </c>
      <c r="F685" s="11"/>
      <c r="G685" t="str">
        <f>IFERROR(VLOOKUP(F685,'Products Index'!$A:$B,2,FALSE),"")</f>
        <v/>
      </c>
      <c r="H685" s="11"/>
      <c r="I685" s="12"/>
      <c r="J685" s="15"/>
      <c r="K685" s="16">
        <f t="shared" si="30"/>
        <v>0</v>
      </c>
      <c r="L685" s="16">
        <f t="shared" si="31"/>
        <v>0</v>
      </c>
      <c r="M685" s="16">
        <f>IFERROR(AVERAGEIF('Production Batches'!$C:$C,F685,'Production Batches'!$L:$L),0)</f>
        <v>0</v>
      </c>
      <c r="N685" s="16">
        <f t="shared" si="32"/>
        <v>0</v>
      </c>
      <c r="P685" s="11"/>
      <c r="Q685" s="30"/>
    </row>
    <row r="686" spans="2:17">
      <c r="B686" s="30"/>
      <c r="C686" s="11"/>
      <c r="D686" s="11"/>
      <c r="E686" t="str">
        <f>IFERROR(VLOOKUP(D686,Customers!$A:$B,2,FALSE),"")</f>
        <v/>
      </c>
      <c r="F686" s="11"/>
      <c r="G686" t="str">
        <f>IFERROR(VLOOKUP(F686,'Products Index'!$A:$B,2,FALSE),"")</f>
        <v/>
      </c>
      <c r="H686" s="11"/>
      <c r="I686" s="12"/>
      <c r="J686" s="15"/>
      <c r="K686" s="16">
        <f t="shared" si="30"/>
        <v>0</v>
      </c>
      <c r="L686" s="16">
        <f t="shared" si="31"/>
        <v>0</v>
      </c>
      <c r="M686" s="16">
        <f>IFERROR(AVERAGEIF('Production Batches'!$C:$C,F686,'Production Batches'!$L:$L),0)</f>
        <v>0</v>
      </c>
      <c r="N686" s="16">
        <f t="shared" si="32"/>
        <v>0</v>
      </c>
      <c r="P686" s="11"/>
      <c r="Q686" s="30"/>
    </row>
    <row r="687" spans="2:17">
      <c r="B687" s="30"/>
      <c r="C687" s="11"/>
      <c r="D687" s="11"/>
      <c r="E687" t="str">
        <f>IFERROR(VLOOKUP(D687,Customers!$A:$B,2,FALSE),"")</f>
        <v/>
      </c>
      <c r="F687" s="11"/>
      <c r="G687" t="str">
        <f>IFERROR(VLOOKUP(F687,'Products Index'!$A:$B,2,FALSE),"")</f>
        <v/>
      </c>
      <c r="H687" s="11"/>
      <c r="I687" s="12"/>
      <c r="J687" s="15"/>
      <c r="K687" s="16">
        <f t="shared" si="30"/>
        <v>0</v>
      </c>
      <c r="L687" s="16">
        <f t="shared" si="31"/>
        <v>0</v>
      </c>
      <c r="M687" s="16">
        <f>IFERROR(AVERAGEIF('Production Batches'!$C:$C,F687,'Production Batches'!$L:$L),0)</f>
        <v>0</v>
      </c>
      <c r="N687" s="16">
        <f t="shared" si="32"/>
        <v>0</v>
      </c>
      <c r="P687" s="11"/>
      <c r="Q687" s="30"/>
    </row>
    <row r="688" spans="2:17">
      <c r="B688" s="30"/>
      <c r="C688" s="11"/>
      <c r="D688" s="11"/>
      <c r="E688" t="str">
        <f>IFERROR(VLOOKUP(D688,Customers!$A:$B,2,FALSE),"")</f>
        <v/>
      </c>
      <c r="F688" s="11"/>
      <c r="G688" t="str">
        <f>IFERROR(VLOOKUP(F688,'Products Index'!$A:$B,2,FALSE),"")</f>
        <v/>
      </c>
      <c r="H688" s="11"/>
      <c r="I688" s="12"/>
      <c r="J688" s="15"/>
      <c r="K688" s="16">
        <f t="shared" si="30"/>
        <v>0</v>
      </c>
      <c r="L688" s="16">
        <f t="shared" si="31"/>
        <v>0</v>
      </c>
      <c r="M688" s="16">
        <f>IFERROR(AVERAGEIF('Production Batches'!$C:$C,F688,'Production Batches'!$L:$L),0)</f>
        <v>0</v>
      </c>
      <c r="N688" s="16">
        <f t="shared" si="32"/>
        <v>0</v>
      </c>
      <c r="P688" s="11"/>
      <c r="Q688" s="30"/>
    </row>
    <row r="689" spans="2:17">
      <c r="B689" s="30"/>
      <c r="C689" s="11"/>
      <c r="D689" s="11"/>
      <c r="E689" t="str">
        <f>IFERROR(VLOOKUP(D689,Customers!$A:$B,2,FALSE),"")</f>
        <v/>
      </c>
      <c r="F689" s="11"/>
      <c r="G689" t="str">
        <f>IFERROR(VLOOKUP(F689,'Products Index'!$A:$B,2,FALSE),"")</f>
        <v/>
      </c>
      <c r="H689" s="11"/>
      <c r="I689" s="12"/>
      <c r="J689" s="15"/>
      <c r="K689" s="16">
        <f t="shared" si="30"/>
        <v>0</v>
      </c>
      <c r="L689" s="16">
        <f t="shared" si="31"/>
        <v>0</v>
      </c>
      <c r="M689" s="16">
        <f>IFERROR(AVERAGEIF('Production Batches'!$C:$C,F689,'Production Batches'!$L:$L),0)</f>
        <v>0</v>
      </c>
      <c r="N689" s="16">
        <f t="shared" si="32"/>
        <v>0</v>
      </c>
      <c r="P689" s="11"/>
      <c r="Q689" s="30"/>
    </row>
    <row r="690" spans="2:17">
      <c r="B690" s="30"/>
      <c r="C690" s="11"/>
      <c r="D690" s="11"/>
      <c r="E690" t="str">
        <f>IFERROR(VLOOKUP(D690,Customers!$A:$B,2,FALSE),"")</f>
        <v/>
      </c>
      <c r="F690" s="11"/>
      <c r="G690" t="str">
        <f>IFERROR(VLOOKUP(F690,'Products Index'!$A:$B,2,FALSE),"")</f>
        <v/>
      </c>
      <c r="H690" s="11"/>
      <c r="I690" s="12"/>
      <c r="J690" s="15"/>
      <c r="K690" s="16">
        <f t="shared" si="30"/>
        <v>0</v>
      </c>
      <c r="L690" s="16">
        <f t="shared" si="31"/>
        <v>0</v>
      </c>
      <c r="M690" s="16">
        <f>IFERROR(AVERAGEIF('Production Batches'!$C:$C,F690,'Production Batches'!$L:$L),0)</f>
        <v>0</v>
      </c>
      <c r="N690" s="16">
        <f t="shared" si="32"/>
        <v>0</v>
      </c>
      <c r="P690" s="11"/>
      <c r="Q690" s="30"/>
    </row>
    <row r="691" spans="2:17">
      <c r="B691" s="30"/>
      <c r="C691" s="11"/>
      <c r="D691" s="11"/>
      <c r="E691" t="str">
        <f>IFERROR(VLOOKUP(D691,Customers!$A:$B,2,FALSE),"")</f>
        <v/>
      </c>
      <c r="F691" s="11"/>
      <c r="G691" t="str">
        <f>IFERROR(VLOOKUP(F691,'Products Index'!$A:$B,2,FALSE),"")</f>
        <v/>
      </c>
      <c r="H691" s="11"/>
      <c r="I691" s="12"/>
      <c r="J691" s="15"/>
      <c r="K691" s="16">
        <f t="shared" si="30"/>
        <v>0</v>
      </c>
      <c r="L691" s="16">
        <f t="shared" si="31"/>
        <v>0</v>
      </c>
      <c r="M691" s="16">
        <f>IFERROR(AVERAGEIF('Production Batches'!$C:$C,F691,'Production Batches'!$L:$L),0)</f>
        <v>0</v>
      </c>
      <c r="N691" s="16">
        <f t="shared" si="32"/>
        <v>0</v>
      </c>
      <c r="P691" s="11"/>
      <c r="Q691" s="30"/>
    </row>
    <row r="692" spans="2:17">
      <c r="B692" s="30"/>
      <c r="C692" s="11"/>
      <c r="D692" s="11"/>
      <c r="E692" t="str">
        <f>IFERROR(VLOOKUP(D692,Customers!$A:$B,2,FALSE),"")</f>
        <v/>
      </c>
      <c r="F692" s="11"/>
      <c r="G692" t="str">
        <f>IFERROR(VLOOKUP(F692,'Products Index'!$A:$B,2,FALSE),"")</f>
        <v/>
      </c>
      <c r="H692" s="11"/>
      <c r="I692" s="12"/>
      <c r="J692" s="15"/>
      <c r="K692" s="16">
        <f t="shared" si="30"/>
        <v>0</v>
      </c>
      <c r="L692" s="16">
        <f t="shared" si="31"/>
        <v>0</v>
      </c>
      <c r="M692" s="16">
        <f>IFERROR(AVERAGEIF('Production Batches'!$C:$C,F692,'Production Batches'!$L:$L),0)</f>
        <v>0</v>
      </c>
      <c r="N692" s="16">
        <f t="shared" si="32"/>
        <v>0</v>
      </c>
      <c r="P692" s="11"/>
      <c r="Q692" s="30"/>
    </row>
    <row r="693" spans="2:17">
      <c r="B693" s="30"/>
      <c r="C693" s="11"/>
      <c r="D693" s="11"/>
      <c r="E693" t="str">
        <f>IFERROR(VLOOKUP(D693,Customers!$A:$B,2,FALSE),"")</f>
        <v/>
      </c>
      <c r="F693" s="11"/>
      <c r="G693" t="str">
        <f>IFERROR(VLOOKUP(F693,'Products Index'!$A:$B,2,FALSE),"")</f>
        <v/>
      </c>
      <c r="H693" s="11"/>
      <c r="I693" s="12"/>
      <c r="J693" s="15"/>
      <c r="K693" s="16">
        <f t="shared" si="30"/>
        <v>0</v>
      </c>
      <c r="L693" s="16">
        <f t="shared" si="31"/>
        <v>0</v>
      </c>
      <c r="M693" s="16">
        <f>IFERROR(AVERAGEIF('Production Batches'!$C:$C,F693,'Production Batches'!$L:$L),0)</f>
        <v>0</v>
      </c>
      <c r="N693" s="16">
        <f t="shared" si="32"/>
        <v>0</v>
      </c>
      <c r="P693" s="11"/>
      <c r="Q693" s="30"/>
    </row>
    <row r="694" spans="2:17">
      <c r="B694" s="30"/>
      <c r="C694" s="11"/>
      <c r="D694" s="11"/>
      <c r="E694" t="str">
        <f>IFERROR(VLOOKUP(D694,Customers!$A:$B,2,FALSE),"")</f>
        <v/>
      </c>
      <c r="F694" s="11"/>
      <c r="G694" t="str">
        <f>IFERROR(VLOOKUP(F694,'Products Index'!$A:$B,2,FALSE),"")</f>
        <v/>
      </c>
      <c r="H694" s="11"/>
      <c r="I694" s="12"/>
      <c r="J694" s="15"/>
      <c r="K694" s="16">
        <f t="shared" si="30"/>
        <v>0</v>
      </c>
      <c r="L694" s="16">
        <f t="shared" si="31"/>
        <v>0</v>
      </c>
      <c r="M694" s="16">
        <f>IFERROR(AVERAGEIF('Production Batches'!$C:$C,F694,'Production Batches'!$L:$L),0)</f>
        <v>0</v>
      </c>
      <c r="N694" s="16">
        <f t="shared" si="32"/>
        <v>0</v>
      </c>
      <c r="P694" s="11"/>
      <c r="Q694" s="30"/>
    </row>
    <row r="695" spans="2:17">
      <c r="B695" s="30"/>
      <c r="C695" s="11"/>
      <c r="D695" s="11"/>
      <c r="E695" t="str">
        <f>IFERROR(VLOOKUP(D695,Customers!$A:$B,2,FALSE),"")</f>
        <v/>
      </c>
      <c r="F695" s="11"/>
      <c r="G695" t="str">
        <f>IFERROR(VLOOKUP(F695,'Products Index'!$A:$B,2,FALSE),"")</f>
        <v/>
      </c>
      <c r="H695" s="11"/>
      <c r="I695" s="12"/>
      <c r="J695" s="15"/>
      <c r="K695" s="16">
        <f t="shared" si="30"/>
        <v>0</v>
      </c>
      <c r="L695" s="16">
        <f t="shared" si="31"/>
        <v>0</v>
      </c>
      <c r="M695" s="16">
        <f>IFERROR(AVERAGEIF('Production Batches'!$C:$C,F695,'Production Batches'!$L:$L),0)</f>
        <v>0</v>
      </c>
      <c r="N695" s="16">
        <f t="shared" si="32"/>
        <v>0</v>
      </c>
      <c r="P695" s="11"/>
      <c r="Q695" s="30"/>
    </row>
    <row r="696" spans="2:17">
      <c r="B696" s="30"/>
      <c r="C696" s="11"/>
      <c r="D696" s="11"/>
      <c r="E696" t="str">
        <f>IFERROR(VLOOKUP(D696,Customers!$A:$B,2,FALSE),"")</f>
        <v/>
      </c>
      <c r="F696" s="11"/>
      <c r="G696" t="str">
        <f>IFERROR(VLOOKUP(F696,'Products Index'!$A:$B,2,FALSE),"")</f>
        <v/>
      </c>
      <c r="H696" s="11"/>
      <c r="I696" s="12"/>
      <c r="J696" s="15"/>
      <c r="K696" s="16">
        <f t="shared" si="30"/>
        <v>0</v>
      </c>
      <c r="L696" s="16">
        <f t="shared" si="31"/>
        <v>0</v>
      </c>
      <c r="M696" s="16">
        <f>IFERROR(AVERAGEIF('Production Batches'!$C:$C,F696,'Production Batches'!$L:$L),0)</f>
        <v>0</v>
      </c>
      <c r="N696" s="16">
        <f t="shared" si="32"/>
        <v>0</v>
      </c>
      <c r="P696" s="11"/>
      <c r="Q696" s="30"/>
    </row>
    <row r="697" spans="2:17">
      <c r="B697" s="30"/>
      <c r="C697" s="11"/>
      <c r="D697" s="11"/>
      <c r="E697" t="str">
        <f>IFERROR(VLOOKUP(D697,Customers!$A:$B,2,FALSE),"")</f>
        <v/>
      </c>
      <c r="F697" s="11"/>
      <c r="G697" t="str">
        <f>IFERROR(VLOOKUP(F697,'Products Index'!$A:$B,2,FALSE),"")</f>
        <v/>
      </c>
      <c r="H697" s="11"/>
      <c r="I697" s="12"/>
      <c r="J697" s="15"/>
      <c r="K697" s="16">
        <f t="shared" si="30"/>
        <v>0</v>
      </c>
      <c r="L697" s="16">
        <f t="shared" si="31"/>
        <v>0</v>
      </c>
      <c r="M697" s="16">
        <f>IFERROR(AVERAGEIF('Production Batches'!$C:$C,F697,'Production Batches'!$L:$L),0)</f>
        <v>0</v>
      </c>
      <c r="N697" s="16">
        <f t="shared" si="32"/>
        <v>0</v>
      </c>
      <c r="P697" s="11"/>
      <c r="Q697" s="30"/>
    </row>
    <row r="698" spans="2:17">
      <c r="B698" s="30"/>
      <c r="C698" s="11"/>
      <c r="D698" s="11"/>
      <c r="E698" t="str">
        <f>IFERROR(VLOOKUP(D698,Customers!$A:$B,2,FALSE),"")</f>
        <v/>
      </c>
      <c r="F698" s="11"/>
      <c r="G698" t="str">
        <f>IFERROR(VLOOKUP(F698,'Products Index'!$A:$B,2,FALSE),"")</f>
        <v/>
      </c>
      <c r="H698" s="11"/>
      <c r="I698" s="12"/>
      <c r="J698" s="15"/>
      <c r="K698" s="16">
        <f t="shared" si="30"/>
        <v>0</v>
      </c>
      <c r="L698" s="16">
        <f t="shared" si="31"/>
        <v>0</v>
      </c>
      <c r="M698" s="16">
        <f>IFERROR(AVERAGEIF('Production Batches'!$C:$C,F698,'Production Batches'!$L:$L),0)</f>
        <v>0</v>
      </c>
      <c r="N698" s="16">
        <f t="shared" si="32"/>
        <v>0</v>
      </c>
      <c r="P698" s="11"/>
      <c r="Q698" s="30"/>
    </row>
    <row r="699" spans="2:17">
      <c r="B699" s="30"/>
      <c r="C699" s="11"/>
      <c r="D699" s="11"/>
      <c r="E699" t="str">
        <f>IFERROR(VLOOKUP(D699,Customers!$A:$B,2,FALSE),"")</f>
        <v/>
      </c>
      <c r="F699" s="11"/>
      <c r="G699" t="str">
        <f>IFERROR(VLOOKUP(F699,'Products Index'!$A:$B,2,FALSE),"")</f>
        <v/>
      </c>
      <c r="H699" s="11"/>
      <c r="I699" s="12"/>
      <c r="J699" s="15"/>
      <c r="K699" s="16">
        <f t="shared" si="30"/>
        <v>0</v>
      </c>
      <c r="L699" s="16">
        <f t="shared" si="31"/>
        <v>0</v>
      </c>
      <c r="M699" s="16">
        <f>IFERROR(AVERAGEIF('Production Batches'!$C:$C,F699,'Production Batches'!$L:$L),0)</f>
        <v>0</v>
      </c>
      <c r="N699" s="16">
        <f t="shared" si="32"/>
        <v>0</v>
      </c>
      <c r="P699" s="11"/>
      <c r="Q699" s="30"/>
    </row>
    <row r="700" spans="2:17">
      <c r="B700" s="30"/>
      <c r="C700" s="11"/>
      <c r="D700" s="11"/>
      <c r="E700" t="str">
        <f>IFERROR(VLOOKUP(D700,Customers!$A:$B,2,FALSE),"")</f>
        <v/>
      </c>
      <c r="F700" s="11"/>
      <c r="G700" t="str">
        <f>IFERROR(VLOOKUP(F700,'Products Index'!$A:$B,2,FALSE),"")</f>
        <v/>
      </c>
      <c r="H700" s="11"/>
      <c r="I700" s="12"/>
      <c r="J700" s="15"/>
      <c r="K700" s="16">
        <f t="shared" si="30"/>
        <v>0</v>
      </c>
      <c r="L700" s="16">
        <f t="shared" si="31"/>
        <v>0</v>
      </c>
      <c r="M700" s="16">
        <f>IFERROR(AVERAGEIF('Production Batches'!$C:$C,F700,'Production Batches'!$L:$L),0)</f>
        <v>0</v>
      </c>
      <c r="N700" s="16">
        <f t="shared" si="32"/>
        <v>0</v>
      </c>
      <c r="P700" s="11"/>
      <c r="Q700" s="30"/>
    </row>
    <row r="701" spans="2:17">
      <c r="B701" s="30"/>
      <c r="C701" s="11"/>
      <c r="D701" s="11"/>
      <c r="E701" t="str">
        <f>IFERROR(VLOOKUP(D701,Customers!$A:$B,2,FALSE),"")</f>
        <v/>
      </c>
      <c r="F701" s="11"/>
      <c r="G701" t="str">
        <f>IFERROR(VLOOKUP(F701,'Products Index'!$A:$B,2,FALSE),"")</f>
        <v/>
      </c>
      <c r="H701" s="11"/>
      <c r="I701" s="12"/>
      <c r="J701" s="15"/>
      <c r="K701" s="16">
        <f t="shared" si="30"/>
        <v>0</v>
      </c>
      <c r="L701" s="16">
        <f t="shared" si="31"/>
        <v>0</v>
      </c>
      <c r="M701" s="16">
        <f>IFERROR(AVERAGEIF('Production Batches'!$C:$C,F701,'Production Batches'!$L:$L),0)</f>
        <v>0</v>
      </c>
      <c r="N701" s="16">
        <f t="shared" si="32"/>
        <v>0</v>
      </c>
      <c r="P701" s="11"/>
      <c r="Q701" s="30"/>
    </row>
    <row r="702" spans="2:17">
      <c r="B702" s="30"/>
      <c r="C702" s="11"/>
      <c r="D702" s="11"/>
      <c r="E702" t="str">
        <f>IFERROR(VLOOKUP(D702,Customers!$A:$B,2,FALSE),"")</f>
        <v/>
      </c>
      <c r="F702" s="11"/>
      <c r="G702" t="str">
        <f>IFERROR(VLOOKUP(F702,'Products Index'!$A:$B,2,FALSE),"")</f>
        <v/>
      </c>
      <c r="H702" s="11"/>
      <c r="I702" s="12"/>
      <c r="J702" s="15"/>
      <c r="K702" s="16">
        <f t="shared" si="30"/>
        <v>0</v>
      </c>
      <c r="L702" s="16">
        <f t="shared" si="31"/>
        <v>0</v>
      </c>
      <c r="M702" s="16">
        <f>IFERROR(AVERAGEIF('Production Batches'!$C:$C,F702,'Production Batches'!$L:$L),0)</f>
        <v>0</v>
      </c>
      <c r="N702" s="16">
        <f t="shared" si="32"/>
        <v>0</v>
      </c>
      <c r="P702" s="11"/>
      <c r="Q702" s="30"/>
    </row>
    <row r="703" spans="2:17">
      <c r="B703" s="30"/>
      <c r="C703" s="11"/>
      <c r="D703" s="11"/>
      <c r="E703" t="str">
        <f>IFERROR(VLOOKUP(D703,Customers!$A:$B,2,FALSE),"")</f>
        <v/>
      </c>
      <c r="F703" s="11"/>
      <c r="G703" t="str">
        <f>IFERROR(VLOOKUP(F703,'Products Index'!$A:$B,2,FALSE),"")</f>
        <v/>
      </c>
      <c r="H703" s="11"/>
      <c r="I703" s="12"/>
      <c r="J703" s="15"/>
      <c r="K703" s="16">
        <f t="shared" si="30"/>
        <v>0</v>
      </c>
      <c r="L703" s="16">
        <f t="shared" si="31"/>
        <v>0</v>
      </c>
      <c r="M703" s="16">
        <f>IFERROR(AVERAGEIF('Production Batches'!$C:$C,F703,'Production Batches'!$L:$L),0)</f>
        <v>0</v>
      </c>
      <c r="N703" s="16">
        <f t="shared" si="32"/>
        <v>0</v>
      </c>
      <c r="P703" s="11"/>
      <c r="Q703" s="30"/>
    </row>
    <row r="704" spans="2:17">
      <c r="B704" s="30"/>
      <c r="C704" s="11"/>
      <c r="D704" s="11"/>
      <c r="E704" t="str">
        <f>IFERROR(VLOOKUP(D704,Customers!$A:$B,2,FALSE),"")</f>
        <v/>
      </c>
      <c r="F704" s="11"/>
      <c r="G704" t="str">
        <f>IFERROR(VLOOKUP(F704,'Products Index'!$A:$B,2,FALSE),"")</f>
        <v/>
      </c>
      <c r="H704" s="11"/>
      <c r="I704" s="12"/>
      <c r="J704" s="15"/>
      <c r="K704" s="16">
        <f t="shared" si="30"/>
        <v>0</v>
      </c>
      <c r="L704" s="16">
        <f t="shared" si="31"/>
        <v>0</v>
      </c>
      <c r="M704" s="16">
        <f>IFERROR(AVERAGEIF('Production Batches'!$C:$C,F704,'Production Batches'!$L:$L),0)</f>
        <v>0</v>
      </c>
      <c r="N704" s="16">
        <f t="shared" si="32"/>
        <v>0</v>
      </c>
      <c r="P704" s="11"/>
      <c r="Q704" s="30"/>
    </row>
    <row r="705" spans="2:17">
      <c r="B705" s="30"/>
      <c r="C705" s="11"/>
      <c r="D705" s="11"/>
      <c r="E705" t="str">
        <f>IFERROR(VLOOKUP(D705,Customers!$A:$B,2,FALSE),"")</f>
        <v/>
      </c>
      <c r="F705" s="11"/>
      <c r="G705" t="str">
        <f>IFERROR(VLOOKUP(F705,'Products Index'!$A:$B,2,FALSE),"")</f>
        <v/>
      </c>
      <c r="H705" s="11"/>
      <c r="I705" s="12"/>
      <c r="J705" s="15"/>
      <c r="K705" s="16">
        <f t="shared" si="30"/>
        <v>0</v>
      </c>
      <c r="L705" s="16">
        <f t="shared" si="31"/>
        <v>0</v>
      </c>
      <c r="M705" s="16">
        <f>IFERROR(AVERAGEIF('Production Batches'!$C:$C,F705,'Production Batches'!$L:$L),0)</f>
        <v>0</v>
      </c>
      <c r="N705" s="16">
        <f t="shared" si="32"/>
        <v>0</v>
      </c>
      <c r="P705" s="11"/>
      <c r="Q705" s="30"/>
    </row>
    <row r="706" spans="2:17">
      <c r="B706" s="30"/>
      <c r="C706" s="11"/>
      <c r="D706" s="11"/>
      <c r="E706" t="str">
        <f>IFERROR(VLOOKUP(D706,Customers!$A:$B,2,FALSE),"")</f>
        <v/>
      </c>
      <c r="F706" s="11"/>
      <c r="G706" t="str">
        <f>IFERROR(VLOOKUP(F706,'Products Index'!$A:$B,2,FALSE),"")</f>
        <v/>
      </c>
      <c r="H706" s="11"/>
      <c r="I706" s="12"/>
      <c r="J706" s="15"/>
      <c r="K706" s="16">
        <f t="shared" ref="K706:K769" si="33">IFERROR(I706*(1-J706),0)</f>
        <v>0</v>
      </c>
      <c r="L706" s="16">
        <f t="shared" ref="L706:L769" si="34">IFERROR(K706*H706,0)</f>
        <v>0</v>
      </c>
      <c r="M706" s="16">
        <f>IFERROR(AVERAGEIF('Production Batches'!$C:$C,F706,'Production Batches'!$L:$L),0)</f>
        <v>0</v>
      </c>
      <c r="N706" s="16">
        <f t="shared" ref="N706:N769" si="35">IFERROR(L706-(M706*H706),0)</f>
        <v>0</v>
      </c>
      <c r="P706" s="11"/>
      <c r="Q706" s="30"/>
    </row>
    <row r="707" spans="2:17">
      <c r="B707" s="30"/>
      <c r="C707" s="11"/>
      <c r="D707" s="11"/>
      <c r="E707" t="str">
        <f>IFERROR(VLOOKUP(D707,Customers!$A:$B,2,FALSE),"")</f>
        <v/>
      </c>
      <c r="F707" s="11"/>
      <c r="G707" t="str">
        <f>IFERROR(VLOOKUP(F707,'Products Index'!$A:$B,2,FALSE),"")</f>
        <v/>
      </c>
      <c r="H707" s="11"/>
      <c r="I707" s="12"/>
      <c r="J707" s="15"/>
      <c r="K707" s="16">
        <f t="shared" si="33"/>
        <v>0</v>
      </c>
      <c r="L707" s="16">
        <f t="shared" si="34"/>
        <v>0</v>
      </c>
      <c r="M707" s="16">
        <f>IFERROR(AVERAGEIF('Production Batches'!$C:$C,F707,'Production Batches'!$L:$L),0)</f>
        <v>0</v>
      </c>
      <c r="N707" s="16">
        <f t="shared" si="35"/>
        <v>0</v>
      </c>
      <c r="P707" s="11"/>
      <c r="Q707" s="30"/>
    </row>
    <row r="708" spans="2:17">
      <c r="B708" s="30"/>
      <c r="C708" s="11"/>
      <c r="D708" s="11"/>
      <c r="E708" t="str">
        <f>IFERROR(VLOOKUP(D708,Customers!$A:$B,2,FALSE),"")</f>
        <v/>
      </c>
      <c r="F708" s="11"/>
      <c r="G708" t="str">
        <f>IFERROR(VLOOKUP(F708,'Products Index'!$A:$B,2,FALSE),"")</f>
        <v/>
      </c>
      <c r="H708" s="11"/>
      <c r="I708" s="12"/>
      <c r="J708" s="15"/>
      <c r="K708" s="16">
        <f t="shared" si="33"/>
        <v>0</v>
      </c>
      <c r="L708" s="16">
        <f t="shared" si="34"/>
        <v>0</v>
      </c>
      <c r="M708" s="16">
        <f>IFERROR(AVERAGEIF('Production Batches'!$C:$C,F708,'Production Batches'!$L:$L),0)</f>
        <v>0</v>
      </c>
      <c r="N708" s="16">
        <f t="shared" si="35"/>
        <v>0</v>
      </c>
      <c r="P708" s="11"/>
      <c r="Q708" s="30"/>
    </row>
    <row r="709" spans="2:17">
      <c r="B709" s="30"/>
      <c r="C709" s="11"/>
      <c r="D709" s="11"/>
      <c r="E709" t="str">
        <f>IFERROR(VLOOKUP(D709,Customers!$A:$B,2,FALSE),"")</f>
        <v/>
      </c>
      <c r="F709" s="11"/>
      <c r="G709" t="str">
        <f>IFERROR(VLOOKUP(F709,'Products Index'!$A:$B,2,FALSE),"")</f>
        <v/>
      </c>
      <c r="H709" s="11"/>
      <c r="I709" s="12"/>
      <c r="J709" s="15"/>
      <c r="K709" s="16">
        <f t="shared" si="33"/>
        <v>0</v>
      </c>
      <c r="L709" s="16">
        <f t="shared" si="34"/>
        <v>0</v>
      </c>
      <c r="M709" s="16">
        <f>IFERROR(AVERAGEIF('Production Batches'!$C:$C,F709,'Production Batches'!$L:$L),0)</f>
        <v>0</v>
      </c>
      <c r="N709" s="16">
        <f t="shared" si="35"/>
        <v>0</v>
      </c>
      <c r="P709" s="11"/>
      <c r="Q709" s="30"/>
    </row>
    <row r="710" spans="2:17">
      <c r="B710" s="30"/>
      <c r="C710" s="11"/>
      <c r="D710" s="11"/>
      <c r="E710" t="str">
        <f>IFERROR(VLOOKUP(D710,Customers!$A:$B,2,FALSE),"")</f>
        <v/>
      </c>
      <c r="F710" s="11"/>
      <c r="G710" t="str">
        <f>IFERROR(VLOOKUP(F710,'Products Index'!$A:$B,2,FALSE),"")</f>
        <v/>
      </c>
      <c r="H710" s="11"/>
      <c r="I710" s="12"/>
      <c r="J710" s="15"/>
      <c r="K710" s="16">
        <f t="shared" si="33"/>
        <v>0</v>
      </c>
      <c r="L710" s="16">
        <f t="shared" si="34"/>
        <v>0</v>
      </c>
      <c r="M710" s="16">
        <f>IFERROR(AVERAGEIF('Production Batches'!$C:$C,F710,'Production Batches'!$L:$L),0)</f>
        <v>0</v>
      </c>
      <c r="N710" s="16">
        <f t="shared" si="35"/>
        <v>0</v>
      </c>
      <c r="P710" s="11"/>
      <c r="Q710" s="30"/>
    </row>
    <row r="711" spans="2:17">
      <c r="B711" s="30"/>
      <c r="C711" s="11"/>
      <c r="D711" s="11"/>
      <c r="E711" t="str">
        <f>IFERROR(VLOOKUP(D711,Customers!$A:$B,2,FALSE),"")</f>
        <v/>
      </c>
      <c r="F711" s="11"/>
      <c r="G711" t="str">
        <f>IFERROR(VLOOKUP(F711,'Products Index'!$A:$B,2,FALSE),"")</f>
        <v/>
      </c>
      <c r="H711" s="11"/>
      <c r="I711" s="12"/>
      <c r="J711" s="15"/>
      <c r="K711" s="16">
        <f t="shared" si="33"/>
        <v>0</v>
      </c>
      <c r="L711" s="16">
        <f t="shared" si="34"/>
        <v>0</v>
      </c>
      <c r="M711" s="16">
        <f>IFERROR(AVERAGEIF('Production Batches'!$C:$C,F711,'Production Batches'!$L:$L),0)</f>
        <v>0</v>
      </c>
      <c r="N711" s="16">
        <f t="shared" si="35"/>
        <v>0</v>
      </c>
      <c r="P711" s="11"/>
      <c r="Q711" s="30"/>
    </row>
    <row r="712" spans="2:17">
      <c r="B712" s="30"/>
      <c r="C712" s="11"/>
      <c r="D712" s="11"/>
      <c r="E712" t="str">
        <f>IFERROR(VLOOKUP(D712,Customers!$A:$B,2,FALSE),"")</f>
        <v/>
      </c>
      <c r="F712" s="11"/>
      <c r="G712" t="str">
        <f>IFERROR(VLOOKUP(F712,'Products Index'!$A:$B,2,FALSE),"")</f>
        <v/>
      </c>
      <c r="H712" s="11"/>
      <c r="I712" s="12"/>
      <c r="J712" s="15"/>
      <c r="K712" s="16">
        <f t="shared" si="33"/>
        <v>0</v>
      </c>
      <c r="L712" s="16">
        <f t="shared" si="34"/>
        <v>0</v>
      </c>
      <c r="M712" s="16">
        <f>IFERROR(AVERAGEIF('Production Batches'!$C:$C,F712,'Production Batches'!$L:$L),0)</f>
        <v>0</v>
      </c>
      <c r="N712" s="16">
        <f t="shared" si="35"/>
        <v>0</v>
      </c>
      <c r="P712" s="11"/>
      <c r="Q712" s="30"/>
    </row>
    <row r="713" spans="2:17">
      <c r="B713" s="30"/>
      <c r="C713" s="11"/>
      <c r="D713" s="11"/>
      <c r="E713" t="str">
        <f>IFERROR(VLOOKUP(D713,Customers!$A:$B,2,FALSE),"")</f>
        <v/>
      </c>
      <c r="F713" s="11"/>
      <c r="G713" t="str">
        <f>IFERROR(VLOOKUP(F713,'Products Index'!$A:$B,2,FALSE),"")</f>
        <v/>
      </c>
      <c r="H713" s="11"/>
      <c r="I713" s="12"/>
      <c r="J713" s="15"/>
      <c r="K713" s="16">
        <f t="shared" si="33"/>
        <v>0</v>
      </c>
      <c r="L713" s="16">
        <f t="shared" si="34"/>
        <v>0</v>
      </c>
      <c r="M713" s="16">
        <f>IFERROR(AVERAGEIF('Production Batches'!$C:$C,F713,'Production Batches'!$L:$L),0)</f>
        <v>0</v>
      </c>
      <c r="N713" s="16">
        <f t="shared" si="35"/>
        <v>0</v>
      </c>
      <c r="P713" s="11"/>
      <c r="Q713" s="30"/>
    </row>
    <row r="714" spans="2:17">
      <c r="B714" s="30"/>
      <c r="C714" s="11"/>
      <c r="D714" s="11"/>
      <c r="E714" t="str">
        <f>IFERROR(VLOOKUP(D714,Customers!$A:$B,2,FALSE),"")</f>
        <v/>
      </c>
      <c r="F714" s="11"/>
      <c r="G714" t="str">
        <f>IFERROR(VLOOKUP(F714,'Products Index'!$A:$B,2,FALSE),"")</f>
        <v/>
      </c>
      <c r="H714" s="11"/>
      <c r="I714" s="12"/>
      <c r="J714" s="15"/>
      <c r="K714" s="16">
        <f t="shared" si="33"/>
        <v>0</v>
      </c>
      <c r="L714" s="16">
        <f t="shared" si="34"/>
        <v>0</v>
      </c>
      <c r="M714" s="16">
        <f>IFERROR(AVERAGEIF('Production Batches'!$C:$C,F714,'Production Batches'!$L:$L),0)</f>
        <v>0</v>
      </c>
      <c r="N714" s="16">
        <f t="shared" si="35"/>
        <v>0</v>
      </c>
      <c r="P714" s="11"/>
      <c r="Q714" s="30"/>
    </row>
    <row r="715" spans="2:17">
      <c r="B715" s="30"/>
      <c r="C715" s="11"/>
      <c r="D715" s="11"/>
      <c r="E715" t="str">
        <f>IFERROR(VLOOKUP(D715,Customers!$A:$B,2,FALSE),"")</f>
        <v/>
      </c>
      <c r="F715" s="11"/>
      <c r="G715" t="str">
        <f>IFERROR(VLOOKUP(F715,'Products Index'!$A:$B,2,FALSE),"")</f>
        <v/>
      </c>
      <c r="H715" s="11"/>
      <c r="I715" s="12"/>
      <c r="J715" s="15"/>
      <c r="K715" s="16">
        <f t="shared" si="33"/>
        <v>0</v>
      </c>
      <c r="L715" s="16">
        <f t="shared" si="34"/>
        <v>0</v>
      </c>
      <c r="M715" s="16">
        <f>IFERROR(AVERAGEIF('Production Batches'!$C:$C,F715,'Production Batches'!$L:$L),0)</f>
        <v>0</v>
      </c>
      <c r="N715" s="16">
        <f t="shared" si="35"/>
        <v>0</v>
      </c>
      <c r="P715" s="11"/>
      <c r="Q715" s="30"/>
    </row>
    <row r="716" spans="2:17">
      <c r="B716" s="30"/>
      <c r="C716" s="11"/>
      <c r="D716" s="11"/>
      <c r="E716" t="str">
        <f>IFERROR(VLOOKUP(D716,Customers!$A:$B,2,FALSE),"")</f>
        <v/>
      </c>
      <c r="F716" s="11"/>
      <c r="G716" t="str">
        <f>IFERROR(VLOOKUP(F716,'Products Index'!$A:$B,2,FALSE),"")</f>
        <v/>
      </c>
      <c r="H716" s="11"/>
      <c r="I716" s="12"/>
      <c r="J716" s="15"/>
      <c r="K716" s="16">
        <f t="shared" si="33"/>
        <v>0</v>
      </c>
      <c r="L716" s="16">
        <f t="shared" si="34"/>
        <v>0</v>
      </c>
      <c r="M716" s="16">
        <f>IFERROR(AVERAGEIF('Production Batches'!$C:$C,F716,'Production Batches'!$L:$L),0)</f>
        <v>0</v>
      </c>
      <c r="N716" s="16">
        <f t="shared" si="35"/>
        <v>0</v>
      </c>
      <c r="P716" s="11"/>
      <c r="Q716" s="30"/>
    </row>
    <row r="717" spans="2:17">
      <c r="B717" s="30"/>
      <c r="C717" s="11"/>
      <c r="D717" s="11"/>
      <c r="E717" t="str">
        <f>IFERROR(VLOOKUP(D717,Customers!$A:$B,2,FALSE),"")</f>
        <v/>
      </c>
      <c r="F717" s="11"/>
      <c r="G717" t="str">
        <f>IFERROR(VLOOKUP(F717,'Products Index'!$A:$B,2,FALSE),"")</f>
        <v/>
      </c>
      <c r="H717" s="11"/>
      <c r="I717" s="12"/>
      <c r="J717" s="15"/>
      <c r="K717" s="16">
        <f t="shared" si="33"/>
        <v>0</v>
      </c>
      <c r="L717" s="16">
        <f t="shared" si="34"/>
        <v>0</v>
      </c>
      <c r="M717" s="16">
        <f>IFERROR(AVERAGEIF('Production Batches'!$C:$C,F717,'Production Batches'!$L:$L),0)</f>
        <v>0</v>
      </c>
      <c r="N717" s="16">
        <f t="shared" si="35"/>
        <v>0</v>
      </c>
      <c r="P717" s="11"/>
      <c r="Q717" s="30"/>
    </row>
    <row r="718" spans="2:17">
      <c r="B718" s="30"/>
      <c r="C718" s="11"/>
      <c r="D718" s="11"/>
      <c r="E718" t="str">
        <f>IFERROR(VLOOKUP(D718,Customers!$A:$B,2,FALSE),"")</f>
        <v/>
      </c>
      <c r="F718" s="11"/>
      <c r="G718" t="str">
        <f>IFERROR(VLOOKUP(F718,'Products Index'!$A:$B,2,FALSE),"")</f>
        <v/>
      </c>
      <c r="H718" s="11"/>
      <c r="I718" s="12"/>
      <c r="J718" s="15"/>
      <c r="K718" s="16">
        <f t="shared" si="33"/>
        <v>0</v>
      </c>
      <c r="L718" s="16">
        <f t="shared" si="34"/>
        <v>0</v>
      </c>
      <c r="M718" s="16">
        <f>IFERROR(AVERAGEIF('Production Batches'!$C:$C,F718,'Production Batches'!$L:$L),0)</f>
        <v>0</v>
      </c>
      <c r="N718" s="16">
        <f t="shared" si="35"/>
        <v>0</v>
      </c>
      <c r="P718" s="11"/>
      <c r="Q718" s="30"/>
    </row>
    <row r="719" spans="2:17">
      <c r="B719" s="30"/>
      <c r="C719" s="11"/>
      <c r="D719" s="11"/>
      <c r="E719" t="str">
        <f>IFERROR(VLOOKUP(D719,Customers!$A:$B,2,FALSE),"")</f>
        <v/>
      </c>
      <c r="F719" s="11"/>
      <c r="G719" t="str">
        <f>IFERROR(VLOOKUP(F719,'Products Index'!$A:$B,2,FALSE),"")</f>
        <v/>
      </c>
      <c r="H719" s="11"/>
      <c r="I719" s="12"/>
      <c r="J719" s="15"/>
      <c r="K719" s="16">
        <f t="shared" si="33"/>
        <v>0</v>
      </c>
      <c r="L719" s="16">
        <f t="shared" si="34"/>
        <v>0</v>
      </c>
      <c r="M719" s="16">
        <f>IFERROR(AVERAGEIF('Production Batches'!$C:$C,F719,'Production Batches'!$L:$L),0)</f>
        <v>0</v>
      </c>
      <c r="N719" s="16">
        <f t="shared" si="35"/>
        <v>0</v>
      </c>
      <c r="P719" s="11"/>
      <c r="Q719" s="30"/>
    </row>
    <row r="720" spans="2:17">
      <c r="B720" s="30"/>
      <c r="C720" s="11"/>
      <c r="D720" s="11"/>
      <c r="E720" t="str">
        <f>IFERROR(VLOOKUP(D720,Customers!$A:$B,2,FALSE),"")</f>
        <v/>
      </c>
      <c r="F720" s="11"/>
      <c r="G720" t="str">
        <f>IFERROR(VLOOKUP(F720,'Products Index'!$A:$B,2,FALSE),"")</f>
        <v/>
      </c>
      <c r="H720" s="11"/>
      <c r="I720" s="12"/>
      <c r="J720" s="15"/>
      <c r="K720" s="16">
        <f t="shared" si="33"/>
        <v>0</v>
      </c>
      <c r="L720" s="16">
        <f t="shared" si="34"/>
        <v>0</v>
      </c>
      <c r="M720" s="16">
        <f>IFERROR(AVERAGEIF('Production Batches'!$C:$C,F720,'Production Batches'!$L:$L),0)</f>
        <v>0</v>
      </c>
      <c r="N720" s="16">
        <f t="shared" si="35"/>
        <v>0</v>
      </c>
      <c r="P720" s="11"/>
      <c r="Q720" s="30"/>
    </row>
    <row r="721" spans="2:17">
      <c r="B721" s="30"/>
      <c r="C721" s="11"/>
      <c r="D721" s="11"/>
      <c r="E721" t="str">
        <f>IFERROR(VLOOKUP(D721,Customers!$A:$B,2,FALSE),"")</f>
        <v/>
      </c>
      <c r="F721" s="11"/>
      <c r="G721" t="str">
        <f>IFERROR(VLOOKUP(F721,'Products Index'!$A:$B,2,FALSE),"")</f>
        <v/>
      </c>
      <c r="H721" s="11"/>
      <c r="I721" s="12"/>
      <c r="J721" s="15"/>
      <c r="K721" s="16">
        <f t="shared" si="33"/>
        <v>0</v>
      </c>
      <c r="L721" s="16">
        <f t="shared" si="34"/>
        <v>0</v>
      </c>
      <c r="M721" s="16">
        <f>IFERROR(AVERAGEIF('Production Batches'!$C:$C,F721,'Production Batches'!$L:$L),0)</f>
        <v>0</v>
      </c>
      <c r="N721" s="16">
        <f t="shared" si="35"/>
        <v>0</v>
      </c>
      <c r="P721" s="11"/>
      <c r="Q721" s="30"/>
    </row>
    <row r="722" spans="2:17">
      <c r="B722" s="30"/>
      <c r="C722" s="11"/>
      <c r="D722" s="11"/>
      <c r="E722" t="str">
        <f>IFERROR(VLOOKUP(D722,Customers!$A:$B,2,FALSE),"")</f>
        <v/>
      </c>
      <c r="F722" s="11"/>
      <c r="G722" t="str">
        <f>IFERROR(VLOOKUP(F722,'Products Index'!$A:$B,2,FALSE),"")</f>
        <v/>
      </c>
      <c r="H722" s="11"/>
      <c r="I722" s="12"/>
      <c r="J722" s="15"/>
      <c r="K722" s="16">
        <f t="shared" si="33"/>
        <v>0</v>
      </c>
      <c r="L722" s="16">
        <f t="shared" si="34"/>
        <v>0</v>
      </c>
      <c r="M722" s="16">
        <f>IFERROR(AVERAGEIF('Production Batches'!$C:$C,F722,'Production Batches'!$L:$L),0)</f>
        <v>0</v>
      </c>
      <c r="N722" s="16">
        <f t="shared" si="35"/>
        <v>0</v>
      </c>
      <c r="P722" s="11"/>
      <c r="Q722" s="30"/>
    </row>
    <row r="723" spans="2:17">
      <c r="B723" s="30"/>
      <c r="C723" s="11"/>
      <c r="D723" s="11"/>
      <c r="E723" t="str">
        <f>IFERROR(VLOOKUP(D723,Customers!$A:$B,2,FALSE),"")</f>
        <v/>
      </c>
      <c r="F723" s="11"/>
      <c r="G723" t="str">
        <f>IFERROR(VLOOKUP(F723,'Products Index'!$A:$B,2,FALSE),"")</f>
        <v/>
      </c>
      <c r="H723" s="11"/>
      <c r="I723" s="12"/>
      <c r="J723" s="15"/>
      <c r="K723" s="16">
        <f t="shared" si="33"/>
        <v>0</v>
      </c>
      <c r="L723" s="16">
        <f t="shared" si="34"/>
        <v>0</v>
      </c>
      <c r="M723" s="16">
        <f>IFERROR(AVERAGEIF('Production Batches'!$C:$C,F723,'Production Batches'!$L:$L),0)</f>
        <v>0</v>
      </c>
      <c r="N723" s="16">
        <f t="shared" si="35"/>
        <v>0</v>
      </c>
      <c r="P723" s="11"/>
      <c r="Q723" s="30"/>
    </row>
    <row r="724" spans="2:17">
      <c r="B724" s="30"/>
      <c r="C724" s="11"/>
      <c r="D724" s="11"/>
      <c r="E724" t="str">
        <f>IFERROR(VLOOKUP(D724,Customers!$A:$B,2,FALSE),"")</f>
        <v/>
      </c>
      <c r="F724" s="11"/>
      <c r="G724" t="str">
        <f>IFERROR(VLOOKUP(F724,'Products Index'!$A:$B,2,FALSE),"")</f>
        <v/>
      </c>
      <c r="H724" s="11"/>
      <c r="I724" s="12"/>
      <c r="J724" s="15"/>
      <c r="K724" s="16">
        <f t="shared" si="33"/>
        <v>0</v>
      </c>
      <c r="L724" s="16">
        <f t="shared" si="34"/>
        <v>0</v>
      </c>
      <c r="M724" s="16">
        <f>IFERROR(AVERAGEIF('Production Batches'!$C:$C,F724,'Production Batches'!$L:$L),0)</f>
        <v>0</v>
      </c>
      <c r="N724" s="16">
        <f t="shared" si="35"/>
        <v>0</v>
      </c>
      <c r="P724" s="11"/>
      <c r="Q724" s="30"/>
    </row>
    <row r="725" spans="2:17">
      <c r="B725" s="30"/>
      <c r="C725" s="11"/>
      <c r="D725" s="11"/>
      <c r="E725" t="str">
        <f>IFERROR(VLOOKUP(D725,Customers!$A:$B,2,FALSE),"")</f>
        <v/>
      </c>
      <c r="F725" s="11"/>
      <c r="G725" t="str">
        <f>IFERROR(VLOOKUP(F725,'Products Index'!$A:$B,2,FALSE),"")</f>
        <v/>
      </c>
      <c r="H725" s="11"/>
      <c r="I725" s="12"/>
      <c r="J725" s="15"/>
      <c r="K725" s="16">
        <f t="shared" si="33"/>
        <v>0</v>
      </c>
      <c r="L725" s="16">
        <f t="shared" si="34"/>
        <v>0</v>
      </c>
      <c r="M725" s="16">
        <f>IFERROR(AVERAGEIF('Production Batches'!$C:$C,F725,'Production Batches'!$L:$L),0)</f>
        <v>0</v>
      </c>
      <c r="N725" s="16">
        <f t="shared" si="35"/>
        <v>0</v>
      </c>
      <c r="P725" s="11"/>
      <c r="Q725" s="30"/>
    </row>
    <row r="726" spans="2:17">
      <c r="B726" s="30"/>
      <c r="C726" s="11"/>
      <c r="D726" s="11"/>
      <c r="E726" t="str">
        <f>IFERROR(VLOOKUP(D726,Customers!$A:$B,2,FALSE),"")</f>
        <v/>
      </c>
      <c r="F726" s="11"/>
      <c r="G726" t="str">
        <f>IFERROR(VLOOKUP(F726,'Products Index'!$A:$B,2,FALSE),"")</f>
        <v/>
      </c>
      <c r="H726" s="11"/>
      <c r="I726" s="12"/>
      <c r="J726" s="15"/>
      <c r="K726" s="16">
        <f t="shared" si="33"/>
        <v>0</v>
      </c>
      <c r="L726" s="16">
        <f t="shared" si="34"/>
        <v>0</v>
      </c>
      <c r="M726" s="16">
        <f>IFERROR(AVERAGEIF('Production Batches'!$C:$C,F726,'Production Batches'!$L:$L),0)</f>
        <v>0</v>
      </c>
      <c r="N726" s="16">
        <f t="shared" si="35"/>
        <v>0</v>
      </c>
      <c r="P726" s="11"/>
      <c r="Q726" s="30"/>
    </row>
    <row r="727" spans="2:17">
      <c r="B727" s="30"/>
      <c r="C727" s="11"/>
      <c r="D727" s="11"/>
      <c r="E727" t="str">
        <f>IFERROR(VLOOKUP(D727,Customers!$A:$B,2,FALSE),"")</f>
        <v/>
      </c>
      <c r="F727" s="11"/>
      <c r="G727" t="str">
        <f>IFERROR(VLOOKUP(F727,'Products Index'!$A:$B,2,FALSE),"")</f>
        <v/>
      </c>
      <c r="H727" s="11"/>
      <c r="I727" s="12"/>
      <c r="J727" s="15"/>
      <c r="K727" s="16">
        <f t="shared" si="33"/>
        <v>0</v>
      </c>
      <c r="L727" s="16">
        <f t="shared" si="34"/>
        <v>0</v>
      </c>
      <c r="M727" s="16">
        <f>IFERROR(AVERAGEIF('Production Batches'!$C:$C,F727,'Production Batches'!$L:$L),0)</f>
        <v>0</v>
      </c>
      <c r="N727" s="16">
        <f t="shared" si="35"/>
        <v>0</v>
      </c>
      <c r="P727" s="11"/>
      <c r="Q727" s="30"/>
    </row>
    <row r="728" spans="2:17">
      <c r="B728" s="30"/>
      <c r="C728" s="11"/>
      <c r="D728" s="11"/>
      <c r="E728" t="str">
        <f>IFERROR(VLOOKUP(D728,Customers!$A:$B,2,FALSE),"")</f>
        <v/>
      </c>
      <c r="F728" s="11"/>
      <c r="G728" t="str">
        <f>IFERROR(VLOOKUP(F728,'Products Index'!$A:$B,2,FALSE),"")</f>
        <v/>
      </c>
      <c r="H728" s="11"/>
      <c r="I728" s="12"/>
      <c r="J728" s="15"/>
      <c r="K728" s="16">
        <f t="shared" si="33"/>
        <v>0</v>
      </c>
      <c r="L728" s="16">
        <f t="shared" si="34"/>
        <v>0</v>
      </c>
      <c r="M728" s="16">
        <f>IFERROR(AVERAGEIF('Production Batches'!$C:$C,F728,'Production Batches'!$L:$L),0)</f>
        <v>0</v>
      </c>
      <c r="N728" s="16">
        <f t="shared" si="35"/>
        <v>0</v>
      </c>
      <c r="P728" s="11"/>
      <c r="Q728" s="30"/>
    </row>
    <row r="729" spans="2:17">
      <c r="B729" s="30"/>
      <c r="C729" s="11"/>
      <c r="D729" s="11"/>
      <c r="E729" t="str">
        <f>IFERROR(VLOOKUP(D729,Customers!$A:$B,2,FALSE),"")</f>
        <v/>
      </c>
      <c r="F729" s="11"/>
      <c r="G729" t="str">
        <f>IFERROR(VLOOKUP(F729,'Products Index'!$A:$B,2,FALSE),"")</f>
        <v/>
      </c>
      <c r="H729" s="11"/>
      <c r="I729" s="12"/>
      <c r="J729" s="15"/>
      <c r="K729" s="16">
        <f t="shared" si="33"/>
        <v>0</v>
      </c>
      <c r="L729" s="16">
        <f t="shared" si="34"/>
        <v>0</v>
      </c>
      <c r="M729" s="16">
        <f>IFERROR(AVERAGEIF('Production Batches'!$C:$C,F729,'Production Batches'!$L:$L),0)</f>
        <v>0</v>
      </c>
      <c r="N729" s="16">
        <f t="shared" si="35"/>
        <v>0</v>
      </c>
      <c r="P729" s="11"/>
      <c r="Q729" s="30"/>
    </row>
    <row r="730" spans="2:17">
      <c r="B730" s="30"/>
      <c r="C730" s="11"/>
      <c r="D730" s="11"/>
      <c r="E730" t="str">
        <f>IFERROR(VLOOKUP(D730,Customers!$A:$B,2,FALSE),"")</f>
        <v/>
      </c>
      <c r="F730" s="11"/>
      <c r="G730" t="str">
        <f>IFERROR(VLOOKUP(F730,'Products Index'!$A:$B,2,FALSE),"")</f>
        <v/>
      </c>
      <c r="H730" s="11"/>
      <c r="I730" s="12"/>
      <c r="J730" s="15"/>
      <c r="K730" s="16">
        <f t="shared" si="33"/>
        <v>0</v>
      </c>
      <c r="L730" s="16">
        <f t="shared" si="34"/>
        <v>0</v>
      </c>
      <c r="M730" s="16">
        <f>IFERROR(AVERAGEIF('Production Batches'!$C:$C,F730,'Production Batches'!$L:$L),0)</f>
        <v>0</v>
      </c>
      <c r="N730" s="16">
        <f t="shared" si="35"/>
        <v>0</v>
      </c>
      <c r="P730" s="11"/>
      <c r="Q730" s="30"/>
    </row>
    <row r="731" spans="2:17">
      <c r="B731" s="30"/>
      <c r="C731" s="11"/>
      <c r="D731" s="11"/>
      <c r="E731" t="str">
        <f>IFERROR(VLOOKUP(D731,Customers!$A:$B,2,FALSE),"")</f>
        <v/>
      </c>
      <c r="F731" s="11"/>
      <c r="G731" t="str">
        <f>IFERROR(VLOOKUP(F731,'Products Index'!$A:$B,2,FALSE),"")</f>
        <v/>
      </c>
      <c r="H731" s="11"/>
      <c r="I731" s="12"/>
      <c r="J731" s="15"/>
      <c r="K731" s="16">
        <f t="shared" si="33"/>
        <v>0</v>
      </c>
      <c r="L731" s="16">
        <f t="shared" si="34"/>
        <v>0</v>
      </c>
      <c r="M731" s="16">
        <f>IFERROR(AVERAGEIF('Production Batches'!$C:$C,F731,'Production Batches'!$L:$L),0)</f>
        <v>0</v>
      </c>
      <c r="N731" s="16">
        <f t="shared" si="35"/>
        <v>0</v>
      </c>
      <c r="P731" s="11"/>
      <c r="Q731" s="30"/>
    </row>
    <row r="732" spans="2:17">
      <c r="B732" s="30"/>
      <c r="C732" s="11"/>
      <c r="D732" s="11"/>
      <c r="E732" t="str">
        <f>IFERROR(VLOOKUP(D732,Customers!$A:$B,2,FALSE),"")</f>
        <v/>
      </c>
      <c r="F732" s="11"/>
      <c r="G732" t="str">
        <f>IFERROR(VLOOKUP(F732,'Products Index'!$A:$B,2,FALSE),"")</f>
        <v/>
      </c>
      <c r="H732" s="11"/>
      <c r="I732" s="12"/>
      <c r="J732" s="15"/>
      <c r="K732" s="16">
        <f t="shared" si="33"/>
        <v>0</v>
      </c>
      <c r="L732" s="16">
        <f t="shared" si="34"/>
        <v>0</v>
      </c>
      <c r="M732" s="16">
        <f>IFERROR(AVERAGEIF('Production Batches'!$C:$C,F732,'Production Batches'!$L:$L),0)</f>
        <v>0</v>
      </c>
      <c r="N732" s="16">
        <f t="shared" si="35"/>
        <v>0</v>
      </c>
      <c r="P732" s="11"/>
      <c r="Q732" s="30"/>
    </row>
    <row r="733" spans="2:17">
      <c r="B733" s="30"/>
      <c r="C733" s="11"/>
      <c r="D733" s="11"/>
      <c r="E733" t="str">
        <f>IFERROR(VLOOKUP(D733,Customers!$A:$B,2,FALSE),"")</f>
        <v/>
      </c>
      <c r="F733" s="11"/>
      <c r="G733" t="str">
        <f>IFERROR(VLOOKUP(F733,'Products Index'!$A:$B,2,FALSE),"")</f>
        <v/>
      </c>
      <c r="H733" s="11"/>
      <c r="I733" s="12"/>
      <c r="J733" s="15"/>
      <c r="K733" s="16">
        <f t="shared" si="33"/>
        <v>0</v>
      </c>
      <c r="L733" s="16">
        <f t="shared" si="34"/>
        <v>0</v>
      </c>
      <c r="M733" s="16">
        <f>IFERROR(AVERAGEIF('Production Batches'!$C:$C,F733,'Production Batches'!$L:$L),0)</f>
        <v>0</v>
      </c>
      <c r="N733" s="16">
        <f t="shared" si="35"/>
        <v>0</v>
      </c>
      <c r="P733" s="11"/>
      <c r="Q733" s="30"/>
    </row>
    <row r="734" spans="2:17">
      <c r="B734" s="30"/>
      <c r="C734" s="11"/>
      <c r="D734" s="11"/>
      <c r="E734" t="str">
        <f>IFERROR(VLOOKUP(D734,Customers!$A:$B,2,FALSE),"")</f>
        <v/>
      </c>
      <c r="F734" s="11"/>
      <c r="G734" t="str">
        <f>IFERROR(VLOOKUP(F734,'Products Index'!$A:$B,2,FALSE),"")</f>
        <v/>
      </c>
      <c r="H734" s="11"/>
      <c r="I734" s="12"/>
      <c r="J734" s="15"/>
      <c r="K734" s="16">
        <f t="shared" si="33"/>
        <v>0</v>
      </c>
      <c r="L734" s="16">
        <f t="shared" si="34"/>
        <v>0</v>
      </c>
      <c r="M734" s="16">
        <f>IFERROR(AVERAGEIF('Production Batches'!$C:$C,F734,'Production Batches'!$L:$L),0)</f>
        <v>0</v>
      </c>
      <c r="N734" s="16">
        <f t="shared" si="35"/>
        <v>0</v>
      </c>
      <c r="P734" s="11"/>
      <c r="Q734" s="30"/>
    </row>
    <row r="735" spans="2:17">
      <c r="B735" s="30"/>
      <c r="C735" s="11"/>
      <c r="D735" s="11"/>
      <c r="E735" t="str">
        <f>IFERROR(VLOOKUP(D735,Customers!$A:$B,2,FALSE),"")</f>
        <v/>
      </c>
      <c r="F735" s="11"/>
      <c r="G735" t="str">
        <f>IFERROR(VLOOKUP(F735,'Products Index'!$A:$B,2,FALSE),"")</f>
        <v/>
      </c>
      <c r="H735" s="11"/>
      <c r="I735" s="12"/>
      <c r="J735" s="15"/>
      <c r="K735" s="16">
        <f t="shared" si="33"/>
        <v>0</v>
      </c>
      <c r="L735" s="16">
        <f t="shared" si="34"/>
        <v>0</v>
      </c>
      <c r="M735" s="16">
        <f>IFERROR(AVERAGEIF('Production Batches'!$C:$C,F735,'Production Batches'!$L:$L),0)</f>
        <v>0</v>
      </c>
      <c r="N735" s="16">
        <f t="shared" si="35"/>
        <v>0</v>
      </c>
      <c r="P735" s="11"/>
      <c r="Q735" s="30"/>
    </row>
    <row r="736" spans="2:17">
      <c r="B736" s="30"/>
      <c r="C736" s="11"/>
      <c r="D736" s="11"/>
      <c r="E736" t="str">
        <f>IFERROR(VLOOKUP(D736,Customers!$A:$B,2,FALSE),"")</f>
        <v/>
      </c>
      <c r="F736" s="11"/>
      <c r="G736" t="str">
        <f>IFERROR(VLOOKUP(F736,'Products Index'!$A:$B,2,FALSE),"")</f>
        <v/>
      </c>
      <c r="H736" s="11"/>
      <c r="I736" s="12"/>
      <c r="J736" s="15"/>
      <c r="K736" s="16">
        <f t="shared" si="33"/>
        <v>0</v>
      </c>
      <c r="L736" s="16">
        <f t="shared" si="34"/>
        <v>0</v>
      </c>
      <c r="M736" s="16">
        <f>IFERROR(AVERAGEIF('Production Batches'!$C:$C,F736,'Production Batches'!$L:$L),0)</f>
        <v>0</v>
      </c>
      <c r="N736" s="16">
        <f t="shared" si="35"/>
        <v>0</v>
      </c>
      <c r="P736" s="11"/>
      <c r="Q736" s="30"/>
    </row>
    <row r="737" spans="2:17">
      <c r="B737" s="30"/>
      <c r="C737" s="11"/>
      <c r="D737" s="11"/>
      <c r="E737" t="str">
        <f>IFERROR(VLOOKUP(D737,Customers!$A:$B,2,FALSE),"")</f>
        <v/>
      </c>
      <c r="F737" s="11"/>
      <c r="G737" t="str">
        <f>IFERROR(VLOOKUP(F737,'Products Index'!$A:$B,2,FALSE),"")</f>
        <v/>
      </c>
      <c r="H737" s="11"/>
      <c r="I737" s="12"/>
      <c r="J737" s="15"/>
      <c r="K737" s="16">
        <f t="shared" si="33"/>
        <v>0</v>
      </c>
      <c r="L737" s="16">
        <f t="shared" si="34"/>
        <v>0</v>
      </c>
      <c r="M737" s="16">
        <f>IFERROR(AVERAGEIF('Production Batches'!$C:$C,F737,'Production Batches'!$L:$L),0)</f>
        <v>0</v>
      </c>
      <c r="N737" s="16">
        <f t="shared" si="35"/>
        <v>0</v>
      </c>
      <c r="P737" s="11"/>
      <c r="Q737" s="30"/>
    </row>
    <row r="738" spans="2:17">
      <c r="B738" s="30"/>
      <c r="C738" s="11"/>
      <c r="D738" s="11"/>
      <c r="E738" t="str">
        <f>IFERROR(VLOOKUP(D738,Customers!$A:$B,2,FALSE),"")</f>
        <v/>
      </c>
      <c r="F738" s="11"/>
      <c r="G738" t="str">
        <f>IFERROR(VLOOKUP(F738,'Products Index'!$A:$B,2,FALSE),"")</f>
        <v/>
      </c>
      <c r="H738" s="11"/>
      <c r="I738" s="12"/>
      <c r="J738" s="15"/>
      <c r="K738" s="16">
        <f t="shared" si="33"/>
        <v>0</v>
      </c>
      <c r="L738" s="16">
        <f t="shared" si="34"/>
        <v>0</v>
      </c>
      <c r="M738" s="16">
        <f>IFERROR(AVERAGEIF('Production Batches'!$C:$C,F738,'Production Batches'!$L:$L),0)</f>
        <v>0</v>
      </c>
      <c r="N738" s="16">
        <f t="shared" si="35"/>
        <v>0</v>
      </c>
      <c r="P738" s="11"/>
      <c r="Q738" s="30"/>
    </row>
    <row r="739" spans="2:17">
      <c r="B739" s="30"/>
      <c r="C739" s="11"/>
      <c r="D739" s="11"/>
      <c r="E739" t="str">
        <f>IFERROR(VLOOKUP(D739,Customers!$A:$B,2,FALSE),"")</f>
        <v/>
      </c>
      <c r="F739" s="11"/>
      <c r="G739" t="str">
        <f>IFERROR(VLOOKUP(F739,'Products Index'!$A:$B,2,FALSE),"")</f>
        <v/>
      </c>
      <c r="H739" s="11"/>
      <c r="I739" s="12"/>
      <c r="J739" s="15"/>
      <c r="K739" s="16">
        <f t="shared" si="33"/>
        <v>0</v>
      </c>
      <c r="L739" s="16">
        <f t="shared" si="34"/>
        <v>0</v>
      </c>
      <c r="M739" s="16">
        <f>IFERROR(AVERAGEIF('Production Batches'!$C:$C,F739,'Production Batches'!$L:$L),0)</f>
        <v>0</v>
      </c>
      <c r="N739" s="16">
        <f t="shared" si="35"/>
        <v>0</v>
      </c>
      <c r="P739" s="11"/>
      <c r="Q739" s="30"/>
    </row>
    <row r="740" spans="2:17">
      <c r="B740" s="30"/>
      <c r="C740" s="11"/>
      <c r="D740" s="11"/>
      <c r="E740" t="str">
        <f>IFERROR(VLOOKUP(D740,Customers!$A:$B,2,FALSE),"")</f>
        <v/>
      </c>
      <c r="F740" s="11"/>
      <c r="G740" t="str">
        <f>IFERROR(VLOOKUP(F740,'Products Index'!$A:$B,2,FALSE),"")</f>
        <v/>
      </c>
      <c r="H740" s="11"/>
      <c r="I740" s="12"/>
      <c r="J740" s="15"/>
      <c r="K740" s="16">
        <f t="shared" si="33"/>
        <v>0</v>
      </c>
      <c r="L740" s="16">
        <f t="shared" si="34"/>
        <v>0</v>
      </c>
      <c r="M740" s="16">
        <f>IFERROR(AVERAGEIF('Production Batches'!$C:$C,F740,'Production Batches'!$L:$L),0)</f>
        <v>0</v>
      </c>
      <c r="N740" s="16">
        <f t="shared" si="35"/>
        <v>0</v>
      </c>
      <c r="P740" s="11"/>
      <c r="Q740" s="30"/>
    </row>
    <row r="741" spans="2:17">
      <c r="B741" s="30"/>
      <c r="C741" s="11"/>
      <c r="D741" s="11"/>
      <c r="E741" t="str">
        <f>IFERROR(VLOOKUP(D741,Customers!$A:$B,2,FALSE),"")</f>
        <v/>
      </c>
      <c r="F741" s="11"/>
      <c r="G741" t="str">
        <f>IFERROR(VLOOKUP(F741,'Products Index'!$A:$B,2,FALSE),"")</f>
        <v/>
      </c>
      <c r="H741" s="11"/>
      <c r="I741" s="12"/>
      <c r="J741" s="15"/>
      <c r="K741" s="16">
        <f t="shared" si="33"/>
        <v>0</v>
      </c>
      <c r="L741" s="16">
        <f t="shared" si="34"/>
        <v>0</v>
      </c>
      <c r="M741" s="16">
        <f>IFERROR(AVERAGEIF('Production Batches'!$C:$C,F741,'Production Batches'!$L:$L),0)</f>
        <v>0</v>
      </c>
      <c r="N741" s="16">
        <f t="shared" si="35"/>
        <v>0</v>
      </c>
      <c r="P741" s="11"/>
      <c r="Q741" s="30"/>
    </row>
    <row r="742" spans="2:17">
      <c r="B742" s="30"/>
      <c r="C742" s="11"/>
      <c r="D742" s="11"/>
      <c r="E742" t="str">
        <f>IFERROR(VLOOKUP(D742,Customers!$A:$B,2,FALSE),"")</f>
        <v/>
      </c>
      <c r="F742" s="11"/>
      <c r="G742" t="str">
        <f>IFERROR(VLOOKUP(F742,'Products Index'!$A:$B,2,FALSE),"")</f>
        <v/>
      </c>
      <c r="H742" s="11"/>
      <c r="I742" s="12"/>
      <c r="J742" s="15"/>
      <c r="K742" s="16">
        <f t="shared" si="33"/>
        <v>0</v>
      </c>
      <c r="L742" s="16">
        <f t="shared" si="34"/>
        <v>0</v>
      </c>
      <c r="M742" s="16">
        <f>IFERROR(AVERAGEIF('Production Batches'!$C:$C,F742,'Production Batches'!$L:$L),0)</f>
        <v>0</v>
      </c>
      <c r="N742" s="16">
        <f t="shared" si="35"/>
        <v>0</v>
      </c>
      <c r="P742" s="11"/>
      <c r="Q742" s="30"/>
    </row>
    <row r="743" spans="2:17">
      <c r="B743" s="30"/>
      <c r="C743" s="11"/>
      <c r="D743" s="11"/>
      <c r="E743" t="str">
        <f>IFERROR(VLOOKUP(D743,Customers!$A:$B,2,FALSE),"")</f>
        <v/>
      </c>
      <c r="F743" s="11"/>
      <c r="G743" t="str">
        <f>IFERROR(VLOOKUP(F743,'Products Index'!$A:$B,2,FALSE),"")</f>
        <v/>
      </c>
      <c r="H743" s="11"/>
      <c r="I743" s="12"/>
      <c r="J743" s="15"/>
      <c r="K743" s="16">
        <f t="shared" si="33"/>
        <v>0</v>
      </c>
      <c r="L743" s="16">
        <f t="shared" si="34"/>
        <v>0</v>
      </c>
      <c r="M743" s="16">
        <f>IFERROR(AVERAGEIF('Production Batches'!$C:$C,F743,'Production Batches'!$L:$L),0)</f>
        <v>0</v>
      </c>
      <c r="N743" s="16">
        <f t="shared" si="35"/>
        <v>0</v>
      </c>
      <c r="P743" s="11"/>
      <c r="Q743" s="30"/>
    </row>
    <row r="744" spans="2:17">
      <c r="B744" s="30"/>
      <c r="C744" s="11"/>
      <c r="D744" s="11"/>
      <c r="E744" t="str">
        <f>IFERROR(VLOOKUP(D744,Customers!$A:$B,2,FALSE),"")</f>
        <v/>
      </c>
      <c r="F744" s="11"/>
      <c r="G744" t="str">
        <f>IFERROR(VLOOKUP(F744,'Products Index'!$A:$B,2,FALSE),"")</f>
        <v/>
      </c>
      <c r="H744" s="11"/>
      <c r="I744" s="12"/>
      <c r="J744" s="15"/>
      <c r="K744" s="16">
        <f t="shared" si="33"/>
        <v>0</v>
      </c>
      <c r="L744" s="16">
        <f t="shared" si="34"/>
        <v>0</v>
      </c>
      <c r="M744" s="16">
        <f>IFERROR(AVERAGEIF('Production Batches'!$C:$C,F744,'Production Batches'!$L:$L),0)</f>
        <v>0</v>
      </c>
      <c r="N744" s="16">
        <f t="shared" si="35"/>
        <v>0</v>
      </c>
      <c r="P744" s="11"/>
      <c r="Q744" s="30"/>
    </row>
    <row r="745" spans="2:17">
      <c r="B745" s="30"/>
      <c r="C745" s="11"/>
      <c r="D745" s="11"/>
      <c r="E745" t="str">
        <f>IFERROR(VLOOKUP(D745,Customers!$A:$B,2,FALSE),"")</f>
        <v/>
      </c>
      <c r="F745" s="11"/>
      <c r="G745" t="str">
        <f>IFERROR(VLOOKUP(F745,'Products Index'!$A:$B,2,FALSE),"")</f>
        <v/>
      </c>
      <c r="H745" s="11"/>
      <c r="I745" s="12"/>
      <c r="J745" s="15"/>
      <c r="K745" s="16">
        <f t="shared" si="33"/>
        <v>0</v>
      </c>
      <c r="L745" s="16">
        <f t="shared" si="34"/>
        <v>0</v>
      </c>
      <c r="M745" s="16">
        <f>IFERROR(AVERAGEIF('Production Batches'!$C:$C,F745,'Production Batches'!$L:$L),0)</f>
        <v>0</v>
      </c>
      <c r="N745" s="16">
        <f t="shared" si="35"/>
        <v>0</v>
      </c>
      <c r="P745" s="11"/>
      <c r="Q745" s="30"/>
    </row>
    <row r="746" spans="2:17">
      <c r="B746" s="30"/>
      <c r="C746" s="11"/>
      <c r="D746" s="11"/>
      <c r="E746" t="str">
        <f>IFERROR(VLOOKUP(D746,Customers!$A:$B,2,FALSE),"")</f>
        <v/>
      </c>
      <c r="F746" s="11"/>
      <c r="G746" t="str">
        <f>IFERROR(VLOOKUP(F746,'Products Index'!$A:$B,2,FALSE),"")</f>
        <v/>
      </c>
      <c r="H746" s="11"/>
      <c r="I746" s="12"/>
      <c r="J746" s="15"/>
      <c r="K746" s="16">
        <f t="shared" si="33"/>
        <v>0</v>
      </c>
      <c r="L746" s="16">
        <f t="shared" si="34"/>
        <v>0</v>
      </c>
      <c r="M746" s="16">
        <f>IFERROR(AVERAGEIF('Production Batches'!$C:$C,F746,'Production Batches'!$L:$L),0)</f>
        <v>0</v>
      </c>
      <c r="N746" s="16">
        <f t="shared" si="35"/>
        <v>0</v>
      </c>
      <c r="P746" s="11"/>
      <c r="Q746" s="30"/>
    </row>
    <row r="747" spans="2:17">
      <c r="B747" s="30"/>
      <c r="C747" s="11"/>
      <c r="D747" s="11"/>
      <c r="E747" t="str">
        <f>IFERROR(VLOOKUP(D747,Customers!$A:$B,2,FALSE),"")</f>
        <v/>
      </c>
      <c r="F747" s="11"/>
      <c r="G747" t="str">
        <f>IFERROR(VLOOKUP(F747,'Products Index'!$A:$B,2,FALSE),"")</f>
        <v/>
      </c>
      <c r="H747" s="11"/>
      <c r="I747" s="12"/>
      <c r="J747" s="15"/>
      <c r="K747" s="16">
        <f t="shared" si="33"/>
        <v>0</v>
      </c>
      <c r="L747" s="16">
        <f t="shared" si="34"/>
        <v>0</v>
      </c>
      <c r="M747" s="16">
        <f>IFERROR(AVERAGEIF('Production Batches'!$C:$C,F747,'Production Batches'!$L:$L),0)</f>
        <v>0</v>
      </c>
      <c r="N747" s="16">
        <f t="shared" si="35"/>
        <v>0</v>
      </c>
      <c r="P747" s="11"/>
      <c r="Q747" s="30"/>
    </row>
    <row r="748" spans="2:17">
      <c r="B748" s="30"/>
      <c r="C748" s="11"/>
      <c r="D748" s="11"/>
      <c r="E748" t="str">
        <f>IFERROR(VLOOKUP(D748,Customers!$A:$B,2,FALSE),"")</f>
        <v/>
      </c>
      <c r="F748" s="11"/>
      <c r="G748" t="str">
        <f>IFERROR(VLOOKUP(F748,'Products Index'!$A:$B,2,FALSE),"")</f>
        <v/>
      </c>
      <c r="H748" s="11"/>
      <c r="I748" s="12"/>
      <c r="J748" s="15"/>
      <c r="K748" s="16">
        <f t="shared" si="33"/>
        <v>0</v>
      </c>
      <c r="L748" s="16">
        <f t="shared" si="34"/>
        <v>0</v>
      </c>
      <c r="M748" s="16">
        <f>IFERROR(AVERAGEIF('Production Batches'!$C:$C,F748,'Production Batches'!$L:$L),0)</f>
        <v>0</v>
      </c>
      <c r="N748" s="16">
        <f t="shared" si="35"/>
        <v>0</v>
      </c>
      <c r="P748" s="11"/>
      <c r="Q748" s="30"/>
    </row>
    <row r="749" spans="2:17">
      <c r="B749" s="30"/>
      <c r="C749" s="11"/>
      <c r="D749" s="11"/>
      <c r="E749" t="str">
        <f>IFERROR(VLOOKUP(D749,Customers!$A:$B,2,FALSE),"")</f>
        <v/>
      </c>
      <c r="F749" s="11"/>
      <c r="G749" t="str">
        <f>IFERROR(VLOOKUP(F749,'Products Index'!$A:$B,2,FALSE),"")</f>
        <v/>
      </c>
      <c r="H749" s="11"/>
      <c r="I749" s="12"/>
      <c r="J749" s="15"/>
      <c r="K749" s="16">
        <f t="shared" si="33"/>
        <v>0</v>
      </c>
      <c r="L749" s="16">
        <f t="shared" si="34"/>
        <v>0</v>
      </c>
      <c r="M749" s="16">
        <f>IFERROR(AVERAGEIF('Production Batches'!$C:$C,F749,'Production Batches'!$L:$L),0)</f>
        <v>0</v>
      </c>
      <c r="N749" s="16">
        <f t="shared" si="35"/>
        <v>0</v>
      </c>
      <c r="P749" s="11"/>
      <c r="Q749" s="30"/>
    </row>
    <row r="750" spans="2:17">
      <c r="B750" s="30"/>
      <c r="C750" s="11"/>
      <c r="D750" s="11"/>
      <c r="E750" t="str">
        <f>IFERROR(VLOOKUP(D750,Customers!$A:$B,2,FALSE),"")</f>
        <v/>
      </c>
      <c r="F750" s="11"/>
      <c r="G750" t="str">
        <f>IFERROR(VLOOKUP(F750,'Products Index'!$A:$B,2,FALSE),"")</f>
        <v/>
      </c>
      <c r="H750" s="11"/>
      <c r="I750" s="12"/>
      <c r="J750" s="15"/>
      <c r="K750" s="16">
        <f t="shared" si="33"/>
        <v>0</v>
      </c>
      <c r="L750" s="16">
        <f t="shared" si="34"/>
        <v>0</v>
      </c>
      <c r="M750" s="16">
        <f>IFERROR(AVERAGEIF('Production Batches'!$C:$C,F750,'Production Batches'!$L:$L),0)</f>
        <v>0</v>
      </c>
      <c r="N750" s="16">
        <f t="shared" si="35"/>
        <v>0</v>
      </c>
      <c r="P750" s="11"/>
      <c r="Q750" s="30"/>
    </row>
    <row r="751" spans="2:17">
      <c r="B751" s="30"/>
      <c r="C751" s="11"/>
      <c r="D751" s="11"/>
      <c r="E751" t="str">
        <f>IFERROR(VLOOKUP(D751,Customers!$A:$B,2,FALSE),"")</f>
        <v/>
      </c>
      <c r="F751" s="11"/>
      <c r="G751" t="str">
        <f>IFERROR(VLOOKUP(F751,'Products Index'!$A:$B,2,FALSE),"")</f>
        <v/>
      </c>
      <c r="H751" s="11"/>
      <c r="I751" s="12"/>
      <c r="J751" s="15"/>
      <c r="K751" s="16">
        <f t="shared" si="33"/>
        <v>0</v>
      </c>
      <c r="L751" s="16">
        <f t="shared" si="34"/>
        <v>0</v>
      </c>
      <c r="M751" s="16">
        <f>IFERROR(AVERAGEIF('Production Batches'!$C:$C,F751,'Production Batches'!$L:$L),0)</f>
        <v>0</v>
      </c>
      <c r="N751" s="16">
        <f t="shared" si="35"/>
        <v>0</v>
      </c>
      <c r="P751" s="11"/>
      <c r="Q751" s="30"/>
    </row>
    <row r="752" spans="2:17">
      <c r="B752" s="30"/>
      <c r="C752" s="11"/>
      <c r="D752" s="11"/>
      <c r="E752" t="str">
        <f>IFERROR(VLOOKUP(D752,Customers!$A:$B,2,FALSE),"")</f>
        <v/>
      </c>
      <c r="F752" s="11"/>
      <c r="G752" t="str">
        <f>IFERROR(VLOOKUP(F752,'Products Index'!$A:$B,2,FALSE),"")</f>
        <v/>
      </c>
      <c r="H752" s="11"/>
      <c r="I752" s="12"/>
      <c r="J752" s="15"/>
      <c r="K752" s="16">
        <f t="shared" si="33"/>
        <v>0</v>
      </c>
      <c r="L752" s="16">
        <f t="shared" si="34"/>
        <v>0</v>
      </c>
      <c r="M752" s="16">
        <f>IFERROR(AVERAGEIF('Production Batches'!$C:$C,F752,'Production Batches'!$L:$L),0)</f>
        <v>0</v>
      </c>
      <c r="N752" s="16">
        <f t="shared" si="35"/>
        <v>0</v>
      </c>
      <c r="P752" s="11"/>
      <c r="Q752" s="30"/>
    </row>
    <row r="753" spans="2:17">
      <c r="B753" s="30"/>
      <c r="C753" s="11"/>
      <c r="D753" s="11"/>
      <c r="E753" t="str">
        <f>IFERROR(VLOOKUP(D753,Customers!$A:$B,2,FALSE),"")</f>
        <v/>
      </c>
      <c r="F753" s="11"/>
      <c r="G753" t="str">
        <f>IFERROR(VLOOKUP(F753,'Products Index'!$A:$B,2,FALSE),"")</f>
        <v/>
      </c>
      <c r="H753" s="11"/>
      <c r="I753" s="12"/>
      <c r="J753" s="15"/>
      <c r="K753" s="16">
        <f t="shared" si="33"/>
        <v>0</v>
      </c>
      <c r="L753" s="16">
        <f t="shared" si="34"/>
        <v>0</v>
      </c>
      <c r="M753" s="16">
        <f>IFERROR(AVERAGEIF('Production Batches'!$C:$C,F753,'Production Batches'!$L:$L),0)</f>
        <v>0</v>
      </c>
      <c r="N753" s="16">
        <f t="shared" si="35"/>
        <v>0</v>
      </c>
      <c r="P753" s="11"/>
      <c r="Q753" s="30"/>
    </row>
    <row r="754" spans="2:17">
      <c r="B754" s="30"/>
      <c r="C754" s="11"/>
      <c r="D754" s="11"/>
      <c r="E754" t="str">
        <f>IFERROR(VLOOKUP(D754,Customers!$A:$B,2,FALSE),"")</f>
        <v/>
      </c>
      <c r="F754" s="11"/>
      <c r="G754" t="str">
        <f>IFERROR(VLOOKUP(F754,'Products Index'!$A:$B,2,FALSE),"")</f>
        <v/>
      </c>
      <c r="H754" s="11"/>
      <c r="I754" s="12"/>
      <c r="J754" s="15"/>
      <c r="K754" s="16">
        <f t="shared" si="33"/>
        <v>0</v>
      </c>
      <c r="L754" s="16">
        <f t="shared" si="34"/>
        <v>0</v>
      </c>
      <c r="M754" s="16">
        <f>IFERROR(AVERAGEIF('Production Batches'!$C:$C,F754,'Production Batches'!$L:$L),0)</f>
        <v>0</v>
      </c>
      <c r="N754" s="16">
        <f t="shared" si="35"/>
        <v>0</v>
      </c>
      <c r="P754" s="11"/>
      <c r="Q754" s="30"/>
    </row>
    <row r="755" spans="2:17">
      <c r="B755" s="30"/>
      <c r="C755" s="11"/>
      <c r="D755" s="11"/>
      <c r="E755" t="str">
        <f>IFERROR(VLOOKUP(D755,Customers!$A:$B,2,FALSE),"")</f>
        <v/>
      </c>
      <c r="F755" s="11"/>
      <c r="G755" t="str">
        <f>IFERROR(VLOOKUP(F755,'Products Index'!$A:$B,2,FALSE),"")</f>
        <v/>
      </c>
      <c r="H755" s="11"/>
      <c r="I755" s="12"/>
      <c r="J755" s="15"/>
      <c r="K755" s="16">
        <f t="shared" si="33"/>
        <v>0</v>
      </c>
      <c r="L755" s="16">
        <f t="shared" si="34"/>
        <v>0</v>
      </c>
      <c r="M755" s="16">
        <f>IFERROR(AVERAGEIF('Production Batches'!$C:$C,F755,'Production Batches'!$L:$L),0)</f>
        <v>0</v>
      </c>
      <c r="N755" s="16">
        <f t="shared" si="35"/>
        <v>0</v>
      </c>
      <c r="P755" s="11"/>
      <c r="Q755" s="30"/>
    </row>
    <row r="756" spans="2:17">
      <c r="B756" s="30"/>
      <c r="C756" s="11"/>
      <c r="D756" s="11"/>
      <c r="E756" t="str">
        <f>IFERROR(VLOOKUP(D756,Customers!$A:$B,2,FALSE),"")</f>
        <v/>
      </c>
      <c r="F756" s="11"/>
      <c r="G756" t="str">
        <f>IFERROR(VLOOKUP(F756,'Products Index'!$A:$B,2,FALSE),"")</f>
        <v/>
      </c>
      <c r="H756" s="11"/>
      <c r="I756" s="12"/>
      <c r="J756" s="15"/>
      <c r="K756" s="16">
        <f t="shared" si="33"/>
        <v>0</v>
      </c>
      <c r="L756" s="16">
        <f t="shared" si="34"/>
        <v>0</v>
      </c>
      <c r="M756" s="16">
        <f>IFERROR(AVERAGEIF('Production Batches'!$C:$C,F756,'Production Batches'!$L:$L),0)</f>
        <v>0</v>
      </c>
      <c r="N756" s="16">
        <f t="shared" si="35"/>
        <v>0</v>
      </c>
      <c r="P756" s="11"/>
      <c r="Q756" s="30"/>
    </row>
    <row r="757" spans="2:17">
      <c r="B757" s="30"/>
      <c r="C757" s="11"/>
      <c r="D757" s="11"/>
      <c r="E757" t="str">
        <f>IFERROR(VLOOKUP(D757,Customers!$A:$B,2,FALSE),"")</f>
        <v/>
      </c>
      <c r="F757" s="11"/>
      <c r="G757" t="str">
        <f>IFERROR(VLOOKUP(F757,'Products Index'!$A:$B,2,FALSE),"")</f>
        <v/>
      </c>
      <c r="H757" s="11"/>
      <c r="I757" s="12"/>
      <c r="J757" s="15"/>
      <c r="K757" s="16">
        <f t="shared" si="33"/>
        <v>0</v>
      </c>
      <c r="L757" s="16">
        <f t="shared" si="34"/>
        <v>0</v>
      </c>
      <c r="M757" s="16">
        <f>IFERROR(AVERAGEIF('Production Batches'!$C:$C,F757,'Production Batches'!$L:$L),0)</f>
        <v>0</v>
      </c>
      <c r="N757" s="16">
        <f t="shared" si="35"/>
        <v>0</v>
      </c>
      <c r="P757" s="11"/>
      <c r="Q757" s="30"/>
    </row>
    <row r="758" spans="2:17">
      <c r="B758" s="30"/>
      <c r="C758" s="11"/>
      <c r="D758" s="11"/>
      <c r="E758" t="str">
        <f>IFERROR(VLOOKUP(D758,Customers!$A:$B,2,FALSE),"")</f>
        <v/>
      </c>
      <c r="F758" s="11"/>
      <c r="G758" t="str">
        <f>IFERROR(VLOOKUP(F758,'Products Index'!$A:$B,2,FALSE),"")</f>
        <v/>
      </c>
      <c r="H758" s="11"/>
      <c r="I758" s="12"/>
      <c r="J758" s="15"/>
      <c r="K758" s="16">
        <f t="shared" si="33"/>
        <v>0</v>
      </c>
      <c r="L758" s="16">
        <f t="shared" si="34"/>
        <v>0</v>
      </c>
      <c r="M758" s="16">
        <f>IFERROR(AVERAGEIF('Production Batches'!$C:$C,F758,'Production Batches'!$L:$L),0)</f>
        <v>0</v>
      </c>
      <c r="N758" s="16">
        <f t="shared" si="35"/>
        <v>0</v>
      </c>
      <c r="P758" s="11"/>
      <c r="Q758" s="30"/>
    </row>
    <row r="759" spans="2:17">
      <c r="B759" s="30"/>
      <c r="C759" s="11"/>
      <c r="D759" s="11"/>
      <c r="E759" t="str">
        <f>IFERROR(VLOOKUP(D759,Customers!$A:$B,2,FALSE),"")</f>
        <v/>
      </c>
      <c r="F759" s="11"/>
      <c r="G759" t="str">
        <f>IFERROR(VLOOKUP(F759,'Products Index'!$A:$B,2,FALSE),"")</f>
        <v/>
      </c>
      <c r="H759" s="11"/>
      <c r="I759" s="12"/>
      <c r="J759" s="15"/>
      <c r="K759" s="16">
        <f t="shared" si="33"/>
        <v>0</v>
      </c>
      <c r="L759" s="16">
        <f t="shared" si="34"/>
        <v>0</v>
      </c>
      <c r="M759" s="16">
        <f>IFERROR(AVERAGEIF('Production Batches'!$C:$C,F759,'Production Batches'!$L:$L),0)</f>
        <v>0</v>
      </c>
      <c r="N759" s="16">
        <f t="shared" si="35"/>
        <v>0</v>
      </c>
      <c r="P759" s="11"/>
      <c r="Q759" s="30"/>
    </row>
    <row r="760" spans="2:17">
      <c r="B760" s="30"/>
      <c r="C760" s="11"/>
      <c r="D760" s="11"/>
      <c r="E760" t="str">
        <f>IFERROR(VLOOKUP(D760,Customers!$A:$B,2,FALSE),"")</f>
        <v/>
      </c>
      <c r="F760" s="11"/>
      <c r="G760" t="str">
        <f>IFERROR(VLOOKUP(F760,'Products Index'!$A:$B,2,FALSE),"")</f>
        <v/>
      </c>
      <c r="H760" s="11"/>
      <c r="I760" s="12"/>
      <c r="J760" s="15"/>
      <c r="K760" s="16">
        <f t="shared" si="33"/>
        <v>0</v>
      </c>
      <c r="L760" s="16">
        <f t="shared" si="34"/>
        <v>0</v>
      </c>
      <c r="M760" s="16">
        <f>IFERROR(AVERAGEIF('Production Batches'!$C:$C,F760,'Production Batches'!$L:$L),0)</f>
        <v>0</v>
      </c>
      <c r="N760" s="16">
        <f t="shared" si="35"/>
        <v>0</v>
      </c>
      <c r="P760" s="11"/>
      <c r="Q760" s="30"/>
    </row>
    <row r="761" spans="2:17">
      <c r="B761" s="30"/>
      <c r="C761" s="11"/>
      <c r="D761" s="11"/>
      <c r="E761" t="str">
        <f>IFERROR(VLOOKUP(D761,Customers!$A:$B,2,FALSE),"")</f>
        <v/>
      </c>
      <c r="F761" s="11"/>
      <c r="G761" t="str">
        <f>IFERROR(VLOOKUP(F761,'Products Index'!$A:$B,2,FALSE),"")</f>
        <v/>
      </c>
      <c r="H761" s="11"/>
      <c r="I761" s="12"/>
      <c r="J761" s="15"/>
      <c r="K761" s="16">
        <f t="shared" si="33"/>
        <v>0</v>
      </c>
      <c r="L761" s="16">
        <f t="shared" si="34"/>
        <v>0</v>
      </c>
      <c r="M761" s="16">
        <f>IFERROR(AVERAGEIF('Production Batches'!$C:$C,F761,'Production Batches'!$L:$L),0)</f>
        <v>0</v>
      </c>
      <c r="N761" s="16">
        <f t="shared" si="35"/>
        <v>0</v>
      </c>
      <c r="P761" s="11"/>
      <c r="Q761" s="30"/>
    </row>
    <row r="762" spans="2:17">
      <c r="B762" s="30"/>
      <c r="C762" s="11"/>
      <c r="D762" s="11"/>
      <c r="E762" t="str">
        <f>IFERROR(VLOOKUP(D762,Customers!$A:$B,2,FALSE),"")</f>
        <v/>
      </c>
      <c r="F762" s="11"/>
      <c r="G762" t="str">
        <f>IFERROR(VLOOKUP(F762,'Products Index'!$A:$B,2,FALSE),"")</f>
        <v/>
      </c>
      <c r="H762" s="11"/>
      <c r="I762" s="12"/>
      <c r="J762" s="15"/>
      <c r="K762" s="16">
        <f t="shared" si="33"/>
        <v>0</v>
      </c>
      <c r="L762" s="16">
        <f t="shared" si="34"/>
        <v>0</v>
      </c>
      <c r="M762" s="16">
        <f>IFERROR(AVERAGEIF('Production Batches'!$C:$C,F762,'Production Batches'!$L:$L),0)</f>
        <v>0</v>
      </c>
      <c r="N762" s="16">
        <f t="shared" si="35"/>
        <v>0</v>
      </c>
      <c r="P762" s="11"/>
      <c r="Q762" s="30"/>
    </row>
    <row r="763" spans="2:17">
      <c r="B763" s="30"/>
      <c r="C763" s="11"/>
      <c r="D763" s="11"/>
      <c r="E763" t="str">
        <f>IFERROR(VLOOKUP(D763,Customers!$A:$B,2,FALSE),"")</f>
        <v/>
      </c>
      <c r="F763" s="11"/>
      <c r="G763" t="str">
        <f>IFERROR(VLOOKUP(F763,'Products Index'!$A:$B,2,FALSE),"")</f>
        <v/>
      </c>
      <c r="H763" s="11"/>
      <c r="I763" s="12"/>
      <c r="J763" s="15"/>
      <c r="K763" s="16">
        <f t="shared" si="33"/>
        <v>0</v>
      </c>
      <c r="L763" s="16">
        <f t="shared" si="34"/>
        <v>0</v>
      </c>
      <c r="M763" s="16">
        <f>IFERROR(AVERAGEIF('Production Batches'!$C:$C,F763,'Production Batches'!$L:$L),0)</f>
        <v>0</v>
      </c>
      <c r="N763" s="16">
        <f t="shared" si="35"/>
        <v>0</v>
      </c>
      <c r="P763" s="11"/>
      <c r="Q763" s="30"/>
    </row>
    <row r="764" spans="2:17">
      <c r="B764" s="30"/>
      <c r="C764" s="11"/>
      <c r="D764" s="11"/>
      <c r="E764" t="str">
        <f>IFERROR(VLOOKUP(D764,Customers!$A:$B,2,FALSE),"")</f>
        <v/>
      </c>
      <c r="F764" s="11"/>
      <c r="G764" t="str">
        <f>IFERROR(VLOOKUP(F764,'Products Index'!$A:$B,2,FALSE),"")</f>
        <v/>
      </c>
      <c r="H764" s="11"/>
      <c r="I764" s="12"/>
      <c r="J764" s="15"/>
      <c r="K764" s="16">
        <f t="shared" si="33"/>
        <v>0</v>
      </c>
      <c r="L764" s="16">
        <f t="shared" si="34"/>
        <v>0</v>
      </c>
      <c r="M764" s="16">
        <f>IFERROR(AVERAGEIF('Production Batches'!$C:$C,F764,'Production Batches'!$L:$L),0)</f>
        <v>0</v>
      </c>
      <c r="N764" s="16">
        <f t="shared" si="35"/>
        <v>0</v>
      </c>
      <c r="P764" s="11"/>
      <c r="Q764" s="30"/>
    </row>
    <row r="765" spans="2:17">
      <c r="B765" s="30"/>
      <c r="C765" s="11"/>
      <c r="D765" s="11"/>
      <c r="E765" t="str">
        <f>IFERROR(VLOOKUP(D765,Customers!$A:$B,2,FALSE),"")</f>
        <v/>
      </c>
      <c r="F765" s="11"/>
      <c r="G765" t="str">
        <f>IFERROR(VLOOKUP(F765,'Products Index'!$A:$B,2,FALSE),"")</f>
        <v/>
      </c>
      <c r="H765" s="11"/>
      <c r="I765" s="12"/>
      <c r="J765" s="15"/>
      <c r="K765" s="16">
        <f t="shared" si="33"/>
        <v>0</v>
      </c>
      <c r="L765" s="16">
        <f t="shared" si="34"/>
        <v>0</v>
      </c>
      <c r="M765" s="16">
        <f>IFERROR(AVERAGEIF('Production Batches'!$C:$C,F765,'Production Batches'!$L:$L),0)</f>
        <v>0</v>
      </c>
      <c r="N765" s="16">
        <f t="shared" si="35"/>
        <v>0</v>
      </c>
      <c r="P765" s="11"/>
      <c r="Q765" s="30"/>
    </row>
    <row r="766" spans="2:17">
      <c r="B766" s="30"/>
      <c r="C766" s="11"/>
      <c r="D766" s="11"/>
      <c r="E766" t="str">
        <f>IFERROR(VLOOKUP(D766,Customers!$A:$B,2,FALSE),"")</f>
        <v/>
      </c>
      <c r="F766" s="11"/>
      <c r="G766" t="str">
        <f>IFERROR(VLOOKUP(F766,'Products Index'!$A:$B,2,FALSE),"")</f>
        <v/>
      </c>
      <c r="H766" s="11"/>
      <c r="I766" s="12"/>
      <c r="J766" s="15"/>
      <c r="K766" s="16">
        <f t="shared" si="33"/>
        <v>0</v>
      </c>
      <c r="L766" s="16">
        <f t="shared" si="34"/>
        <v>0</v>
      </c>
      <c r="M766" s="16">
        <f>IFERROR(AVERAGEIF('Production Batches'!$C:$C,F766,'Production Batches'!$L:$L),0)</f>
        <v>0</v>
      </c>
      <c r="N766" s="16">
        <f t="shared" si="35"/>
        <v>0</v>
      </c>
      <c r="P766" s="11"/>
      <c r="Q766" s="30"/>
    </row>
    <row r="767" spans="2:17">
      <c r="B767" s="30"/>
      <c r="C767" s="11"/>
      <c r="D767" s="11"/>
      <c r="E767" t="str">
        <f>IFERROR(VLOOKUP(D767,Customers!$A:$B,2,FALSE),"")</f>
        <v/>
      </c>
      <c r="F767" s="11"/>
      <c r="G767" t="str">
        <f>IFERROR(VLOOKUP(F767,'Products Index'!$A:$B,2,FALSE),"")</f>
        <v/>
      </c>
      <c r="H767" s="11"/>
      <c r="I767" s="12"/>
      <c r="J767" s="15"/>
      <c r="K767" s="16">
        <f t="shared" si="33"/>
        <v>0</v>
      </c>
      <c r="L767" s="16">
        <f t="shared" si="34"/>
        <v>0</v>
      </c>
      <c r="M767" s="16">
        <f>IFERROR(AVERAGEIF('Production Batches'!$C:$C,F767,'Production Batches'!$L:$L),0)</f>
        <v>0</v>
      </c>
      <c r="N767" s="16">
        <f t="shared" si="35"/>
        <v>0</v>
      </c>
      <c r="P767" s="11"/>
      <c r="Q767" s="30"/>
    </row>
    <row r="768" spans="2:17">
      <c r="B768" s="30"/>
      <c r="C768" s="11"/>
      <c r="D768" s="11"/>
      <c r="E768" t="str">
        <f>IFERROR(VLOOKUP(D768,Customers!$A:$B,2,FALSE),"")</f>
        <v/>
      </c>
      <c r="F768" s="11"/>
      <c r="G768" t="str">
        <f>IFERROR(VLOOKUP(F768,'Products Index'!$A:$B,2,FALSE),"")</f>
        <v/>
      </c>
      <c r="H768" s="11"/>
      <c r="I768" s="12"/>
      <c r="J768" s="15"/>
      <c r="K768" s="16">
        <f t="shared" si="33"/>
        <v>0</v>
      </c>
      <c r="L768" s="16">
        <f t="shared" si="34"/>
        <v>0</v>
      </c>
      <c r="M768" s="16">
        <f>IFERROR(AVERAGEIF('Production Batches'!$C:$C,F768,'Production Batches'!$L:$L),0)</f>
        <v>0</v>
      </c>
      <c r="N768" s="16">
        <f t="shared" si="35"/>
        <v>0</v>
      </c>
      <c r="P768" s="11"/>
      <c r="Q768" s="30"/>
    </row>
    <row r="769" spans="2:17">
      <c r="B769" s="30"/>
      <c r="C769" s="11"/>
      <c r="D769" s="11"/>
      <c r="E769" t="str">
        <f>IFERROR(VLOOKUP(D769,Customers!$A:$B,2,FALSE),"")</f>
        <v/>
      </c>
      <c r="F769" s="11"/>
      <c r="G769" t="str">
        <f>IFERROR(VLOOKUP(F769,'Products Index'!$A:$B,2,FALSE),"")</f>
        <v/>
      </c>
      <c r="H769" s="11"/>
      <c r="I769" s="12"/>
      <c r="J769" s="15"/>
      <c r="K769" s="16">
        <f t="shared" si="33"/>
        <v>0</v>
      </c>
      <c r="L769" s="16">
        <f t="shared" si="34"/>
        <v>0</v>
      </c>
      <c r="M769" s="16">
        <f>IFERROR(AVERAGEIF('Production Batches'!$C:$C,F769,'Production Batches'!$L:$L),0)</f>
        <v>0</v>
      </c>
      <c r="N769" s="16">
        <f t="shared" si="35"/>
        <v>0</v>
      </c>
      <c r="P769" s="11"/>
      <c r="Q769" s="30"/>
    </row>
    <row r="770" spans="2:17">
      <c r="B770" s="30"/>
      <c r="C770" s="11"/>
      <c r="D770" s="11"/>
      <c r="E770" t="str">
        <f>IFERROR(VLOOKUP(D770,Customers!$A:$B,2,FALSE),"")</f>
        <v/>
      </c>
      <c r="F770" s="11"/>
      <c r="G770" t="str">
        <f>IFERROR(VLOOKUP(F770,'Products Index'!$A:$B,2,FALSE),"")</f>
        <v/>
      </c>
      <c r="H770" s="11"/>
      <c r="I770" s="12"/>
      <c r="J770" s="15"/>
      <c r="K770" s="16">
        <f t="shared" ref="K770:K833" si="36">IFERROR(I770*(1-J770),0)</f>
        <v>0</v>
      </c>
      <c r="L770" s="16">
        <f t="shared" ref="L770:L833" si="37">IFERROR(K770*H770,0)</f>
        <v>0</v>
      </c>
      <c r="M770" s="16">
        <f>IFERROR(AVERAGEIF('Production Batches'!$C:$C,F770,'Production Batches'!$L:$L),0)</f>
        <v>0</v>
      </c>
      <c r="N770" s="16">
        <f t="shared" ref="N770:N833" si="38">IFERROR(L770-(M770*H770),0)</f>
        <v>0</v>
      </c>
      <c r="P770" s="11"/>
      <c r="Q770" s="30"/>
    </row>
    <row r="771" spans="2:17">
      <c r="B771" s="30"/>
      <c r="C771" s="11"/>
      <c r="D771" s="11"/>
      <c r="E771" t="str">
        <f>IFERROR(VLOOKUP(D771,Customers!$A:$B,2,FALSE),"")</f>
        <v/>
      </c>
      <c r="F771" s="11"/>
      <c r="G771" t="str">
        <f>IFERROR(VLOOKUP(F771,'Products Index'!$A:$B,2,FALSE),"")</f>
        <v/>
      </c>
      <c r="H771" s="11"/>
      <c r="I771" s="12"/>
      <c r="J771" s="15"/>
      <c r="K771" s="16">
        <f t="shared" si="36"/>
        <v>0</v>
      </c>
      <c r="L771" s="16">
        <f t="shared" si="37"/>
        <v>0</v>
      </c>
      <c r="M771" s="16">
        <f>IFERROR(AVERAGEIF('Production Batches'!$C:$C,F771,'Production Batches'!$L:$L),0)</f>
        <v>0</v>
      </c>
      <c r="N771" s="16">
        <f t="shared" si="38"/>
        <v>0</v>
      </c>
      <c r="P771" s="11"/>
      <c r="Q771" s="30"/>
    </row>
    <row r="772" spans="2:17">
      <c r="B772" s="30"/>
      <c r="C772" s="11"/>
      <c r="D772" s="11"/>
      <c r="E772" t="str">
        <f>IFERROR(VLOOKUP(D772,Customers!$A:$B,2,FALSE),"")</f>
        <v/>
      </c>
      <c r="F772" s="11"/>
      <c r="G772" t="str">
        <f>IFERROR(VLOOKUP(F772,'Products Index'!$A:$B,2,FALSE),"")</f>
        <v/>
      </c>
      <c r="H772" s="11"/>
      <c r="I772" s="12"/>
      <c r="J772" s="15"/>
      <c r="K772" s="16">
        <f t="shared" si="36"/>
        <v>0</v>
      </c>
      <c r="L772" s="16">
        <f t="shared" si="37"/>
        <v>0</v>
      </c>
      <c r="M772" s="16">
        <f>IFERROR(AVERAGEIF('Production Batches'!$C:$C,F772,'Production Batches'!$L:$L),0)</f>
        <v>0</v>
      </c>
      <c r="N772" s="16">
        <f t="shared" si="38"/>
        <v>0</v>
      </c>
      <c r="P772" s="11"/>
      <c r="Q772" s="30"/>
    </row>
    <row r="773" spans="2:17">
      <c r="B773" s="30"/>
      <c r="C773" s="11"/>
      <c r="D773" s="11"/>
      <c r="E773" t="str">
        <f>IFERROR(VLOOKUP(D773,Customers!$A:$B,2,FALSE),"")</f>
        <v/>
      </c>
      <c r="F773" s="11"/>
      <c r="G773" t="str">
        <f>IFERROR(VLOOKUP(F773,'Products Index'!$A:$B,2,FALSE),"")</f>
        <v/>
      </c>
      <c r="H773" s="11"/>
      <c r="I773" s="12"/>
      <c r="J773" s="15"/>
      <c r="K773" s="16">
        <f t="shared" si="36"/>
        <v>0</v>
      </c>
      <c r="L773" s="16">
        <f t="shared" si="37"/>
        <v>0</v>
      </c>
      <c r="M773" s="16">
        <f>IFERROR(AVERAGEIF('Production Batches'!$C:$C,F773,'Production Batches'!$L:$L),0)</f>
        <v>0</v>
      </c>
      <c r="N773" s="16">
        <f t="shared" si="38"/>
        <v>0</v>
      </c>
      <c r="P773" s="11"/>
      <c r="Q773" s="30"/>
    </row>
    <row r="774" spans="2:17">
      <c r="B774" s="30"/>
      <c r="C774" s="11"/>
      <c r="D774" s="11"/>
      <c r="E774" t="str">
        <f>IFERROR(VLOOKUP(D774,Customers!$A:$B,2,FALSE),"")</f>
        <v/>
      </c>
      <c r="F774" s="11"/>
      <c r="G774" t="str">
        <f>IFERROR(VLOOKUP(F774,'Products Index'!$A:$B,2,FALSE),"")</f>
        <v/>
      </c>
      <c r="H774" s="11"/>
      <c r="I774" s="12"/>
      <c r="J774" s="15"/>
      <c r="K774" s="16">
        <f t="shared" si="36"/>
        <v>0</v>
      </c>
      <c r="L774" s="16">
        <f t="shared" si="37"/>
        <v>0</v>
      </c>
      <c r="M774" s="16">
        <f>IFERROR(AVERAGEIF('Production Batches'!$C:$C,F774,'Production Batches'!$L:$L),0)</f>
        <v>0</v>
      </c>
      <c r="N774" s="16">
        <f t="shared" si="38"/>
        <v>0</v>
      </c>
      <c r="P774" s="11"/>
      <c r="Q774" s="30"/>
    </row>
    <row r="775" spans="2:17">
      <c r="B775" s="30"/>
      <c r="C775" s="11"/>
      <c r="D775" s="11"/>
      <c r="E775" t="str">
        <f>IFERROR(VLOOKUP(D775,Customers!$A:$B,2,FALSE),"")</f>
        <v/>
      </c>
      <c r="F775" s="11"/>
      <c r="G775" t="str">
        <f>IFERROR(VLOOKUP(F775,'Products Index'!$A:$B,2,FALSE),"")</f>
        <v/>
      </c>
      <c r="H775" s="11"/>
      <c r="I775" s="12"/>
      <c r="J775" s="15"/>
      <c r="K775" s="16">
        <f t="shared" si="36"/>
        <v>0</v>
      </c>
      <c r="L775" s="16">
        <f t="shared" si="37"/>
        <v>0</v>
      </c>
      <c r="M775" s="16">
        <f>IFERROR(AVERAGEIF('Production Batches'!$C:$C,F775,'Production Batches'!$L:$L),0)</f>
        <v>0</v>
      </c>
      <c r="N775" s="16">
        <f t="shared" si="38"/>
        <v>0</v>
      </c>
      <c r="P775" s="11"/>
      <c r="Q775" s="30"/>
    </row>
    <row r="776" spans="2:17">
      <c r="B776" s="30"/>
      <c r="C776" s="11"/>
      <c r="D776" s="11"/>
      <c r="E776" t="str">
        <f>IFERROR(VLOOKUP(D776,Customers!$A:$B,2,FALSE),"")</f>
        <v/>
      </c>
      <c r="F776" s="11"/>
      <c r="G776" t="str">
        <f>IFERROR(VLOOKUP(F776,'Products Index'!$A:$B,2,FALSE),"")</f>
        <v/>
      </c>
      <c r="H776" s="11"/>
      <c r="I776" s="12"/>
      <c r="J776" s="15"/>
      <c r="K776" s="16">
        <f t="shared" si="36"/>
        <v>0</v>
      </c>
      <c r="L776" s="16">
        <f t="shared" si="37"/>
        <v>0</v>
      </c>
      <c r="M776" s="16">
        <f>IFERROR(AVERAGEIF('Production Batches'!$C:$C,F776,'Production Batches'!$L:$L),0)</f>
        <v>0</v>
      </c>
      <c r="N776" s="16">
        <f t="shared" si="38"/>
        <v>0</v>
      </c>
      <c r="P776" s="11"/>
      <c r="Q776" s="30"/>
    </row>
    <row r="777" spans="2:17">
      <c r="B777" s="30"/>
      <c r="C777" s="11"/>
      <c r="D777" s="11"/>
      <c r="E777" t="str">
        <f>IFERROR(VLOOKUP(D777,Customers!$A:$B,2,FALSE),"")</f>
        <v/>
      </c>
      <c r="F777" s="11"/>
      <c r="G777" t="str">
        <f>IFERROR(VLOOKUP(F777,'Products Index'!$A:$B,2,FALSE),"")</f>
        <v/>
      </c>
      <c r="H777" s="11"/>
      <c r="I777" s="12"/>
      <c r="J777" s="15"/>
      <c r="K777" s="16">
        <f t="shared" si="36"/>
        <v>0</v>
      </c>
      <c r="L777" s="16">
        <f t="shared" si="37"/>
        <v>0</v>
      </c>
      <c r="M777" s="16">
        <f>IFERROR(AVERAGEIF('Production Batches'!$C:$C,F777,'Production Batches'!$L:$L),0)</f>
        <v>0</v>
      </c>
      <c r="N777" s="16">
        <f t="shared" si="38"/>
        <v>0</v>
      </c>
      <c r="P777" s="11"/>
      <c r="Q777" s="30"/>
    </row>
    <row r="778" spans="2:17">
      <c r="B778" s="30"/>
      <c r="C778" s="11"/>
      <c r="D778" s="11"/>
      <c r="E778" t="str">
        <f>IFERROR(VLOOKUP(D778,Customers!$A:$B,2,FALSE),"")</f>
        <v/>
      </c>
      <c r="F778" s="11"/>
      <c r="G778" t="str">
        <f>IFERROR(VLOOKUP(F778,'Products Index'!$A:$B,2,FALSE),"")</f>
        <v/>
      </c>
      <c r="H778" s="11"/>
      <c r="I778" s="12"/>
      <c r="J778" s="15"/>
      <c r="K778" s="16">
        <f t="shared" si="36"/>
        <v>0</v>
      </c>
      <c r="L778" s="16">
        <f t="shared" si="37"/>
        <v>0</v>
      </c>
      <c r="M778" s="16">
        <f>IFERROR(AVERAGEIF('Production Batches'!$C:$C,F778,'Production Batches'!$L:$L),0)</f>
        <v>0</v>
      </c>
      <c r="N778" s="16">
        <f t="shared" si="38"/>
        <v>0</v>
      </c>
      <c r="P778" s="11"/>
      <c r="Q778" s="30"/>
    </row>
    <row r="779" spans="2:17">
      <c r="B779" s="30"/>
      <c r="C779" s="11"/>
      <c r="D779" s="11"/>
      <c r="E779" t="str">
        <f>IFERROR(VLOOKUP(D779,Customers!$A:$B,2,FALSE),"")</f>
        <v/>
      </c>
      <c r="F779" s="11"/>
      <c r="G779" t="str">
        <f>IFERROR(VLOOKUP(F779,'Products Index'!$A:$B,2,FALSE),"")</f>
        <v/>
      </c>
      <c r="H779" s="11"/>
      <c r="I779" s="12"/>
      <c r="J779" s="15"/>
      <c r="K779" s="16">
        <f t="shared" si="36"/>
        <v>0</v>
      </c>
      <c r="L779" s="16">
        <f t="shared" si="37"/>
        <v>0</v>
      </c>
      <c r="M779" s="16">
        <f>IFERROR(AVERAGEIF('Production Batches'!$C:$C,F779,'Production Batches'!$L:$L),0)</f>
        <v>0</v>
      </c>
      <c r="N779" s="16">
        <f t="shared" si="38"/>
        <v>0</v>
      </c>
      <c r="P779" s="11"/>
      <c r="Q779" s="30"/>
    </row>
    <row r="780" spans="2:17">
      <c r="B780" s="30"/>
      <c r="C780" s="11"/>
      <c r="D780" s="11"/>
      <c r="E780" t="str">
        <f>IFERROR(VLOOKUP(D780,Customers!$A:$B,2,FALSE),"")</f>
        <v/>
      </c>
      <c r="F780" s="11"/>
      <c r="G780" t="str">
        <f>IFERROR(VLOOKUP(F780,'Products Index'!$A:$B,2,FALSE),"")</f>
        <v/>
      </c>
      <c r="H780" s="11"/>
      <c r="I780" s="12"/>
      <c r="J780" s="15"/>
      <c r="K780" s="16">
        <f t="shared" si="36"/>
        <v>0</v>
      </c>
      <c r="L780" s="16">
        <f t="shared" si="37"/>
        <v>0</v>
      </c>
      <c r="M780" s="16">
        <f>IFERROR(AVERAGEIF('Production Batches'!$C:$C,F780,'Production Batches'!$L:$L),0)</f>
        <v>0</v>
      </c>
      <c r="N780" s="16">
        <f t="shared" si="38"/>
        <v>0</v>
      </c>
      <c r="P780" s="11"/>
      <c r="Q780" s="30"/>
    </row>
    <row r="781" spans="2:17">
      <c r="B781" s="30"/>
      <c r="C781" s="11"/>
      <c r="D781" s="11"/>
      <c r="E781" t="str">
        <f>IFERROR(VLOOKUP(D781,Customers!$A:$B,2,FALSE),"")</f>
        <v/>
      </c>
      <c r="F781" s="11"/>
      <c r="G781" t="str">
        <f>IFERROR(VLOOKUP(F781,'Products Index'!$A:$B,2,FALSE),"")</f>
        <v/>
      </c>
      <c r="H781" s="11"/>
      <c r="I781" s="12"/>
      <c r="J781" s="15"/>
      <c r="K781" s="16">
        <f t="shared" si="36"/>
        <v>0</v>
      </c>
      <c r="L781" s="16">
        <f t="shared" si="37"/>
        <v>0</v>
      </c>
      <c r="M781" s="16">
        <f>IFERROR(AVERAGEIF('Production Batches'!$C:$C,F781,'Production Batches'!$L:$L),0)</f>
        <v>0</v>
      </c>
      <c r="N781" s="16">
        <f t="shared" si="38"/>
        <v>0</v>
      </c>
      <c r="P781" s="11"/>
      <c r="Q781" s="30"/>
    </row>
    <row r="782" spans="2:17">
      <c r="B782" s="30"/>
      <c r="C782" s="11"/>
      <c r="D782" s="11"/>
      <c r="E782" t="str">
        <f>IFERROR(VLOOKUP(D782,Customers!$A:$B,2,FALSE),"")</f>
        <v/>
      </c>
      <c r="F782" s="11"/>
      <c r="G782" t="str">
        <f>IFERROR(VLOOKUP(F782,'Products Index'!$A:$B,2,FALSE),"")</f>
        <v/>
      </c>
      <c r="H782" s="11"/>
      <c r="I782" s="12"/>
      <c r="J782" s="15"/>
      <c r="K782" s="16">
        <f t="shared" si="36"/>
        <v>0</v>
      </c>
      <c r="L782" s="16">
        <f t="shared" si="37"/>
        <v>0</v>
      </c>
      <c r="M782" s="16">
        <f>IFERROR(AVERAGEIF('Production Batches'!$C:$C,F782,'Production Batches'!$L:$L),0)</f>
        <v>0</v>
      </c>
      <c r="N782" s="16">
        <f t="shared" si="38"/>
        <v>0</v>
      </c>
      <c r="P782" s="11"/>
      <c r="Q782" s="30"/>
    </row>
    <row r="783" spans="2:17">
      <c r="B783" s="30"/>
      <c r="C783" s="11"/>
      <c r="D783" s="11"/>
      <c r="E783" t="str">
        <f>IFERROR(VLOOKUP(D783,Customers!$A:$B,2,FALSE),"")</f>
        <v/>
      </c>
      <c r="F783" s="11"/>
      <c r="G783" t="str">
        <f>IFERROR(VLOOKUP(F783,'Products Index'!$A:$B,2,FALSE),"")</f>
        <v/>
      </c>
      <c r="H783" s="11"/>
      <c r="I783" s="12"/>
      <c r="J783" s="15"/>
      <c r="K783" s="16">
        <f t="shared" si="36"/>
        <v>0</v>
      </c>
      <c r="L783" s="16">
        <f t="shared" si="37"/>
        <v>0</v>
      </c>
      <c r="M783" s="16">
        <f>IFERROR(AVERAGEIF('Production Batches'!$C:$C,F783,'Production Batches'!$L:$L),0)</f>
        <v>0</v>
      </c>
      <c r="N783" s="16">
        <f t="shared" si="38"/>
        <v>0</v>
      </c>
      <c r="P783" s="11"/>
      <c r="Q783" s="30"/>
    </row>
    <row r="784" spans="2:17">
      <c r="B784" s="30"/>
      <c r="C784" s="11"/>
      <c r="D784" s="11"/>
      <c r="E784" t="str">
        <f>IFERROR(VLOOKUP(D784,Customers!$A:$B,2,FALSE),"")</f>
        <v/>
      </c>
      <c r="F784" s="11"/>
      <c r="G784" t="str">
        <f>IFERROR(VLOOKUP(F784,'Products Index'!$A:$B,2,FALSE),"")</f>
        <v/>
      </c>
      <c r="H784" s="11"/>
      <c r="I784" s="12"/>
      <c r="J784" s="15"/>
      <c r="K784" s="16">
        <f t="shared" si="36"/>
        <v>0</v>
      </c>
      <c r="L784" s="16">
        <f t="shared" si="37"/>
        <v>0</v>
      </c>
      <c r="M784" s="16">
        <f>IFERROR(AVERAGEIF('Production Batches'!$C:$C,F784,'Production Batches'!$L:$L),0)</f>
        <v>0</v>
      </c>
      <c r="N784" s="16">
        <f t="shared" si="38"/>
        <v>0</v>
      </c>
      <c r="P784" s="11"/>
      <c r="Q784" s="30"/>
    </row>
    <row r="785" spans="2:17">
      <c r="B785" s="30"/>
      <c r="C785" s="11"/>
      <c r="D785" s="11"/>
      <c r="E785" t="str">
        <f>IFERROR(VLOOKUP(D785,Customers!$A:$B,2,FALSE),"")</f>
        <v/>
      </c>
      <c r="F785" s="11"/>
      <c r="G785" t="str">
        <f>IFERROR(VLOOKUP(F785,'Products Index'!$A:$B,2,FALSE),"")</f>
        <v/>
      </c>
      <c r="H785" s="11"/>
      <c r="I785" s="12"/>
      <c r="J785" s="15"/>
      <c r="K785" s="16">
        <f t="shared" si="36"/>
        <v>0</v>
      </c>
      <c r="L785" s="16">
        <f t="shared" si="37"/>
        <v>0</v>
      </c>
      <c r="M785" s="16">
        <f>IFERROR(AVERAGEIF('Production Batches'!$C:$C,F785,'Production Batches'!$L:$L),0)</f>
        <v>0</v>
      </c>
      <c r="N785" s="16">
        <f t="shared" si="38"/>
        <v>0</v>
      </c>
      <c r="P785" s="11"/>
      <c r="Q785" s="30"/>
    </row>
    <row r="786" spans="2:17">
      <c r="B786" s="30"/>
      <c r="C786" s="11"/>
      <c r="D786" s="11"/>
      <c r="E786" t="str">
        <f>IFERROR(VLOOKUP(D786,Customers!$A:$B,2,FALSE),"")</f>
        <v/>
      </c>
      <c r="F786" s="11"/>
      <c r="G786" t="str">
        <f>IFERROR(VLOOKUP(F786,'Products Index'!$A:$B,2,FALSE),"")</f>
        <v/>
      </c>
      <c r="H786" s="11"/>
      <c r="I786" s="12"/>
      <c r="J786" s="15"/>
      <c r="K786" s="16">
        <f t="shared" si="36"/>
        <v>0</v>
      </c>
      <c r="L786" s="16">
        <f t="shared" si="37"/>
        <v>0</v>
      </c>
      <c r="M786" s="16">
        <f>IFERROR(AVERAGEIF('Production Batches'!$C:$C,F786,'Production Batches'!$L:$L),0)</f>
        <v>0</v>
      </c>
      <c r="N786" s="16">
        <f t="shared" si="38"/>
        <v>0</v>
      </c>
      <c r="P786" s="11"/>
      <c r="Q786" s="30"/>
    </row>
    <row r="787" spans="2:17">
      <c r="B787" s="30"/>
      <c r="C787" s="11"/>
      <c r="D787" s="11"/>
      <c r="E787" t="str">
        <f>IFERROR(VLOOKUP(D787,Customers!$A:$B,2,FALSE),"")</f>
        <v/>
      </c>
      <c r="F787" s="11"/>
      <c r="G787" t="str">
        <f>IFERROR(VLOOKUP(F787,'Products Index'!$A:$B,2,FALSE),"")</f>
        <v/>
      </c>
      <c r="H787" s="11"/>
      <c r="I787" s="12"/>
      <c r="J787" s="15"/>
      <c r="K787" s="16">
        <f t="shared" si="36"/>
        <v>0</v>
      </c>
      <c r="L787" s="16">
        <f t="shared" si="37"/>
        <v>0</v>
      </c>
      <c r="M787" s="16">
        <f>IFERROR(AVERAGEIF('Production Batches'!$C:$C,F787,'Production Batches'!$L:$L),0)</f>
        <v>0</v>
      </c>
      <c r="N787" s="16">
        <f t="shared" si="38"/>
        <v>0</v>
      </c>
      <c r="P787" s="11"/>
      <c r="Q787" s="30"/>
    </row>
    <row r="788" spans="2:17">
      <c r="B788" s="30"/>
      <c r="C788" s="11"/>
      <c r="D788" s="11"/>
      <c r="E788" t="str">
        <f>IFERROR(VLOOKUP(D788,Customers!$A:$B,2,FALSE),"")</f>
        <v/>
      </c>
      <c r="F788" s="11"/>
      <c r="G788" t="str">
        <f>IFERROR(VLOOKUP(F788,'Products Index'!$A:$B,2,FALSE),"")</f>
        <v/>
      </c>
      <c r="H788" s="11"/>
      <c r="I788" s="12"/>
      <c r="J788" s="15"/>
      <c r="K788" s="16">
        <f t="shared" si="36"/>
        <v>0</v>
      </c>
      <c r="L788" s="16">
        <f t="shared" si="37"/>
        <v>0</v>
      </c>
      <c r="M788" s="16">
        <f>IFERROR(AVERAGEIF('Production Batches'!$C:$C,F788,'Production Batches'!$L:$L),0)</f>
        <v>0</v>
      </c>
      <c r="N788" s="16">
        <f t="shared" si="38"/>
        <v>0</v>
      </c>
      <c r="P788" s="11"/>
      <c r="Q788" s="30"/>
    </row>
    <row r="789" spans="2:17">
      <c r="B789" s="30"/>
      <c r="C789" s="11"/>
      <c r="D789" s="11"/>
      <c r="E789" t="str">
        <f>IFERROR(VLOOKUP(D789,Customers!$A:$B,2,FALSE),"")</f>
        <v/>
      </c>
      <c r="F789" s="11"/>
      <c r="G789" t="str">
        <f>IFERROR(VLOOKUP(F789,'Products Index'!$A:$B,2,FALSE),"")</f>
        <v/>
      </c>
      <c r="H789" s="11"/>
      <c r="I789" s="12"/>
      <c r="J789" s="15"/>
      <c r="K789" s="16">
        <f t="shared" si="36"/>
        <v>0</v>
      </c>
      <c r="L789" s="16">
        <f t="shared" si="37"/>
        <v>0</v>
      </c>
      <c r="M789" s="16">
        <f>IFERROR(AVERAGEIF('Production Batches'!$C:$C,F789,'Production Batches'!$L:$L),0)</f>
        <v>0</v>
      </c>
      <c r="N789" s="16">
        <f t="shared" si="38"/>
        <v>0</v>
      </c>
      <c r="P789" s="11"/>
      <c r="Q789" s="30"/>
    </row>
    <row r="790" spans="2:17">
      <c r="B790" s="30"/>
      <c r="C790" s="11"/>
      <c r="D790" s="11"/>
      <c r="E790" t="str">
        <f>IFERROR(VLOOKUP(D790,Customers!$A:$B,2,FALSE),"")</f>
        <v/>
      </c>
      <c r="F790" s="11"/>
      <c r="G790" t="str">
        <f>IFERROR(VLOOKUP(F790,'Products Index'!$A:$B,2,FALSE),"")</f>
        <v/>
      </c>
      <c r="H790" s="11"/>
      <c r="I790" s="12"/>
      <c r="J790" s="15"/>
      <c r="K790" s="16">
        <f t="shared" si="36"/>
        <v>0</v>
      </c>
      <c r="L790" s="16">
        <f t="shared" si="37"/>
        <v>0</v>
      </c>
      <c r="M790" s="16">
        <f>IFERROR(AVERAGEIF('Production Batches'!$C:$C,F790,'Production Batches'!$L:$L),0)</f>
        <v>0</v>
      </c>
      <c r="N790" s="16">
        <f t="shared" si="38"/>
        <v>0</v>
      </c>
      <c r="P790" s="11"/>
      <c r="Q790" s="30"/>
    </row>
    <row r="791" spans="2:17">
      <c r="B791" s="30"/>
      <c r="C791" s="11"/>
      <c r="D791" s="11"/>
      <c r="E791" t="str">
        <f>IFERROR(VLOOKUP(D791,Customers!$A:$B,2,FALSE),"")</f>
        <v/>
      </c>
      <c r="F791" s="11"/>
      <c r="G791" t="str">
        <f>IFERROR(VLOOKUP(F791,'Products Index'!$A:$B,2,FALSE),"")</f>
        <v/>
      </c>
      <c r="H791" s="11"/>
      <c r="I791" s="12"/>
      <c r="J791" s="15"/>
      <c r="K791" s="16">
        <f t="shared" si="36"/>
        <v>0</v>
      </c>
      <c r="L791" s="16">
        <f t="shared" si="37"/>
        <v>0</v>
      </c>
      <c r="M791" s="16">
        <f>IFERROR(AVERAGEIF('Production Batches'!$C:$C,F791,'Production Batches'!$L:$L),0)</f>
        <v>0</v>
      </c>
      <c r="N791" s="16">
        <f t="shared" si="38"/>
        <v>0</v>
      </c>
      <c r="P791" s="11"/>
      <c r="Q791" s="30"/>
    </row>
    <row r="792" spans="2:17">
      <c r="B792" s="30"/>
      <c r="C792" s="11"/>
      <c r="D792" s="11"/>
      <c r="E792" t="str">
        <f>IFERROR(VLOOKUP(D792,Customers!$A:$B,2,FALSE),"")</f>
        <v/>
      </c>
      <c r="F792" s="11"/>
      <c r="G792" t="str">
        <f>IFERROR(VLOOKUP(F792,'Products Index'!$A:$B,2,FALSE),"")</f>
        <v/>
      </c>
      <c r="H792" s="11"/>
      <c r="I792" s="12"/>
      <c r="J792" s="15"/>
      <c r="K792" s="16">
        <f t="shared" si="36"/>
        <v>0</v>
      </c>
      <c r="L792" s="16">
        <f t="shared" si="37"/>
        <v>0</v>
      </c>
      <c r="M792" s="16">
        <f>IFERROR(AVERAGEIF('Production Batches'!$C:$C,F792,'Production Batches'!$L:$L),0)</f>
        <v>0</v>
      </c>
      <c r="N792" s="16">
        <f t="shared" si="38"/>
        <v>0</v>
      </c>
      <c r="P792" s="11"/>
      <c r="Q792" s="30"/>
    </row>
    <row r="793" spans="2:17">
      <c r="B793" s="30"/>
      <c r="C793" s="11"/>
      <c r="D793" s="11"/>
      <c r="E793" t="str">
        <f>IFERROR(VLOOKUP(D793,Customers!$A:$B,2,FALSE),"")</f>
        <v/>
      </c>
      <c r="F793" s="11"/>
      <c r="G793" t="str">
        <f>IFERROR(VLOOKUP(F793,'Products Index'!$A:$B,2,FALSE),"")</f>
        <v/>
      </c>
      <c r="H793" s="11"/>
      <c r="I793" s="12"/>
      <c r="J793" s="15"/>
      <c r="K793" s="16">
        <f t="shared" si="36"/>
        <v>0</v>
      </c>
      <c r="L793" s="16">
        <f t="shared" si="37"/>
        <v>0</v>
      </c>
      <c r="M793" s="16">
        <f>IFERROR(AVERAGEIF('Production Batches'!$C:$C,F793,'Production Batches'!$L:$L),0)</f>
        <v>0</v>
      </c>
      <c r="N793" s="16">
        <f t="shared" si="38"/>
        <v>0</v>
      </c>
      <c r="P793" s="11"/>
      <c r="Q793" s="30"/>
    </row>
    <row r="794" spans="2:17">
      <c r="B794" s="30"/>
      <c r="C794" s="11"/>
      <c r="D794" s="11"/>
      <c r="E794" t="str">
        <f>IFERROR(VLOOKUP(D794,Customers!$A:$B,2,FALSE),"")</f>
        <v/>
      </c>
      <c r="F794" s="11"/>
      <c r="G794" t="str">
        <f>IFERROR(VLOOKUP(F794,'Products Index'!$A:$B,2,FALSE),"")</f>
        <v/>
      </c>
      <c r="H794" s="11"/>
      <c r="I794" s="12"/>
      <c r="J794" s="15"/>
      <c r="K794" s="16">
        <f t="shared" si="36"/>
        <v>0</v>
      </c>
      <c r="L794" s="16">
        <f t="shared" si="37"/>
        <v>0</v>
      </c>
      <c r="M794" s="16">
        <f>IFERROR(AVERAGEIF('Production Batches'!$C:$C,F794,'Production Batches'!$L:$L),0)</f>
        <v>0</v>
      </c>
      <c r="N794" s="16">
        <f t="shared" si="38"/>
        <v>0</v>
      </c>
      <c r="P794" s="11"/>
      <c r="Q794" s="30"/>
    </row>
    <row r="795" spans="2:17">
      <c r="B795" s="30"/>
      <c r="C795" s="11"/>
      <c r="D795" s="11"/>
      <c r="E795" t="str">
        <f>IFERROR(VLOOKUP(D795,Customers!$A:$B,2,FALSE),"")</f>
        <v/>
      </c>
      <c r="F795" s="11"/>
      <c r="G795" t="str">
        <f>IFERROR(VLOOKUP(F795,'Products Index'!$A:$B,2,FALSE),"")</f>
        <v/>
      </c>
      <c r="H795" s="11"/>
      <c r="I795" s="12"/>
      <c r="J795" s="15"/>
      <c r="K795" s="16">
        <f t="shared" si="36"/>
        <v>0</v>
      </c>
      <c r="L795" s="16">
        <f t="shared" si="37"/>
        <v>0</v>
      </c>
      <c r="M795" s="16">
        <f>IFERROR(AVERAGEIF('Production Batches'!$C:$C,F795,'Production Batches'!$L:$L),0)</f>
        <v>0</v>
      </c>
      <c r="N795" s="16">
        <f t="shared" si="38"/>
        <v>0</v>
      </c>
      <c r="P795" s="11"/>
      <c r="Q795" s="30"/>
    </row>
    <row r="796" spans="2:17">
      <c r="B796" s="30"/>
      <c r="C796" s="11"/>
      <c r="D796" s="11"/>
      <c r="E796" t="str">
        <f>IFERROR(VLOOKUP(D796,Customers!$A:$B,2,FALSE),"")</f>
        <v/>
      </c>
      <c r="F796" s="11"/>
      <c r="G796" t="str">
        <f>IFERROR(VLOOKUP(F796,'Products Index'!$A:$B,2,FALSE),"")</f>
        <v/>
      </c>
      <c r="H796" s="11"/>
      <c r="I796" s="12"/>
      <c r="J796" s="15"/>
      <c r="K796" s="16">
        <f t="shared" si="36"/>
        <v>0</v>
      </c>
      <c r="L796" s="16">
        <f t="shared" si="37"/>
        <v>0</v>
      </c>
      <c r="M796" s="16">
        <f>IFERROR(AVERAGEIF('Production Batches'!$C:$C,F796,'Production Batches'!$L:$L),0)</f>
        <v>0</v>
      </c>
      <c r="N796" s="16">
        <f t="shared" si="38"/>
        <v>0</v>
      </c>
      <c r="P796" s="11"/>
      <c r="Q796" s="30"/>
    </row>
    <row r="797" spans="2:17">
      <c r="B797" s="30"/>
      <c r="C797" s="11"/>
      <c r="D797" s="11"/>
      <c r="E797" t="str">
        <f>IFERROR(VLOOKUP(D797,Customers!$A:$B,2,FALSE),"")</f>
        <v/>
      </c>
      <c r="F797" s="11"/>
      <c r="G797" t="str">
        <f>IFERROR(VLOOKUP(F797,'Products Index'!$A:$B,2,FALSE),"")</f>
        <v/>
      </c>
      <c r="H797" s="11"/>
      <c r="I797" s="12"/>
      <c r="J797" s="15"/>
      <c r="K797" s="16">
        <f t="shared" si="36"/>
        <v>0</v>
      </c>
      <c r="L797" s="16">
        <f t="shared" si="37"/>
        <v>0</v>
      </c>
      <c r="M797" s="16">
        <f>IFERROR(AVERAGEIF('Production Batches'!$C:$C,F797,'Production Batches'!$L:$L),0)</f>
        <v>0</v>
      </c>
      <c r="N797" s="16">
        <f t="shared" si="38"/>
        <v>0</v>
      </c>
      <c r="P797" s="11"/>
      <c r="Q797" s="30"/>
    </row>
    <row r="798" spans="2:17">
      <c r="B798" s="30"/>
      <c r="C798" s="11"/>
      <c r="D798" s="11"/>
      <c r="E798" t="str">
        <f>IFERROR(VLOOKUP(D798,Customers!$A:$B,2,FALSE),"")</f>
        <v/>
      </c>
      <c r="F798" s="11"/>
      <c r="G798" t="str">
        <f>IFERROR(VLOOKUP(F798,'Products Index'!$A:$B,2,FALSE),"")</f>
        <v/>
      </c>
      <c r="H798" s="11"/>
      <c r="I798" s="12"/>
      <c r="J798" s="15"/>
      <c r="K798" s="16">
        <f t="shared" si="36"/>
        <v>0</v>
      </c>
      <c r="L798" s="16">
        <f t="shared" si="37"/>
        <v>0</v>
      </c>
      <c r="M798" s="16">
        <f>IFERROR(AVERAGEIF('Production Batches'!$C:$C,F798,'Production Batches'!$L:$L),0)</f>
        <v>0</v>
      </c>
      <c r="N798" s="16">
        <f t="shared" si="38"/>
        <v>0</v>
      </c>
      <c r="P798" s="11"/>
      <c r="Q798" s="30"/>
    </row>
    <row r="799" spans="2:17">
      <c r="B799" s="30"/>
      <c r="C799" s="11"/>
      <c r="D799" s="11"/>
      <c r="E799" t="str">
        <f>IFERROR(VLOOKUP(D799,Customers!$A:$B,2,FALSE),"")</f>
        <v/>
      </c>
      <c r="F799" s="11"/>
      <c r="G799" t="str">
        <f>IFERROR(VLOOKUP(F799,'Products Index'!$A:$B,2,FALSE),"")</f>
        <v/>
      </c>
      <c r="H799" s="11"/>
      <c r="I799" s="12"/>
      <c r="J799" s="15"/>
      <c r="K799" s="16">
        <f t="shared" si="36"/>
        <v>0</v>
      </c>
      <c r="L799" s="16">
        <f t="shared" si="37"/>
        <v>0</v>
      </c>
      <c r="M799" s="16">
        <f>IFERROR(AVERAGEIF('Production Batches'!$C:$C,F799,'Production Batches'!$L:$L),0)</f>
        <v>0</v>
      </c>
      <c r="N799" s="16">
        <f t="shared" si="38"/>
        <v>0</v>
      </c>
      <c r="P799" s="11"/>
      <c r="Q799" s="30"/>
    </row>
    <row r="800" spans="2:17">
      <c r="B800" s="30"/>
      <c r="C800" s="11"/>
      <c r="D800" s="11"/>
      <c r="E800" t="str">
        <f>IFERROR(VLOOKUP(D800,Customers!$A:$B,2,FALSE),"")</f>
        <v/>
      </c>
      <c r="F800" s="11"/>
      <c r="G800" t="str">
        <f>IFERROR(VLOOKUP(F800,'Products Index'!$A:$B,2,FALSE),"")</f>
        <v/>
      </c>
      <c r="H800" s="11"/>
      <c r="I800" s="12"/>
      <c r="J800" s="15"/>
      <c r="K800" s="16">
        <f t="shared" si="36"/>
        <v>0</v>
      </c>
      <c r="L800" s="16">
        <f t="shared" si="37"/>
        <v>0</v>
      </c>
      <c r="M800" s="16">
        <f>IFERROR(AVERAGEIF('Production Batches'!$C:$C,F800,'Production Batches'!$L:$L),0)</f>
        <v>0</v>
      </c>
      <c r="N800" s="16">
        <f t="shared" si="38"/>
        <v>0</v>
      </c>
      <c r="P800" s="11"/>
      <c r="Q800" s="30"/>
    </row>
    <row r="801" spans="2:17">
      <c r="B801" s="30"/>
      <c r="C801" s="11"/>
      <c r="D801" s="11"/>
      <c r="E801" t="str">
        <f>IFERROR(VLOOKUP(D801,Customers!$A:$B,2,FALSE),"")</f>
        <v/>
      </c>
      <c r="F801" s="11"/>
      <c r="G801" t="str">
        <f>IFERROR(VLOOKUP(F801,'Products Index'!$A:$B,2,FALSE),"")</f>
        <v/>
      </c>
      <c r="H801" s="11"/>
      <c r="I801" s="12"/>
      <c r="J801" s="15"/>
      <c r="K801" s="16">
        <f t="shared" si="36"/>
        <v>0</v>
      </c>
      <c r="L801" s="16">
        <f t="shared" si="37"/>
        <v>0</v>
      </c>
      <c r="M801" s="16">
        <f>IFERROR(AVERAGEIF('Production Batches'!$C:$C,F801,'Production Batches'!$L:$L),0)</f>
        <v>0</v>
      </c>
      <c r="N801" s="16">
        <f t="shared" si="38"/>
        <v>0</v>
      </c>
      <c r="P801" s="11"/>
      <c r="Q801" s="30"/>
    </row>
    <row r="802" spans="2:17">
      <c r="B802" s="30"/>
      <c r="C802" s="11"/>
      <c r="D802" s="11"/>
      <c r="E802" t="str">
        <f>IFERROR(VLOOKUP(D802,Customers!$A:$B,2,FALSE),"")</f>
        <v/>
      </c>
      <c r="F802" s="11"/>
      <c r="G802" t="str">
        <f>IFERROR(VLOOKUP(F802,'Products Index'!$A:$B,2,FALSE),"")</f>
        <v/>
      </c>
      <c r="H802" s="11"/>
      <c r="I802" s="12"/>
      <c r="J802" s="15"/>
      <c r="K802" s="16">
        <f t="shared" si="36"/>
        <v>0</v>
      </c>
      <c r="L802" s="16">
        <f t="shared" si="37"/>
        <v>0</v>
      </c>
      <c r="M802" s="16">
        <f>IFERROR(AVERAGEIF('Production Batches'!$C:$C,F802,'Production Batches'!$L:$L),0)</f>
        <v>0</v>
      </c>
      <c r="N802" s="16">
        <f t="shared" si="38"/>
        <v>0</v>
      </c>
      <c r="P802" s="11"/>
      <c r="Q802" s="30"/>
    </row>
    <row r="803" spans="2:17">
      <c r="B803" s="30"/>
      <c r="C803" s="11"/>
      <c r="D803" s="11"/>
      <c r="E803" t="str">
        <f>IFERROR(VLOOKUP(D803,Customers!$A:$B,2,FALSE),"")</f>
        <v/>
      </c>
      <c r="F803" s="11"/>
      <c r="G803" t="str">
        <f>IFERROR(VLOOKUP(F803,'Products Index'!$A:$B,2,FALSE),"")</f>
        <v/>
      </c>
      <c r="H803" s="11"/>
      <c r="I803" s="12"/>
      <c r="J803" s="15"/>
      <c r="K803" s="16">
        <f t="shared" si="36"/>
        <v>0</v>
      </c>
      <c r="L803" s="16">
        <f t="shared" si="37"/>
        <v>0</v>
      </c>
      <c r="M803" s="16">
        <f>IFERROR(AVERAGEIF('Production Batches'!$C:$C,F803,'Production Batches'!$L:$L),0)</f>
        <v>0</v>
      </c>
      <c r="N803" s="16">
        <f t="shared" si="38"/>
        <v>0</v>
      </c>
      <c r="P803" s="11"/>
      <c r="Q803" s="30"/>
    </row>
    <row r="804" spans="2:17">
      <c r="B804" s="30"/>
      <c r="C804" s="11"/>
      <c r="D804" s="11"/>
      <c r="E804" t="str">
        <f>IFERROR(VLOOKUP(D804,Customers!$A:$B,2,FALSE),"")</f>
        <v/>
      </c>
      <c r="F804" s="11"/>
      <c r="G804" t="str">
        <f>IFERROR(VLOOKUP(F804,'Products Index'!$A:$B,2,FALSE),"")</f>
        <v/>
      </c>
      <c r="H804" s="11"/>
      <c r="I804" s="12"/>
      <c r="J804" s="15"/>
      <c r="K804" s="16">
        <f t="shared" si="36"/>
        <v>0</v>
      </c>
      <c r="L804" s="16">
        <f t="shared" si="37"/>
        <v>0</v>
      </c>
      <c r="M804" s="16">
        <f>IFERROR(AVERAGEIF('Production Batches'!$C:$C,F804,'Production Batches'!$L:$L),0)</f>
        <v>0</v>
      </c>
      <c r="N804" s="16">
        <f t="shared" si="38"/>
        <v>0</v>
      </c>
      <c r="P804" s="11"/>
      <c r="Q804" s="30"/>
    </row>
    <row r="805" spans="2:17">
      <c r="B805" s="30"/>
      <c r="C805" s="11"/>
      <c r="D805" s="11"/>
      <c r="E805" t="str">
        <f>IFERROR(VLOOKUP(D805,Customers!$A:$B,2,FALSE),"")</f>
        <v/>
      </c>
      <c r="F805" s="11"/>
      <c r="G805" t="str">
        <f>IFERROR(VLOOKUP(F805,'Products Index'!$A:$B,2,FALSE),"")</f>
        <v/>
      </c>
      <c r="H805" s="11"/>
      <c r="I805" s="12"/>
      <c r="J805" s="15"/>
      <c r="K805" s="16">
        <f t="shared" si="36"/>
        <v>0</v>
      </c>
      <c r="L805" s="16">
        <f t="shared" si="37"/>
        <v>0</v>
      </c>
      <c r="M805" s="16">
        <f>IFERROR(AVERAGEIF('Production Batches'!$C:$C,F805,'Production Batches'!$L:$L),0)</f>
        <v>0</v>
      </c>
      <c r="N805" s="16">
        <f t="shared" si="38"/>
        <v>0</v>
      </c>
      <c r="P805" s="11"/>
      <c r="Q805" s="30"/>
    </row>
    <row r="806" spans="2:17">
      <c r="B806" s="30"/>
      <c r="C806" s="11"/>
      <c r="D806" s="11"/>
      <c r="E806" t="str">
        <f>IFERROR(VLOOKUP(D806,Customers!$A:$B,2,FALSE),"")</f>
        <v/>
      </c>
      <c r="F806" s="11"/>
      <c r="G806" t="str">
        <f>IFERROR(VLOOKUP(F806,'Products Index'!$A:$B,2,FALSE),"")</f>
        <v/>
      </c>
      <c r="H806" s="11"/>
      <c r="I806" s="12"/>
      <c r="J806" s="15"/>
      <c r="K806" s="16">
        <f t="shared" si="36"/>
        <v>0</v>
      </c>
      <c r="L806" s="16">
        <f t="shared" si="37"/>
        <v>0</v>
      </c>
      <c r="M806" s="16">
        <f>IFERROR(AVERAGEIF('Production Batches'!$C:$C,F806,'Production Batches'!$L:$L),0)</f>
        <v>0</v>
      </c>
      <c r="N806" s="16">
        <f t="shared" si="38"/>
        <v>0</v>
      </c>
      <c r="P806" s="11"/>
      <c r="Q806" s="30"/>
    </row>
    <row r="807" spans="2:17">
      <c r="B807" s="30"/>
      <c r="C807" s="11"/>
      <c r="D807" s="11"/>
      <c r="E807" t="str">
        <f>IFERROR(VLOOKUP(D807,Customers!$A:$B,2,FALSE),"")</f>
        <v/>
      </c>
      <c r="F807" s="11"/>
      <c r="G807" t="str">
        <f>IFERROR(VLOOKUP(F807,'Products Index'!$A:$B,2,FALSE),"")</f>
        <v/>
      </c>
      <c r="H807" s="11"/>
      <c r="I807" s="12"/>
      <c r="J807" s="15"/>
      <c r="K807" s="16">
        <f t="shared" si="36"/>
        <v>0</v>
      </c>
      <c r="L807" s="16">
        <f t="shared" si="37"/>
        <v>0</v>
      </c>
      <c r="M807" s="16">
        <f>IFERROR(AVERAGEIF('Production Batches'!$C:$C,F807,'Production Batches'!$L:$L),0)</f>
        <v>0</v>
      </c>
      <c r="N807" s="16">
        <f t="shared" si="38"/>
        <v>0</v>
      </c>
      <c r="P807" s="11"/>
      <c r="Q807" s="30"/>
    </row>
    <row r="808" spans="2:17">
      <c r="B808" s="30"/>
      <c r="C808" s="11"/>
      <c r="D808" s="11"/>
      <c r="E808" t="str">
        <f>IFERROR(VLOOKUP(D808,Customers!$A:$B,2,FALSE),"")</f>
        <v/>
      </c>
      <c r="F808" s="11"/>
      <c r="G808" t="str">
        <f>IFERROR(VLOOKUP(F808,'Products Index'!$A:$B,2,FALSE),"")</f>
        <v/>
      </c>
      <c r="H808" s="11"/>
      <c r="I808" s="12"/>
      <c r="J808" s="15"/>
      <c r="K808" s="16">
        <f t="shared" si="36"/>
        <v>0</v>
      </c>
      <c r="L808" s="16">
        <f t="shared" si="37"/>
        <v>0</v>
      </c>
      <c r="M808" s="16">
        <f>IFERROR(AVERAGEIF('Production Batches'!$C:$C,F808,'Production Batches'!$L:$L),0)</f>
        <v>0</v>
      </c>
      <c r="N808" s="16">
        <f t="shared" si="38"/>
        <v>0</v>
      </c>
      <c r="P808" s="11"/>
      <c r="Q808" s="30"/>
    </row>
    <row r="809" spans="2:17">
      <c r="B809" s="30"/>
      <c r="C809" s="11"/>
      <c r="D809" s="11"/>
      <c r="E809" t="str">
        <f>IFERROR(VLOOKUP(D809,Customers!$A:$B,2,FALSE),"")</f>
        <v/>
      </c>
      <c r="F809" s="11"/>
      <c r="G809" t="str">
        <f>IFERROR(VLOOKUP(F809,'Products Index'!$A:$B,2,FALSE),"")</f>
        <v/>
      </c>
      <c r="H809" s="11"/>
      <c r="I809" s="12"/>
      <c r="J809" s="15"/>
      <c r="K809" s="16">
        <f t="shared" si="36"/>
        <v>0</v>
      </c>
      <c r="L809" s="16">
        <f t="shared" si="37"/>
        <v>0</v>
      </c>
      <c r="M809" s="16">
        <f>IFERROR(AVERAGEIF('Production Batches'!$C:$C,F809,'Production Batches'!$L:$L),0)</f>
        <v>0</v>
      </c>
      <c r="N809" s="16">
        <f t="shared" si="38"/>
        <v>0</v>
      </c>
      <c r="P809" s="11"/>
      <c r="Q809" s="30"/>
    </row>
    <row r="810" spans="2:17">
      <c r="B810" s="30"/>
      <c r="C810" s="11"/>
      <c r="D810" s="11"/>
      <c r="E810" t="str">
        <f>IFERROR(VLOOKUP(D810,Customers!$A:$B,2,FALSE),"")</f>
        <v/>
      </c>
      <c r="F810" s="11"/>
      <c r="G810" t="str">
        <f>IFERROR(VLOOKUP(F810,'Products Index'!$A:$B,2,FALSE),"")</f>
        <v/>
      </c>
      <c r="H810" s="11"/>
      <c r="I810" s="12"/>
      <c r="J810" s="15"/>
      <c r="K810" s="16">
        <f t="shared" si="36"/>
        <v>0</v>
      </c>
      <c r="L810" s="16">
        <f t="shared" si="37"/>
        <v>0</v>
      </c>
      <c r="M810" s="16">
        <f>IFERROR(AVERAGEIF('Production Batches'!$C:$C,F810,'Production Batches'!$L:$L),0)</f>
        <v>0</v>
      </c>
      <c r="N810" s="16">
        <f t="shared" si="38"/>
        <v>0</v>
      </c>
      <c r="P810" s="11"/>
      <c r="Q810" s="30"/>
    </row>
    <row r="811" spans="2:17">
      <c r="B811" s="30"/>
      <c r="C811" s="11"/>
      <c r="D811" s="11"/>
      <c r="E811" t="str">
        <f>IFERROR(VLOOKUP(D811,Customers!$A:$B,2,FALSE),"")</f>
        <v/>
      </c>
      <c r="F811" s="11"/>
      <c r="G811" t="str">
        <f>IFERROR(VLOOKUP(F811,'Products Index'!$A:$B,2,FALSE),"")</f>
        <v/>
      </c>
      <c r="H811" s="11"/>
      <c r="I811" s="12"/>
      <c r="J811" s="15"/>
      <c r="K811" s="16">
        <f t="shared" si="36"/>
        <v>0</v>
      </c>
      <c r="L811" s="16">
        <f t="shared" si="37"/>
        <v>0</v>
      </c>
      <c r="M811" s="16">
        <f>IFERROR(AVERAGEIF('Production Batches'!$C:$C,F811,'Production Batches'!$L:$L),0)</f>
        <v>0</v>
      </c>
      <c r="N811" s="16">
        <f t="shared" si="38"/>
        <v>0</v>
      </c>
      <c r="P811" s="11"/>
      <c r="Q811" s="30"/>
    </row>
    <row r="812" spans="2:17">
      <c r="B812" s="30"/>
      <c r="C812" s="11"/>
      <c r="D812" s="11"/>
      <c r="E812" t="str">
        <f>IFERROR(VLOOKUP(D812,Customers!$A:$B,2,FALSE),"")</f>
        <v/>
      </c>
      <c r="F812" s="11"/>
      <c r="G812" t="str">
        <f>IFERROR(VLOOKUP(F812,'Products Index'!$A:$B,2,FALSE),"")</f>
        <v/>
      </c>
      <c r="H812" s="11"/>
      <c r="I812" s="12"/>
      <c r="J812" s="15"/>
      <c r="K812" s="16">
        <f t="shared" si="36"/>
        <v>0</v>
      </c>
      <c r="L812" s="16">
        <f t="shared" si="37"/>
        <v>0</v>
      </c>
      <c r="M812" s="16">
        <f>IFERROR(AVERAGEIF('Production Batches'!$C:$C,F812,'Production Batches'!$L:$L),0)</f>
        <v>0</v>
      </c>
      <c r="N812" s="16">
        <f t="shared" si="38"/>
        <v>0</v>
      </c>
      <c r="P812" s="11"/>
      <c r="Q812" s="30"/>
    </row>
    <row r="813" spans="2:17">
      <c r="B813" s="30"/>
      <c r="C813" s="11"/>
      <c r="D813" s="11"/>
      <c r="E813" t="str">
        <f>IFERROR(VLOOKUP(D813,Customers!$A:$B,2,FALSE),"")</f>
        <v/>
      </c>
      <c r="F813" s="11"/>
      <c r="G813" t="str">
        <f>IFERROR(VLOOKUP(F813,'Products Index'!$A:$B,2,FALSE),"")</f>
        <v/>
      </c>
      <c r="H813" s="11"/>
      <c r="I813" s="12"/>
      <c r="J813" s="15"/>
      <c r="K813" s="16">
        <f t="shared" si="36"/>
        <v>0</v>
      </c>
      <c r="L813" s="16">
        <f t="shared" si="37"/>
        <v>0</v>
      </c>
      <c r="M813" s="16">
        <f>IFERROR(AVERAGEIF('Production Batches'!$C:$C,F813,'Production Batches'!$L:$L),0)</f>
        <v>0</v>
      </c>
      <c r="N813" s="16">
        <f t="shared" si="38"/>
        <v>0</v>
      </c>
      <c r="P813" s="11"/>
      <c r="Q813" s="30"/>
    </row>
    <row r="814" spans="2:17">
      <c r="B814" s="30"/>
      <c r="C814" s="11"/>
      <c r="D814" s="11"/>
      <c r="E814" t="str">
        <f>IFERROR(VLOOKUP(D814,Customers!$A:$B,2,FALSE),"")</f>
        <v/>
      </c>
      <c r="F814" s="11"/>
      <c r="G814" t="str">
        <f>IFERROR(VLOOKUP(F814,'Products Index'!$A:$B,2,FALSE),"")</f>
        <v/>
      </c>
      <c r="H814" s="11"/>
      <c r="I814" s="12"/>
      <c r="J814" s="15"/>
      <c r="K814" s="16">
        <f t="shared" si="36"/>
        <v>0</v>
      </c>
      <c r="L814" s="16">
        <f t="shared" si="37"/>
        <v>0</v>
      </c>
      <c r="M814" s="16">
        <f>IFERROR(AVERAGEIF('Production Batches'!$C:$C,F814,'Production Batches'!$L:$L),0)</f>
        <v>0</v>
      </c>
      <c r="N814" s="16">
        <f t="shared" si="38"/>
        <v>0</v>
      </c>
      <c r="P814" s="11"/>
      <c r="Q814" s="30"/>
    </row>
    <row r="815" spans="2:17">
      <c r="B815" s="30"/>
      <c r="C815" s="11"/>
      <c r="D815" s="11"/>
      <c r="E815" t="str">
        <f>IFERROR(VLOOKUP(D815,Customers!$A:$B,2,FALSE),"")</f>
        <v/>
      </c>
      <c r="F815" s="11"/>
      <c r="G815" t="str">
        <f>IFERROR(VLOOKUP(F815,'Products Index'!$A:$B,2,FALSE),"")</f>
        <v/>
      </c>
      <c r="H815" s="11"/>
      <c r="I815" s="12"/>
      <c r="J815" s="15"/>
      <c r="K815" s="16">
        <f t="shared" si="36"/>
        <v>0</v>
      </c>
      <c r="L815" s="16">
        <f t="shared" si="37"/>
        <v>0</v>
      </c>
      <c r="M815" s="16">
        <f>IFERROR(AVERAGEIF('Production Batches'!$C:$C,F815,'Production Batches'!$L:$L),0)</f>
        <v>0</v>
      </c>
      <c r="N815" s="16">
        <f t="shared" si="38"/>
        <v>0</v>
      </c>
      <c r="P815" s="11"/>
      <c r="Q815" s="30"/>
    </row>
    <row r="816" spans="2:17">
      <c r="B816" s="30"/>
      <c r="C816" s="11"/>
      <c r="D816" s="11"/>
      <c r="E816" t="str">
        <f>IFERROR(VLOOKUP(D816,Customers!$A:$B,2,FALSE),"")</f>
        <v/>
      </c>
      <c r="F816" s="11"/>
      <c r="G816" t="str">
        <f>IFERROR(VLOOKUP(F816,'Products Index'!$A:$B,2,FALSE),"")</f>
        <v/>
      </c>
      <c r="H816" s="11"/>
      <c r="I816" s="12"/>
      <c r="J816" s="15"/>
      <c r="K816" s="16">
        <f t="shared" si="36"/>
        <v>0</v>
      </c>
      <c r="L816" s="16">
        <f t="shared" si="37"/>
        <v>0</v>
      </c>
      <c r="M816" s="16">
        <f>IFERROR(AVERAGEIF('Production Batches'!$C:$C,F816,'Production Batches'!$L:$L),0)</f>
        <v>0</v>
      </c>
      <c r="N816" s="16">
        <f t="shared" si="38"/>
        <v>0</v>
      </c>
      <c r="P816" s="11"/>
      <c r="Q816" s="30"/>
    </row>
    <row r="817" spans="2:17">
      <c r="B817" s="30"/>
      <c r="C817" s="11"/>
      <c r="D817" s="11"/>
      <c r="E817" t="str">
        <f>IFERROR(VLOOKUP(D817,Customers!$A:$B,2,FALSE),"")</f>
        <v/>
      </c>
      <c r="F817" s="11"/>
      <c r="G817" t="str">
        <f>IFERROR(VLOOKUP(F817,'Products Index'!$A:$B,2,FALSE),"")</f>
        <v/>
      </c>
      <c r="H817" s="11"/>
      <c r="I817" s="12"/>
      <c r="J817" s="15"/>
      <c r="K817" s="16">
        <f t="shared" si="36"/>
        <v>0</v>
      </c>
      <c r="L817" s="16">
        <f t="shared" si="37"/>
        <v>0</v>
      </c>
      <c r="M817" s="16">
        <f>IFERROR(AVERAGEIF('Production Batches'!$C:$C,F817,'Production Batches'!$L:$L),0)</f>
        <v>0</v>
      </c>
      <c r="N817" s="16">
        <f t="shared" si="38"/>
        <v>0</v>
      </c>
      <c r="P817" s="11"/>
      <c r="Q817" s="30"/>
    </row>
    <row r="818" spans="2:17">
      <c r="B818" s="30"/>
      <c r="C818" s="11"/>
      <c r="D818" s="11"/>
      <c r="E818" t="str">
        <f>IFERROR(VLOOKUP(D818,Customers!$A:$B,2,FALSE),"")</f>
        <v/>
      </c>
      <c r="F818" s="11"/>
      <c r="G818" t="str">
        <f>IFERROR(VLOOKUP(F818,'Products Index'!$A:$B,2,FALSE),"")</f>
        <v/>
      </c>
      <c r="H818" s="11"/>
      <c r="I818" s="12"/>
      <c r="J818" s="15"/>
      <c r="K818" s="16">
        <f t="shared" si="36"/>
        <v>0</v>
      </c>
      <c r="L818" s="16">
        <f t="shared" si="37"/>
        <v>0</v>
      </c>
      <c r="M818" s="16">
        <f>IFERROR(AVERAGEIF('Production Batches'!$C:$C,F818,'Production Batches'!$L:$L),0)</f>
        <v>0</v>
      </c>
      <c r="N818" s="16">
        <f t="shared" si="38"/>
        <v>0</v>
      </c>
      <c r="P818" s="11"/>
      <c r="Q818" s="30"/>
    </row>
    <row r="819" spans="2:17">
      <c r="B819" s="30"/>
      <c r="C819" s="11"/>
      <c r="D819" s="11"/>
      <c r="E819" t="str">
        <f>IFERROR(VLOOKUP(D819,Customers!$A:$B,2,FALSE),"")</f>
        <v/>
      </c>
      <c r="F819" s="11"/>
      <c r="G819" t="str">
        <f>IFERROR(VLOOKUP(F819,'Products Index'!$A:$B,2,FALSE),"")</f>
        <v/>
      </c>
      <c r="H819" s="11"/>
      <c r="I819" s="12"/>
      <c r="J819" s="15"/>
      <c r="K819" s="16">
        <f t="shared" si="36"/>
        <v>0</v>
      </c>
      <c r="L819" s="16">
        <f t="shared" si="37"/>
        <v>0</v>
      </c>
      <c r="M819" s="16">
        <f>IFERROR(AVERAGEIF('Production Batches'!$C:$C,F819,'Production Batches'!$L:$L),0)</f>
        <v>0</v>
      </c>
      <c r="N819" s="16">
        <f t="shared" si="38"/>
        <v>0</v>
      </c>
      <c r="P819" s="11"/>
      <c r="Q819" s="30"/>
    </row>
    <row r="820" spans="2:17">
      <c r="B820" s="30"/>
      <c r="C820" s="11"/>
      <c r="D820" s="11"/>
      <c r="E820" t="str">
        <f>IFERROR(VLOOKUP(D820,Customers!$A:$B,2,FALSE),"")</f>
        <v/>
      </c>
      <c r="F820" s="11"/>
      <c r="G820" t="str">
        <f>IFERROR(VLOOKUP(F820,'Products Index'!$A:$B,2,FALSE),"")</f>
        <v/>
      </c>
      <c r="H820" s="11"/>
      <c r="I820" s="12"/>
      <c r="J820" s="15"/>
      <c r="K820" s="16">
        <f t="shared" si="36"/>
        <v>0</v>
      </c>
      <c r="L820" s="16">
        <f t="shared" si="37"/>
        <v>0</v>
      </c>
      <c r="M820" s="16">
        <f>IFERROR(AVERAGEIF('Production Batches'!$C:$C,F820,'Production Batches'!$L:$L),0)</f>
        <v>0</v>
      </c>
      <c r="N820" s="16">
        <f t="shared" si="38"/>
        <v>0</v>
      </c>
      <c r="P820" s="11"/>
      <c r="Q820" s="30"/>
    </row>
    <row r="821" spans="2:17">
      <c r="B821" s="30"/>
      <c r="C821" s="11"/>
      <c r="D821" s="11"/>
      <c r="E821" t="str">
        <f>IFERROR(VLOOKUP(D821,Customers!$A:$B,2,FALSE),"")</f>
        <v/>
      </c>
      <c r="F821" s="11"/>
      <c r="G821" t="str">
        <f>IFERROR(VLOOKUP(F821,'Products Index'!$A:$B,2,FALSE),"")</f>
        <v/>
      </c>
      <c r="H821" s="11"/>
      <c r="I821" s="12"/>
      <c r="J821" s="15"/>
      <c r="K821" s="16">
        <f t="shared" si="36"/>
        <v>0</v>
      </c>
      <c r="L821" s="16">
        <f t="shared" si="37"/>
        <v>0</v>
      </c>
      <c r="M821" s="16">
        <f>IFERROR(AVERAGEIF('Production Batches'!$C:$C,F821,'Production Batches'!$L:$L),0)</f>
        <v>0</v>
      </c>
      <c r="N821" s="16">
        <f t="shared" si="38"/>
        <v>0</v>
      </c>
      <c r="P821" s="11"/>
      <c r="Q821" s="30"/>
    </row>
    <row r="822" spans="2:17">
      <c r="B822" s="30"/>
      <c r="C822" s="11"/>
      <c r="D822" s="11"/>
      <c r="E822" t="str">
        <f>IFERROR(VLOOKUP(D822,Customers!$A:$B,2,FALSE),"")</f>
        <v/>
      </c>
      <c r="F822" s="11"/>
      <c r="G822" t="str">
        <f>IFERROR(VLOOKUP(F822,'Products Index'!$A:$B,2,FALSE),"")</f>
        <v/>
      </c>
      <c r="H822" s="11"/>
      <c r="I822" s="12"/>
      <c r="J822" s="15"/>
      <c r="K822" s="16">
        <f t="shared" si="36"/>
        <v>0</v>
      </c>
      <c r="L822" s="16">
        <f t="shared" si="37"/>
        <v>0</v>
      </c>
      <c r="M822" s="16">
        <f>IFERROR(AVERAGEIF('Production Batches'!$C:$C,F822,'Production Batches'!$L:$L),0)</f>
        <v>0</v>
      </c>
      <c r="N822" s="16">
        <f t="shared" si="38"/>
        <v>0</v>
      </c>
      <c r="P822" s="11"/>
      <c r="Q822" s="30"/>
    </row>
    <row r="823" spans="2:17">
      <c r="B823" s="30"/>
      <c r="C823" s="11"/>
      <c r="D823" s="11"/>
      <c r="E823" t="str">
        <f>IFERROR(VLOOKUP(D823,Customers!$A:$B,2,FALSE),"")</f>
        <v/>
      </c>
      <c r="F823" s="11"/>
      <c r="G823" t="str">
        <f>IFERROR(VLOOKUP(F823,'Products Index'!$A:$B,2,FALSE),"")</f>
        <v/>
      </c>
      <c r="H823" s="11"/>
      <c r="I823" s="12"/>
      <c r="J823" s="15"/>
      <c r="K823" s="16">
        <f t="shared" si="36"/>
        <v>0</v>
      </c>
      <c r="L823" s="16">
        <f t="shared" si="37"/>
        <v>0</v>
      </c>
      <c r="M823" s="16">
        <f>IFERROR(AVERAGEIF('Production Batches'!$C:$C,F823,'Production Batches'!$L:$L),0)</f>
        <v>0</v>
      </c>
      <c r="N823" s="16">
        <f t="shared" si="38"/>
        <v>0</v>
      </c>
      <c r="P823" s="11"/>
      <c r="Q823" s="30"/>
    </row>
    <row r="824" spans="2:17">
      <c r="B824" s="30"/>
      <c r="C824" s="11"/>
      <c r="D824" s="11"/>
      <c r="E824" t="str">
        <f>IFERROR(VLOOKUP(D824,Customers!$A:$B,2,FALSE),"")</f>
        <v/>
      </c>
      <c r="F824" s="11"/>
      <c r="G824" t="str">
        <f>IFERROR(VLOOKUP(F824,'Products Index'!$A:$B,2,FALSE),"")</f>
        <v/>
      </c>
      <c r="H824" s="11"/>
      <c r="I824" s="12"/>
      <c r="J824" s="15"/>
      <c r="K824" s="16">
        <f t="shared" si="36"/>
        <v>0</v>
      </c>
      <c r="L824" s="16">
        <f t="shared" si="37"/>
        <v>0</v>
      </c>
      <c r="M824" s="16">
        <f>IFERROR(AVERAGEIF('Production Batches'!$C:$C,F824,'Production Batches'!$L:$L),0)</f>
        <v>0</v>
      </c>
      <c r="N824" s="16">
        <f t="shared" si="38"/>
        <v>0</v>
      </c>
      <c r="P824" s="11"/>
      <c r="Q824" s="30"/>
    </row>
    <row r="825" spans="2:17">
      <c r="B825" s="30"/>
      <c r="C825" s="11"/>
      <c r="D825" s="11"/>
      <c r="E825" t="str">
        <f>IFERROR(VLOOKUP(D825,Customers!$A:$B,2,FALSE),"")</f>
        <v/>
      </c>
      <c r="F825" s="11"/>
      <c r="G825" t="str">
        <f>IFERROR(VLOOKUP(F825,'Products Index'!$A:$B,2,FALSE),"")</f>
        <v/>
      </c>
      <c r="H825" s="11"/>
      <c r="I825" s="12"/>
      <c r="J825" s="15"/>
      <c r="K825" s="16">
        <f t="shared" si="36"/>
        <v>0</v>
      </c>
      <c r="L825" s="16">
        <f t="shared" si="37"/>
        <v>0</v>
      </c>
      <c r="M825" s="16">
        <f>IFERROR(AVERAGEIF('Production Batches'!$C:$C,F825,'Production Batches'!$L:$L),0)</f>
        <v>0</v>
      </c>
      <c r="N825" s="16">
        <f t="shared" si="38"/>
        <v>0</v>
      </c>
      <c r="P825" s="11"/>
      <c r="Q825" s="30"/>
    </row>
    <row r="826" spans="2:17">
      <c r="B826" s="30"/>
      <c r="C826" s="11"/>
      <c r="D826" s="11"/>
      <c r="E826" t="str">
        <f>IFERROR(VLOOKUP(D826,Customers!$A:$B,2,FALSE),"")</f>
        <v/>
      </c>
      <c r="F826" s="11"/>
      <c r="G826" t="str">
        <f>IFERROR(VLOOKUP(F826,'Products Index'!$A:$B,2,FALSE),"")</f>
        <v/>
      </c>
      <c r="H826" s="11"/>
      <c r="I826" s="12"/>
      <c r="J826" s="15"/>
      <c r="K826" s="16">
        <f t="shared" si="36"/>
        <v>0</v>
      </c>
      <c r="L826" s="16">
        <f t="shared" si="37"/>
        <v>0</v>
      </c>
      <c r="M826" s="16">
        <f>IFERROR(AVERAGEIF('Production Batches'!$C:$C,F826,'Production Batches'!$L:$L),0)</f>
        <v>0</v>
      </c>
      <c r="N826" s="16">
        <f t="shared" si="38"/>
        <v>0</v>
      </c>
      <c r="P826" s="11"/>
      <c r="Q826" s="30"/>
    </row>
    <row r="827" spans="2:17">
      <c r="B827" s="30"/>
      <c r="C827" s="11"/>
      <c r="D827" s="11"/>
      <c r="E827" t="str">
        <f>IFERROR(VLOOKUP(D827,Customers!$A:$B,2,FALSE),"")</f>
        <v/>
      </c>
      <c r="F827" s="11"/>
      <c r="G827" t="str">
        <f>IFERROR(VLOOKUP(F827,'Products Index'!$A:$B,2,FALSE),"")</f>
        <v/>
      </c>
      <c r="H827" s="11"/>
      <c r="I827" s="12"/>
      <c r="J827" s="15"/>
      <c r="K827" s="16">
        <f t="shared" si="36"/>
        <v>0</v>
      </c>
      <c r="L827" s="16">
        <f t="shared" si="37"/>
        <v>0</v>
      </c>
      <c r="M827" s="16">
        <f>IFERROR(AVERAGEIF('Production Batches'!$C:$C,F827,'Production Batches'!$L:$L),0)</f>
        <v>0</v>
      </c>
      <c r="N827" s="16">
        <f t="shared" si="38"/>
        <v>0</v>
      </c>
      <c r="P827" s="11"/>
      <c r="Q827" s="30"/>
    </row>
    <row r="828" spans="2:17">
      <c r="B828" s="30"/>
      <c r="C828" s="11"/>
      <c r="D828" s="11"/>
      <c r="E828" t="str">
        <f>IFERROR(VLOOKUP(D828,Customers!$A:$B,2,FALSE),"")</f>
        <v/>
      </c>
      <c r="F828" s="11"/>
      <c r="G828" t="str">
        <f>IFERROR(VLOOKUP(F828,'Products Index'!$A:$B,2,FALSE),"")</f>
        <v/>
      </c>
      <c r="H828" s="11"/>
      <c r="I828" s="12"/>
      <c r="J828" s="15"/>
      <c r="K828" s="16">
        <f t="shared" si="36"/>
        <v>0</v>
      </c>
      <c r="L828" s="16">
        <f t="shared" si="37"/>
        <v>0</v>
      </c>
      <c r="M828" s="16">
        <f>IFERROR(AVERAGEIF('Production Batches'!$C:$C,F828,'Production Batches'!$L:$L),0)</f>
        <v>0</v>
      </c>
      <c r="N828" s="16">
        <f t="shared" si="38"/>
        <v>0</v>
      </c>
      <c r="P828" s="11"/>
      <c r="Q828" s="30"/>
    </row>
    <row r="829" spans="2:17">
      <c r="B829" s="30"/>
      <c r="C829" s="11"/>
      <c r="D829" s="11"/>
      <c r="E829" t="str">
        <f>IFERROR(VLOOKUP(D829,Customers!$A:$B,2,FALSE),"")</f>
        <v/>
      </c>
      <c r="F829" s="11"/>
      <c r="G829" t="str">
        <f>IFERROR(VLOOKUP(F829,'Products Index'!$A:$B,2,FALSE),"")</f>
        <v/>
      </c>
      <c r="H829" s="11"/>
      <c r="I829" s="12"/>
      <c r="J829" s="15"/>
      <c r="K829" s="16">
        <f t="shared" si="36"/>
        <v>0</v>
      </c>
      <c r="L829" s="16">
        <f t="shared" si="37"/>
        <v>0</v>
      </c>
      <c r="M829" s="16">
        <f>IFERROR(AVERAGEIF('Production Batches'!$C:$C,F829,'Production Batches'!$L:$L),0)</f>
        <v>0</v>
      </c>
      <c r="N829" s="16">
        <f t="shared" si="38"/>
        <v>0</v>
      </c>
      <c r="P829" s="11"/>
      <c r="Q829" s="30"/>
    </row>
    <row r="830" spans="2:17">
      <c r="B830" s="30"/>
      <c r="C830" s="11"/>
      <c r="D830" s="11"/>
      <c r="E830" t="str">
        <f>IFERROR(VLOOKUP(D830,Customers!$A:$B,2,FALSE),"")</f>
        <v/>
      </c>
      <c r="F830" s="11"/>
      <c r="G830" t="str">
        <f>IFERROR(VLOOKUP(F830,'Products Index'!$A:$B,2,FALSE),"")</f>
        <v/>
      </c>
      <c r="H830" s="11"/>
      <c r="I830" s="12"/>
      <c r="J830" s="15"/>
      <c r="K830" s="16">
        <f t="shared" si="36"/>
        <v>0</v>
      </c>
      <c r="L830" s="16">
        <f t="shared" si="37"/>
        <v>0</v>
      </c>
      <c r="M830" s="16">
        <f>IFERROR(AVERAGEIF('Production Batches'!$C:$C,F830,'Production Batches'!$L:$L),0)</f>
        <v>0</v>
      </c>
      <c r="N830" s="16">
        <f t="shared" si="38"/>
        <v>0</v>
      </c>
      <c r="P830" s="11"/>
      <c r="Q830" s="30"/>
    </row>
    <row r="831" spans="2:17">
      <c r="B831" s="30"/>
      <c r="C831" s="11"/>
      <c r="D831" s="11"/>
      <c r="E831" t="str">
        <f>IFERROR(VLOOKUP(D831,Customers!$A:$B,2,FALSE),"")</f>
        <v/>
      </c>
      <c r="F831" s="11"/>
      <c r="G831" t="str">
        <f>IFERROR(VLOOKUP(F831,'Products Index'!$A:$B,2,FALSE),"")</f>
        <v/>
      </c>
      <c r="H831" s="11"/>
      <c r="I831" s="12"/>
      <c r="J831" s="15"/>
      <c r="K831" s="16">
        <f t="shared" si="36"/>
        <v>0</v>
      </c>
      <c r="L831" s="16">
        <f t="shared" si="37"/>
        <v>0</v>
      </c>
      <c r="M831" s="16">
        <f>IFERROR(AVERAGEIF('Production Batches'!$C:$C,F831,'Production Batches'!$L:$L),0)</f>
        <v>0</v>
      </c>
      <c r="N831" s="16">
        <f t="shared" si="38"/>
        <v>0</v>
      </c>
      <c r="P831" s="11"/>
      <c r="Q831" s="30"/>
    </row>
    <row r="832" spans="2:17">
      <c r="B832" s="30"/>
      <c r="C832" s="11"/>
      <c r="D832" s="11"/>
      <c r="E832" t="str">
        <f>IFERROR(VLOOKUP(D832,Customers!$A:$B,2,FALSE),"")</f>
        <v/>
      </c>
      <c r="F832" s="11"/>
      <c r="G832" t="str">
        <f>IFERROR(VLOOKUP(F832,'Products Index'!$A:$B,2,FALSE),"")</f>
        <v/>
      </c>
      <c r="H832" s="11"/>
      <c r="I832" s="12"/>
      <c r="J832" s="15"/>
      <c r="K832" s="16">
        <f t="shared" si="36"/>
        <v>0</v>
      </c>
      <c r="L832" s="16">
        <f t="shared" si="37"/>
        <v>0</v>
      </c>
      <c r="M832" s="16">
        <f>IFERROR(AVERAGEIF('Production Batches'!$C:$C,F832,'Production Batches'!$L:$L),0)</f>
        <v>0</v>
      </c>
      <c r="N832" s="16">
        <f t="shared" si="38"/>
        <v>0</v>
      </c>
      <c r="P832" s="11"/>
      <c r="Q832" s="30"/>
    </row>
    <row r="833" spans="2:17">
      <c r="B833" s="30"/>
      <c r="C833" s="11"/>
      <c r="D833" s="11"/>
      <c r="E833" t="str">
        <f>IFERROR(VLOOKUP(D833,Customers!$A:$B,2,FALSE),"")</f>
        <v/>
      </c>
      <c r="F833" s="11"/>
      <c r="G833" t="str">
        <f>IFERROR(VLOOKUP(F833,'Products Index'!$A:$B,2,FALSE),"")</f>
        <v/>
      </c>
      <c r="H833" s="11"/>
      <c r="I833" s="12"/>
      <c r="J833" s="15"/>
      <c r="K833" s="16">
        <f t="shared" si="36"/>
        <v>0</v>
      </c>
      <c r="L833" s="16">
        <f t="shared" si="37"/>
        <v>0</v>
      </c>
      <c r="M833" s="16">
        <f>IFERROR(AVERAGEIF('Production Batches'!$C:$C,F833,'Production Batches'!$L:$L),0)</f>
        <v>0</v>
      </c>
      <c r="N833" s="16">
        <f t="shared" si="38"/>
        <v>0</v>
      </c>
      <c r="P833" s="11"/>
      <c r="Q833" s="30"/>
    </row>
    <row r="834" spans="2:17">
      <c r="B834" s="30"/>
      <c r="C834" s="11"/>
      <c r="D834" s="11"/>
      <c r="E834" t="str">
        <f>IFERROR(VLOOKUP(D834,Customers!$A:$B,2,FALSE),"")</f>
        <v/>
      </c>
      <c r="F834" s="11"/>
      <c r="G834" t="str">
        <f>IFERROR(VLOOKUP(F834,'Products Index'!$A:$B,2,FALSE),"")</f>
        <v/>
      </c>
      <c r="H834" s="11"/>
      <c r="I834" s="12"/>
      <c r="J834" s="15"/>
      <c r="K834" s="16">
        <f t="shared" ref="K834:K897" si="39">IFERROR(I834*(1-J834),0)</f>
        <v>0</v>
      </c>
      <c r="L834" s="16">
        <f t="shared" ref="L834:L897" si="40">IFERROR(K834*H834,0)</f>
        <v>0</v>
      </c>
      <c r="M834" s="16">
        <f>IFERROR(AVERAGEIF('Production Batches'!$C:$C,F834,'Production Batches'!$L:$L),0)</f>
        <v>0</v>
      </c>
      <c r="N834" s="16">
        <f t="shared" ref="N834:N897" si="41">IFERROR(L834-(M834*H834),0)</f>
        <v>0</v>
      </c>
      <c r="P834" s="11"/>
      <c r="Q834" s="30"/>
    </row>
    <row r="835" spans="2:17">
      <c r="B835" s="30"/>
      <c r="C835" s="11"/>
      <c r="D835" s="11"/>
      <c r="E835" t="str">
        <f>IFERROR(VLOOKUP(D835,Customers!$A:$B,2,FALSE),"")</f>
        <v/>
      </c>
      <c r="F835" s="11"/>
      <c r="G835" t="str">
        <f>IFERROR(VLOOKUP(F835,'Products Index'!$A:$B,2,FALSE),"")</f>
        <v/>
      </c>
      <c r="H835" s="11"/>
      <c r="I835" s="12"/>
      <c r="J835" s="15"/>
      <c r="K835" s="16">
        <f t="shared" si="39"/>
        <v>0</v>
      </c>
      <c r="L835" s="16">
        <f t="shared" si="40"/>
        <v>0</v>
      </c>
      <c r="M835" s="16">
        <f>IFERROR(AVERAGEIF('Production Batches'!$C:$C,F835,'Production Batches'!$L:$L),0)</f>
        <v>0</v>
      </c>
      <c r="N835" s="16">
        <f t="shared" si="41"/>
        <v>0</v>
      </c>
      <c r="P835" s="11"/>
      <c r="Q835" s="30"/>
    </row>
    <row r="836" spans="2:17">
      <c r="B836" s="30"/>
      <c r="C836" s="11"/>
      <c r="D836" s="11"/>
      <c r="E836" t="str">
        <f>IFERROR(VLOOKUP(D836,Customers!$A:$B,2,FALSE),"")</f>
        <v/>
      </c>
      <c r="F836" s="11"/>
      <c r="G836" t="str">
        <f>IFERROR(VLOOKUP(F836,'Products Index'!$A:$B,2,FALSE),"")</f>
        <v/>
      </c>
      <c r="H836" s="11"/>
      <c r="I836" s="12"/>
      <c r="J836" s="15"/>
      <c r="K836" s="16">
        <f t="shared" si="39"/>
        <v>0</v>
      </c>
      <c r="L836" s="16">
        <f t="shared" si="40"/>
        <v>0</v>
      </c>
      <c r="M836" s="16">
        <f>IFERROR(AVERAGEIF('Production Batches'!$C:$C,F836,'Production Batches'!$L:$L),0)</f>
        <v>0</v>
      </c>
      <c r="N836" s="16">
        <f t="shared" si="41"/>
        <v>0</v>
      </c>
      <c r="P836" s="11"/>
      <c r="Q836" s="30"/>
    </row>
    <row r="837" spans="2:17">
      <c r="B837" s="30"/>
      <c r="C837" s="11"/>
      <c r="D837" s="11"/>
      <c r="E837" t="str">
        <f>IFERROR(VLOOKUP(D837,Customers!$A:$B,2,FALSE),"")</f>
        <v/>
      </c>
      <c r="F837" s="11"/>
      <c r="G837" t="str">
        <f>IFERROR(VLOOKUP(F837,'Products Index'!$A:$B,2,FALSE),"")</f>
        <v/>
      </c>
      <c r="H837" s="11"/>
      <c r="I837" s="12"/>
      <c r="J837" s="15"/>
      <c r="K837" s="16">
        <f t="shared" si="39"/>
        <v>0</v>
      </c>
      <c r="L837" s="16">
        <f t="shared" si="40"/>
        <v>0</v>
      </c>
      <c r="M837" s="16">
        <f>IFERROR(AVERAGEIF('Production Batches'!$C:$C,F837,'Production Batches'!$L:$L),0)</f>
        <v>0</v>
      </c>
      <c r="N837" s="16">
        <f t="shared" si="41"/>
        <v>0</v>
      </c>
      <c r="P837" s="11"/>
      <c r="Q837" s="30"/>
    </row>
    <row r="838" spans="2:17">
      <c r="B838" s="30"/>
      <c r="C838" s="11"/>
      <c r="D838" s="11"/>
      <c r="E838" t="str">
        <f>IFERROR(VLOOKUP(D838,Customers!$A:$B,2,FALSE),"")</f>
        <v/>
      </c>
      <c r="F838" s="11"/>
      <c r="G838" t="str">
        <f>IFERROR(VLOOKUP(F838,'Products Index'!$A:$B,2,FALSE),"")</f>
        <v/>
      </c>
      <c r="H838" s="11"/>
      <c r="I838" s="12"/>
      <c r="J838" s="15"/>
      <c r="K838" s="16">
        <f t="shared" si="39"/>
        <v>0</v>
      </c>
      <c r="L838" s="16">
        <f t="shared" si="40"/>
        <v>0</v>
      </c>
      <c r="M838" s="16">
        <f>IFERROR(AVERAGEIF('Production Batches'!$C:$C,F838,'Production Batches'!$L:$L),0)</f>
        <v>0</v>
      </c>
      <c r="N838" s="16">
        <f t="shared" si="41"/>
        <v>0</v>
      </c>
      <c r="P838" s="11"/>
      <c r="Q838" s="30"/>
    </row>
    <row r="839" spans="2:17">
      <c r="B839" s="30"/>
      <c r="C839" s="11"/>
      <c r="D839" s="11"/>
      <c r="E839" t="str">
        <f>IFERROR(VLOOKUP(D839,Customers!$A:$B,2,FALSE),"")</f>
        <v/>
      </c>
      <c r="F839" s="11"/>
      <c r="G839" t="str">
        <f>IFERROR(VLOOKUP(F839,'Products Index'!$A:$B,2,FALSE),"")</f>
        <v/>
      </c>
      <c r="H839" s="11"/>
      <c r="I839" s="12"/>
      <c r="J839" s="15"/>
      <c r="K839" s="16">
        <f t="shared" si="39"/>
        <v>0</v>
      </c>
      <c r="L839" s="16">
        <f t="shared" si="40"/>
        <v>0</v>
      </c>
      <c r="M839" s="16">
        <f>IFERROR(AVERAGEIF('Production Batches'!$C:$C,F839,'Production Batches'!$L:$L),0)</f>
        <v>0</v>
      </c>
      <c r="N839" s="16">
        <f t="shared" si="41"/>
        <v>0</v>
      </c>
      <c r="P839" s="11"/>
      <c r="Q839" s="30"/>
    </row>
    <row r="840" spans="2:17">
      <c r="B840" s="30"/>
      <c r="C840" s="11"/>
      <c r="D840" s="11"/>
      <c r="E840" t="str">
        <f>IFERROR(VLOOKUP(D840,Customers!$A:$B,2,FALSE),"")</f>
        <v/>
      </c>
      <c r="F840" s="11"/>
      <c r="G840" t="str">
        <f>IFERROR(VLOOKUP(F840,'Products Index'!$A:$B,2,FALSE),"")</f>
        <v/>
      </c>
      <c r="H840" s="11"/>
      <c r="I840" s="12"/>
      <c r="J840" s="15"/>
      <c r="K840" s="16">
        <f t="shared" si="39"/>
        <v>0</v>
      </c>
      <c r="L840" s="16">
        <f t="shared" si="40"/>
        <v>0</v>
      </c>
      <c r="M840" s="16">
        <f>IFERROR(AVERAGEIF('Production Batches'!$C:$C,F840,'Production Batches'!$L:$L),0)</f>
        <v>0</v>
      </c>
      <c r="N840" s="16">
        <f t="shared" si="41"/>
        <v>0</v>
      </c>
      <c r="P840" s="11"/>
      <c r="Q840" s="30"/>
    </row>
    <row r="841" spans="2:17">
      <c r="B841" s="30"/>
      <c r="C841" s="11"/>
      <c r="D841" s="11"/>
      <c r="E841" t="str">
        <f>IFERROR(VLOOKUP(D841,Customers!$A:$B,2,FALSE),"")</f>
        <v/>
      </c>
      <c r="F841" s="11"/>
      <c r="G841" t="str">
        <f>IFERROR(VLOOKUP(F841,'Products Index'!$A:$B,2,FALSE),"")</f>
        <v/>
      </c>
      <c r="H841" s="11"/>
      <c r="I841" s="12"/>
      <c r="J841" s="15"/>
      <c r="K841" s="16">
        <f t="shared" si="39"/>
        <v>0</v>
      </c>
      <c r="L841" s="16">
        <f t="shared" si="40"/>
        <v>0</v>
      </c>
      <c r="M841" s="16">
        <f>IFERROR(AVERAGEIF('Production Batches'!$C:$C,F841,'Production Batches'!$L:$L),0)</f>
        <v>0</v>
      </c>
      <c r="N841" s="16">
        <f t="shared" si="41"/>
        <v>0</v>
      </c>
      <c r="P841" s="11"/>
      <c r="Q841" s="30"/>
    </row>
    <row r="842" spans="2:17">
      <c r="B842" s="30"/>
      <c r="C842" s="11"/>
      <c r="D842" s="11"/>
      <c r="E842" t="str">
        <f>IFERROR(VLOOKUP(D842,Customers!$A:$B,2,FALSE),"")</f>
        <v/>
      </c>
      <c r="F842" s="11"/>
      <c r="G842" t="str">
        <f>IFERROR(VLOOKUP(F842,'Products Index'!$A:$B,2,FALSE),"")</f>
        <v/>
      </c>
      <c r="H842" s="11"/>
      <c r="I842" s="12"/>
      <c r="J842" s="15"/>
      <c r="K842" s="16">
        <f t="shared" si="39"/>
        <v>0</v>
      </c>
      <c r="L842" s="16">
        <f t="shared" si="40"/>
        <v>0</v>
      </c>
      <c r="M842" s="16">
        <f>IFERROR(AVERAGEIF('Production Batches'!$C:$C,F842,'Production Batches'!$L:$L),0)</f>
        <v>0</v>
      </c>
      <c r="N842" s="16">
        <f t="shared" si="41"/>
        <v>0</v>
      </c>
      <c r="P842" s="11"/>
      <c r="Q842" s="30"/>
    </row>
    <row r="843" spans="2:17">
      <c r="B843" s="30"/>
      <c r="C843" s="11"/>
      <c r="D843" s="11"/>
      <c r="E843" t="str">
        <f>IFERROR(VLOOKUP(D843,Customers!$A:$B,2,FALSE),"")</f>
        <v/>
      </c>
      <c r="F843" s="11"/>
      <c r="G843" t="str">
        <f>IFERROR(VLOOKUP(F843,'Products Index'!$A:$B,2,FALSE),"")</f>
        <v/>
      </c>
      <c r="H843" s="11"/>
      <c r="I843" s="12"/>
      <c r="J843" s="15"/>
      <c r="K843" s="16">
        <f t="shared" si="39"/>
        <v>0</v>
      </c>
      <c r="L843" s="16">
        <f t="shared" si="40"/>
        <v>0</v>
      </c>
      <c r="M843" s="16">
        <f>IFERROR(AVERAGEIF('Production Batches'!$C:$C,F843,'Production Batches'!$L:$L),0)</f>
        <v>0</v>
      </c>
      <c r="N843" s="16">
        <f t="shared" si="41"/>
        <v>0</v>
      </c>
      <c r="P843" s="11"/>
      <c r="Q843" s="30"/>
    </row>
    <row r="844" spans="2:17">
      <c r="B844" s="30"/>
      <c r="C844" s="11"/>
      <c r="D844" s="11"/>
      <c r="E844" t="str">
        <f>IFERROR(VLOOKUP(D844,Customers!$A:$B,2,FALSE),"")</f>
        <v/>
      </c>
      <c r="F844" s="11"/>
      <c r="G844" t="str">
        <f>IFERROR(VLOOKUP(F844,'Products Index'!$A:$B,2,FALSE),"")</f>
        <v/>
      </c>
      <c r="H844" s="11"/>
      <c r="I844" s="12"/>
      <c r="J844" s="15"/>
      <c r="K844" s="16">
        <f t="shared" si="39"/>
        <v>0</v>
      </c>
      <c r="L844" s="16">
        <f t="shared" si="40"/>
        <v>0</v>
      </c>
      <c r="M844" s="16">
        <f>IFERROR(AVERAGEIF('Production Batches'!$C:$C,F844,'Production Batches'!$L:$L),0)</f>
        <v>0</v>
      </c>
      <c r="N844" s="16">
        <f t="shared" si="41"/>
        <v>0</v>
      </c>
      <c r="P844" s="11"/>
      <c r="Q844" s="30"/>
    </row>
    <row r="845" spans="2:17">
      <c r="B845" s="30"/>
      <c r="C845" s="11"/>
      <c r="D845" s="11"/>
      <c r="E845" t="str">
        <f>IFERROR(VLOOKUP(D845,Customers!$A:$B,2,FALSE),"")</f>
        <v/>
      </c>
      <c r="F845" s="11"/>
      <c r="G845" t="str">
        <f>IFERROR(VLOOKUP(F845,'Products Index'!$A:$B,2,FALSE),"")</f>
        <v/>
      </c>
      <c r="H845" s="11"/>
      <c r="I845" s="12"/>
      <c r="J845" s="15"/>
      <c r="K845" s="16">
        <f t="shared" si="39"/>
        <v>0</v>
      </c>
      <c r="L845" s="16">
        <f t="shared" si="40"/>
        <v>0</v>
      </c>
      <c r="M845" s="16">
        <f>IFERROR(AVERAGEIF('Production Batches'!$C:$C,F845,'Production Batches'!$L:$L),0)</f>
        <v>0</v>
      </c>
      <c r="N845" s="16">
        <f t="shared" si="41"/>
        <v>0</v>
      </c>
      <c r="P845" s="11"/>
      <c r="Q845" s="30"/>
    </row>
    <row r="846" spans="2:17">
      <c r="B846" s="30"/>
      <c r="C846" s="11"/>
      <c r="D846" s="11"/>
      <c r="E846" t="str">
        <f>IFERROR(VLOOKUP(D846,Customers!$A:$B,2,FALSE),"")</f>
        <v/>
      </c>
      <c r="F846" s="11"/>
      <c r="G846" t="str">
        <f>IFERROR(VLOOKUP(F846,'Products Index'!$A:$B,2,FALSE),"")</f>
        <v/>
      </c>
      <c r="H846" s="11"/>
      <c r="I846" s="12"/>
      <c r="J846" s="15"/>
      <c r="K846" s="16">
        <f t="shared" si="39"/>
        <v>0</v>
      </c>
      <c r="L846" s="16">
        <f t="shared" si="40"/>
        <v>0</v>
      </c>
      <c r="M846" s="16">
        <f>IFERROR(AVERAGEIF('Production Batches'!$C:$C,F846,'Production Batches'!$L:$L),0)</f>
        <v>0</v>
      </c>
      <c r="N846" s="16">
        <f t="shared" si="41"/>
        <v>0</v>
      </c>
      <c r="P846" s="11"/>
      <c r="Q846" s="30"/>
    </row>
    <row r="847" spans="2:17">
      <c r="B847" s="30"/>
      <c r="C847" s="11"/>
      <c r="D847" s="11"/>
      <c r="E847" t="str">
        <f>IFERROR(VLOOKUP(D847,Customers!$A:$B,2,FALSE),"")</f>
        <v/>
      </c>
      <c r="F847" s="11"/>
      <c r="G847" t="str">
        <f>IFERROR(VLOOKUP(F847,'Products Index'!$A:$B,2,FALSE),"")</f>
        <v/>
      </c>
      <c r="H847" s="11"/>
      <c r="I847" s="12"/>
      <c r="J847" s="15"/>
      <c r="K847" s="16">
        <f t="shared" si="39"/>
        <v>0</v>
      </c>
      <c r="L847" s="16">
        <f t="shared" si="40"/>
        <v>0</v>
      </c>
      <c r="M847" s="16">
        <f>IFERROR(AVERAGEIF('Production Batches'!$C:$C,F847,'Production Batches'!$L:$L),0)</f>
        <v>0</v>
      </c>
      <c r="N847" s="16">
        <f t="shared" si="41"/>
        <v>0</v>
      </c>
      <c r="P847" s="11"/>
      <c r="Q847" s="30"/>
    </row>
    <row r="848" spans="2:17">
      <c r="B848" s="30"/>
      <c r="C848" s="11"/>
      <c r="D848" s="11"/>
      <c r="E848" t="str">
        <f>IFERROR(VLOOKUP(D848,Customers!$A:$B,2,FALSE),"")</f>
        <v/>
      </c>
      <c r="F848" s="11"/>
      <c r="G848" t="str">
        <f>IFERROR(VLOOKUP(F848,'Products Index'!$A:$B,2,FALSE),"")</f>
        <v/>
      </c>
      <c r="H848" s="11"/>
      <c r="I848" s="12"/>
      <c r="J848" s="15"/>
      <c r="K848" s="16">
        <f t="shared" si="39"/>
        <v>0</v>
      </c>
      <c r="L848" s="16">
        <f t="shared" si="40"/>
        <v>0</v>
      </c>
      <c r="M848" s="16">
        <f>IFERROR(AVERAGEIF('Production Batches'!$C:$C,F848,'Production Batches'!$L:$L),0)</f>
        <v>0</v>
      </c>
      <c r="N848" s="16">
        <f t="shared" si="41"/>
        <v>0</v>
      </c>
      <c r="P848" s="11"/>
      <c r="Q848" s="30"/>
    </row>
    <row r="849" spans="2:17">
      <c r="B849" s="30"/>
      <c r="C849" s="11"/>
      <c r="D849" s="11"/>
      <c r="E849" t="str">
        <f>IFERROR(VLOOKUP(D849,Customers!$A:$B,2,FALSE),"")</f>
        <v/>
      </c>
      <c r="F849" s="11"/>
      <c r="G849" t="str">
        <f>IFERROR(VLOOKUP(F849,'Products Index'!$A:$B,2,FALSE),"")</f>
        <v/>
      </c>
      <c r="H849" s="11"/>
      <c r="I849" s="12"/>
      <c r="J849" s="15"/>
      <c r="K849" s="16">
        <f t="shared" si="39"/>
        <v>0</v>
      </c>
      <c r="L849" s="16">
        <f t="shared" si="40"/>
        <v>0</v>
      </c>
      <c r="M849" s="16">
        <f>IFERROR(AVERAGEIF('Production Batches'!$C:$C,F849,'Production Batches'!$L:$L),0)</f>
        <v>0</v>
      </c>
      <c r="N849" s="16">
        <f t="shared" si="41"/>
        <v>0</v>
      </c>
      <c r="P849" s="11"/>
      <c r="Q849" s="30"/>
    </row>
    <row r="850" spans="2:17">
      <c r="B850" s="30"/>
      <c r="C850" s="11"/>
      <c r="D850" s="11"/>
      <c r="E850" t="str">
        <f>IFERROR(VLOOKUP(D850,Customers!$A:$B,2,FALSE),"")</f>
        <v/>
      </c>
      <c r="F850" s="11"/>
      <c r="G850" t="str">
        <f>IFERROR(VLOOKUP(F850,'Products Index'!$A:$B,2,FALSE),"")</f>
        <v/>
      </c>
      <c r="H850" s="11"/>
      <c r="I850" s="12"/>
      <c r="J850" s="15"/>
      <c r="K850" s="16">
        <f t="shared" si="39"/>
        <v>0</v>
      </c>
      <c r="L850" s="16">
        <f t="shared" si="40"/>
        <v>0</v>
      </c>
      <c r="M850" s="16">
        <f>IFERROR(AVERAGEIF('Production Batches'!$C:$C,F850,'Production Batches'!$L:$L),0)</f>
        <v>0</v>
      </c>
      <c r="N850" s="16">
        <f t="shared" si="41"/>
        <v>0</v>
      </c>
      <c r="P850" s="11"/>
      <c r="Q850" s="30"/>
    </row>
    <row r="851" spans="2:17">
      <c r="B851" s="30"/>
      <c r="C851" s="11"/>
      <c r="D851" s="11"/>
      <c r="E851" t="str">
        <f>IFERROR(VLOOKUP(D851,Customers!$A:$B,2,FALSE),"")</f>
        <v/>
      </c>
      <c r="F851" s="11"/>
      <c r="G851" t="str">
        <f>IFERROR(VLOOKUP(F851,'Products Index'!$A:$B,2,FALSE),"")</f>
        <v/>
      </c>
      <c r="H851" s="11"/>
      <c r="I851" s="12"/>
      <c r="J851" s="15"/>
      <c r="K851" s="16">
        <f t="shared" si="39"/>
        <v>0</v>
      </c>
      <c r="L851" s="16">
        <f t="shared" si="40"/>
        <v>0</v>
      </c>
      <c r="M851" s="16">
        <f>IFERROR(AVERAGEIF('Production Batches'!$C:$C,F851,'Production Batches'!$L:$L),0)</f>
        <v>0</v>
      </c>
      <c r="N851" s="16">
        <f t="shared" si="41"/>
        <v>0</v>
      </c>
      <c r="P851" s="11"/>
      <c r="Q851" s="30"/>
    </row>
    <row r="852" spans="2:17">
      <c r="B852" s="30"/>
      <c r="C852" s="11"/>
      <c r="D852" s="11"/>
      <c r="E852" t="str">
        <f>IFERROR(VLOOKUP(D852,Customers!$A:$B,2,FALSE),"")</f>
        <v/>
      </c>
      <c r="F852" s="11"/>
      <c r="G852" t="str">
        <f>IFERROR(VLOOKUP(F852,'Products Index'!$A:$B,2,FALSE),"")</f>
        <v/>
      </c>
      <c r="H852" s="11"/>
      <c r="I852" s="12"/>
      <c r="J852" s="15"/>
      <c r="K852" s="16">
        <f t="shared" si="39"/>
        <v>0</v>
      </c>
      <c r="L852" s="16">
        <f t="shared" si="40"/>
        <v>0</v>
      </c>
      <c r="M852" s="16">
        <f>IFERROR(AVERAGEIF('Production Batches'!$C:$C,F852,'Production Batches'!$L:$L),0)</f>
        <v>0</v>
      </c>
      <c r="N852" s="16">
        <f t="shared" si="41"/>
        <v>0</v>
      </c>
      <c r="P852" s="11"/>
      <c r="Q852" s="30"/>
    </row>
    <row r="853" spans="2:17">
      <c r="B853" s="30"/>
      <c r="C853" s="11"/>
      <c r="D853" s="11"/>
      <c r="E853" t="str">
        <f>IFERROR(VLOOKUP(D853,Customers!$A:$B,2,FALSE),"")</f>
        <v/>
      </c>
      <c r="F853" s="11"/>
      <c r="G853" t="str">
        <f>IFERROR(VLOOKUP(F853,'Products Index'!$A:$B,2,FALSE),"")</f>
        <v/>
      </c>
      <c r="H853" s="11"/>
      <c r="I853" s="12"/>
      <c r="J853" s="15"/>
      <c r="K853" s="16">
        <f t="shared" si="39"/>
        <v>0</v>
      </c>
      <c r="L853" s="16">
        <f t="shared" si="40"/>
        <v>0</v>
      </c>
      <c r="M853" s="16">
        <f>IFERROR(AVERAGEIF('Production Batches'!$C:$C,F853,'Production Batches'!$L:$L),0)</f>
        <v>0</v>
      </c>
      <c r="N853" s="16">
        <f t="shared" si="41"/>
        <v>0</v>
      </c>
      <c r="P853" s="11"/>
      <c r="Q853" s="30"/>
    </row>
    <row r="854" spans="2:17">
      <c r="B854" s="30"/>
      <c r="C854" s="11"/>
      <c r="D854" s="11"/>
      <c r="E854" t="str">
        <f>IFERROR(VLOOKUP(D854,Customers!$A:$B,2,FALSE),"")</f>
        <v/>
      </c>
      <c r="F854" s="11"/>
      <c r="G854" t="str">
        <f>IFERROR(VLOOKUP(F854,'Products Index'!$A:$B,2,FALSE),"")</f>
        <v/>
      </c>
      <c r="H854" s="11"/>
      <c r="I854" s="12"/>
      <c r="J854" s="15"/>
      <c r="K854" s="16">
        <f t="shared" si="39"/>
        <v>0</v>
      </c>
      <c r="L854" s="16">
        <f t="shared" si="40"/>
        <v>0</v>
      </c>
      <c r="M854" s="16">
        <f>IFERROR(AVERAGEIF('Production Batches'!$C:$C,F854,'Production Batches'!$L:$L),0)</f>
        <v>0</v>
      </c>
      <c r="N854" s="16">
        <f t="shared" si="41"/>
        <v>0</v>
      </c>
      <c r="P854" s="11"/>
      <c r="Q854" s="30"/>
    </row>
    <row r="855" spans="2:17">
      <c r="B855" s="30"/>
      <c r="C855" s="11"/>
      <c r="D855" s="11"/>
      <c r="E855" t="str">
        <f>IFERROR(VLOOKUP(D855,Customers!$A:$B,2,FALSE),"")</f>
        <v/>
      </c>
      <c r="F855" s="11"/>
      <c r="G855" t="str">
        <f>IFERROR(VLOOKUP(F855,'Products Index'!$A:$B,2,FALSE),"")</f>
        <v/>
      </c>
      <c r="H855" s="11"/>
      <c r="I855" s="12"/>
      <c r="J855" s="15"/>
      <c r="K855" s="16">
        <f t="shared" si="39"/>
        <v>0</v>
      </c>
      <c r="L855" s="16">
        <f t="shared" si="40"/>
        <v>0</v>
      </c>
      <c r="M855" s="16">
        <f>IFERROR(AVERAGEIF('Production Batches'!$C:$C,F855,'Production Batches'!$L:$L),0)</f>
        <v>0</v>
      </c>
      <c r="N855" s="16">
        <f t="shared" si="41"/>
        <v>0</v>
      </c>
      <c r="P855" s="11"/>
      <c r="Q855" s="30"/>
    </row>
    <row r="856" spans="2:17">
      <c r="B856" s="30"/>
      <c r="C856" s="11"/>
      <c r="D856" s="11"/>
      <c r="E856" t="str">
        <f>IFERROR(VLOOKUP(D856,Customers!$A:$B,2,FALSE),"")</f>
        <v/>
      </c>
      <c r="F856" s="11"/>
      <c r="G856" t="str">
        <f>IFERROR(VLOOKUP(F856,'Products Index'!$A:$B,2,FALSE),"")</f>
        <v/>
      </c>
      <c r="H856" s="11"/>
      <c r="I856" s="12"/>
      <c r="J856" s="15"/>
      <c r="K856" s="16">
        <f t="shared" si="39"/>
        <v>0</v>
      </c>
      <c r="L856" s="16">
        <f t="shared" si="40"/>
        <v>0</v>
      </c>
      <c r="M856" s="16">
        <f>IFERROR(AVERAGEIF('Production Batches'!$C:$C,F856,'Production Batches'!$L:$L),0)</f>
        <v>0</v>
      </c>
      <c r="N856" s="16">
        <f t="shared" si="41"/>
        <v>0</v>
      </c>
      <c r="P856" s="11"/>
      <c r="Q856" s="30"/>
    </row>
    <row r="857" spans="2:17">
      <c r="B857" s="30"/>
      <c r="C857" s="11"/>
      <c r="D857" s="11"/>
      <c r="E857" t="str">
        <f>IFERROR(VLOOKUP(D857,Customers!$A:$B,2,FALSE),"")</f>
        <v/>
      </c>
      <c r="F857" s="11"/>
      <c r="G857" t="str">
        <f>IFERROR(VLOOKUP(F857,'Products Index'!$A:$B,2,FALSE),"")</f>
        <v/>
      </c>
      <c r="H857" s="11"/>
      <c r="I857" s="12"/>
      <c r="J857" s="15"/>
      <c r="K857" s="16">
        <f t="shared" si="39"/>
        <v>0</v>
      </c>
      <c r="L857" s="16">
        <f t="shared" si="40"/>
        <v>0</v>
      </c>
      <c r="M857" s="16">
        <f>IFERROR(AVERAGEIF('Production Batches'!$C:$C,F857,'Production Batches'!$L:$L),0)</f>
        <v>0</v>
      </c>
      <c r="N857" s="16">
        <f t="shared" si="41"/>
        <v>0</v>
      </c>
      <c r="P857" s="11"/>
      <c r="Q857" s="30"/>
    </row>
    <row r="858" spans="2:17">
      <c r="B858" s="30"/>
      <c r="C858" s="11"/>
      <c r="D858" s="11"/>
      <c r="E858" t="str">
        <f>IFERROR(VLOOKUP(D858,Customers!$A:$B,2,FALSE),"")</f>
        <v/>
      </c>
      <c r="F858" s="11"/>
      <c r="G858" t="str">
        <f>IFERROR(VLOOKUP(F858,'Products Index'!$A:$B,2,FALSE),"")</f>
        <v/>
      </c>
      <c r="H858" s="11"/>
      <c r="I858" s="12"/>
      <c r="J858" s="15"/>
      <c r="K858" s="16">
        <f t="shared" si="39"/>
        <v>0</v>
      </c>
      <c r="L858" s="16">
        <f t="shared" si="40"/>
        <v>0</v>
      </c>
      <c r="M858" s="16">
        <f>IFERROR(AVERAGEIF('Production Batches'!$C:$C,F858,'Production Batches'!$L:$L),0)</f>
        <v>0</v>
      </c>
      <c r="N858" s="16">
        <f t="shared" si="41"/>
        <v>0</v>
      </c>
      <c r="P858" s="11"/>
      <c r="Q858" s="30"/>
    </row>
    <row r="859" spans="2:17">
      <c r="B859" s="30"/>
      <c r="C859" s="11"/>
      <c r="D859" s="11"/>
      <c r="E859" t="str">
        <f>IFERROR(VLOOKUP(D859,Customers!$A:$B,2,FALSE),"")</f>
        <v/>
      </c>
      <c r="F859" s="11"/>
      <c r="G859" t="str">
        <f>IFERROR(VLOOKUP(F859,'Products Index'!$A:$B,2,FALSE),"")</f>
        <v/>
      </c>
      <c r="H859" s="11"/>
      <c r="I859" s="12"/>
      <c r="J859" s="15"/>
      <c r="K859" s="16">
        <f t="shared" si="39"/>
        <v>0</v>
      </c>
      <c r="L859" s="16">
        <f t="shared" si="40"/>
        <v>0</v>
      </c>
      <c r="M859" s="16">
        <f>IFERROR(AVERAGEIF('Production Batches'!$C:$C,F859,'Production Batches'!$L:$L),0)</f>
        <v>0</v>
      </c>
      <c r="N859" s="16">
        <f t="shared" si="41"/>
        <v>0</v>
      </c>
      <c r="P859" s="11"/>
      <c r="Q859" s="30"/>
    </row>
    <row r="860" spans="2:17">
      <c r="B860" s="30"/>
      <c r="C860" s="11"/>
      <c r="D860" s="11"/>
      <c r="E860" t="str">
        <f>IFERROR(VLOOKUP(D860,Customers!$A:$B,2,FALSE),"")</f>
        <v/>
      </c>
      <c r="F860" s="11"/>
      <c r="G860" t="str">
        <f>IFERROR(VLOOKUP(F860,'Products Index'!$A:$B,2,FALSE),"")</f>
        <v/>
      </c>
      <c r="H860" s="11"/>
      <c r="I860" s="12"/>
      <c r="J860" s="15"/>
      <c r="K860" s="16">
        <f t="shared" si="39"/>
        <v>0</v>
      </c>
      <c r="L860" s="16">
        <f t="shared" si="40"/>
        <v>0</v>
      </c>
      <c r="M860" s="16">
        <f>IFERROR(AVERAGEIF('Production Batches'!$C:$C,F860,'Production Batches'!$L:$L),0)</f>
        <v>0</v>
      </c>
      <c r="N860" s="16">
        <f t="shared" si="41"/>
        <v>0</v>
      </c>
      <c r="P860" s="11"/>
      <c r="Q860" s="30"/>
    </row>
    <row r="861" spans="2:17">
      <c r="B861" s="30"/>
      <c r="C861" s="11"/>
      <c r="D861" s="11"/>
      <c r="E861" t="str">
        <f>IFERROR(VLOOKUP(D861,Customers!$A:$B,2,FALSE),"")</f>
        <v/>
      </c>
      <c r="F861" s="11"/>
      <c r="G861" t="str">
        <f>IFERROR(VLOOKUP(F861,'Products Index'!$A:$B,2,FALSE),"")</f>
        <v/>
      </c>
      <c r="H861" s="11"/>
      <c r="I861" s="12"/>
      <c r="J861" s="15"/>
      <c r="K861" s="16">
        <f t="shared" si="39"/>
        <v>0</v>
      </c>
      <c r="L861" s="16">
        <f t="shared" si="40"/>
        <v>0</v>
      </c>
      <c r="M861" s="16">
        <f>IFERROR(AVERAGEIF('Production Batches'!$C:$C,F861,'Production Batches'!$L:$L),0)</f>
        <v>0</v>
      </c>
      <c r="N861" s="16">
        <f t="shared" si="41"/>
        <v>0</v>
      </c>
      <c r="P861" s="11"/>
      <c r="Q861" s="30"/>
    </row>
    <row r="862" spans="2:17">
      <c r="B862" s="30"/>
      <c r="C862" s="11"/>
      <c r="D862" s="11"/>
      <c r="E862" t="str">
        <f>IFERROR(VLOOKUP(D862,Customers!$A:$B,2,FALSE),"")</f>
        <v/>
      </c>
      <c r="F862" s="11"/>
      <c r="G862" t="str">
        <f>IFERROR(VLOOKUP(F862,'Products Index'!$A:$B,2,FALSE),"")</f>
        <v/>
      </c>
      <c r="H862" s="11"/>
      <c r="I862" s="12"/>
      <c r="J862" s="15"/>
      <c r="K862" s="16">
        <f t="shared" si="39"/>
        <v>0</v>
      </c>
      <c r="L862" s="16">
        <f t="shared" si="40"/>
        <v>0</v>
      </c>
      <c r="M862" s="16">
        <f>IFERROR(AVERAGEIF('Production Batches'!$C:$C,F862,'Production Batches'!$L:$L),0)</f>
        <v>0</v>
      </c>
      <c r="N862" s="16">
        <f t="shared" si="41"/>
        <v>0</v>
      </c>
      <c r="P862" s="11"/>
      <c r="Q862" s="30"/>
    </row>
    <row r="863" spans="2:17">
      <c r="B863" s="30"/>
      <c r="C863" s="11"/>
      <c r="D863" s="11"/>
      <c r="E863" t="str">
        <f>IFERROR(VLOOKUP(D863,Customers!$A:$B,2,FALSE),"")</f>
        <v/>
      </c>
      <c r="F863" s="11"/>
      <c r="G863" t="str">
        <f>IFERROR(VLOOKUP(F863,'Products Index'!$A:$B,2,FALSE),"")</f>
        <v/>
      </c>
      <c r="H863" s="11"/>
      <c r="I863" s="12"/>
      <c r="J863" s="15"/>
      <c r="K863" s="16">
        <f t="shared" si="39"/>
        <v>0</v>
      </c>
      <c r="L863" s="16">
        <f t="shared" si="40"/>
        <v>0</v>
      </c>
      <c r="M863" s="16">
        <f>IFERROR(AVERAGEIF('Production Batches'!$C:$C,F863,'Production Batches'!$L:$L),0)</f>
        <v>0</v>
      </c>
      <c r="N863" s="16">
        <f t="shared" si="41"/>
        <v>0</v>
      </c>
      <c r="P863" s="11"/>
      <c r="Q863" s="30"/>
    </row>
    <row r="864" spans="2:17">
      <c r="B864" s="30"/>
      <c r="C864" s="11"/>
      <c r="D864" s="11"/>
      <c r="E864" t="str">
        <f>IFERROR(VLOOKUP(D864,Customers!$A:$B,2,FALSE),"")</f>
        <v/>
      </c>
      <c r="F864" s="11"/>
      <c r="G864" t="str">
        <f>IFERROR(VLOOKUP(F864,'Products Index'!$A:$B,2,FALSE),"")</f>
        <v/>
      </c>
      <c r="H864" s="11"/>
      <c r="I864" s="12"/>
      <c r="J864" s="15"/>
      <c r="K864" s="16">
        <f t="shared" si="39"/>
        <v>0</v>
      </c>
      <c r="L864" s="16">
        <f t="shared" si="40"/>
        <v>0</v>
      </c>
      <c r="M864" s="16">
        <f>IFERROR(AVERAGEIF('Production Batches'!$C:$C,F864,'Production Batches'!$L:$L),0)</f>
        <v>0</v>
      </c>
      <c r="N864" s="16">
        <f t="shared" si="41"/>
        <v>0</v>
      </c>
      <c r="P864" s="11"/>
      <c r="Q864" s="30"/>
    </row>
    <row r="865" spans="2:17">
      <c r="B865" s="30"/>
      <c r="C865" s="11"/>
      <c r="D865" s="11"/>
      <c r="E865" t="str">
        <f>IFERROR(VLOOKUP(D865,Customers!$A:$B,2,FALSE),"")</f>
        <v/>
      </c>
      <c r="F865" s="11"/>
      <c r="G865" t="str">
        <f>IFERROR(VLOOKUP(F865,'Products Index'!$A:$B,2,FALSE),"")</f>
        <v/>
      </c>
      <c r="H865" s="11"/>
      <c r="I865" s="12"/>
      <c r="J865" s="15"/>
      <c r="K865" s="16">
        <f t="shared" si="39"/>
        <v>0</v>
      </c>
      <c r="L865" s="16">
        <f t="shared" si="40"/>
        <v>0</v>
      </c>
      <c r="M865" s="16">
        <f>IFERROR(AVERAGEIF('Production Batches'!$C:$C,F865,'Production Batches'!$L:$L),0)</f>
        <v>0</v>
      </c>
      <c r="N865" s="16">
        <f t="shared" si="41"/>
        <v>0</v>
      </c>
      <c r="P865" s="11"/>
      <c r="Q865" s="30"/>
    </row>
    <row r="866" spans="2:17">
      <c r="B866" s="30"/>
      <c r="C866" s="11"/>
      <c r="D866" s="11"/>
      <c r="E866" t="str">
        <f>IFERROR(VLOOKUP(D866,Customers!$A:$B,2,FALSE),"")</f>
        <v/>
      </c>
      <c r="F866" s="11"/>
      <c r="G866" t="str">
        <f>IFERROR(VLOOKUP(F866,'Products Index'!$A:$B,2,FALSE),"")</f>
        <v/>
      </c>
      <c r="H866" s="11"/>
      <c r="I866" s="12"/>
      <c r="J866" s="15"/>
      <c r="K866" s="16">
        <f t="shared" si="39"/>
        <v>0</v>
      </c>
      <c r="L866" s="16">
        <f t="shared" si="40"/>
        <v>0</v>
      </c>
      <c r="M866" s="16">
        <f>IFERROR(AVERAGEIF('Production Batches'!$C:$C,F866,'Production Batches'!$L:$L),0)</f>
        <v>0</v>
      </c>
      <c r="N866" s="16">
        <f t="shared" si="41"/>
        <v>0</v>
      </c>
      <c r="P866" s="11"/>
      <c r="Q866" s="30"/>
    </row>
    <row r="867" spans="2:17">
      <c r="B867" s="30"/>
      <c r="C867" s="11"/>
      <c r="D867" s="11"/>
      <c r="E867" t="str">
        <f>IFERROR(VLOOKUP(D867,Customers!$A:$B,2,FALSE),"")</f>
        <v/>
      </c>
      <c r="F867" s="11"/>
      <c r="G867" t="str">
        <f>IFERROR(VLOOKUP(F867,'Products Index'!$A:$B,2,FALSE),"")</f>
        <v/>
      </c>
      <c r="H867" s="11"/>
      <c r="I867" s="12"/>
      <c r="J867" s="15"/>
      <c r="K867" s="16">
        <f t="shared" si="39"/>
        <v>0</v>
      </c>
      <c r="L867" s="16">
        <f t="shared" si="40"/>
        <v>0</v>
      </c>
      <c r="M867" s="16">
        <f>IFERROR(AVERAGEIF('Production Batches'!$C:$C,F867,'Production Batches'!$L:$L),0)</f>
        <v>0</v>
      </c>
      <c r="N867" s="16">
        <f t="shared" si="41"/>
        <v>0</v>
      </c>
      <c r="P867" s="11"/>
      <c r="Q867" s="30"/>
    </row>
    <row r="868" spans="2:17">
      <c r="B868" s="30"/>
      <c r="C868" s="11"/>
      <c r="D868" s="11"/>
      <c r="E868" t="str">
        <f>IFERROR(VLOOKUP(D868,Customers!$A:$B,2,FALSE),"")</f>
        <v/>
      </c>
      <c r="F868" s="11"/>
      <c r="G868" t="str">
        <f>IFERROR(VLOOKUP(F868,'Products Index'!$A:$B,2,FALSE),"")</f>
        <v/>
      </c>
      <c r="H868" s="11"/>
      <c r="I868" s="12"/>
      <c r="J868" s="15"/>
      <c r="K868" s="16">
        <f t="shared" si="39"/>
        <v>0</v>
      </c>
      <c r="L868" s="16">
        <f t="shared" si="40"/>
        <v>0</v>
      </c>
      <c r="M868" s="16">
        <f>IFERROR(AVERAGEIF('Production Batches'!$C:$C,F868,'Production Batches'!$L:$L),0)</f>
        <v>0</v>
      </c>
      <c r="N868" s="16">
        <f t="shared" si="41"/>
        <v>0</v>
      </c>
      <c r="P868" s="11"/>
      <c r="Q868" s="30"/>
    </row>
    <row r="869" spans="2:17">
      <c r="B869" s="30"/>
      <c r="C869" s="11"/>
      <c r="D869" s="11"/>
      <c r="E869" t="str">
        <f>IFERROR(VLOOKUP(D869,Customers!$A:$B,2,FALSE),"")</f>
        <v/>
      </c>
      <c r="F869" s="11"/>
      <c r="G869" t="str">
        <f>IFERROR(VLOOKUP(F869,'Products Index'!$A:$B,2,FALSE),"")</f>
        <v/>
      </c>
      <c r="H869" s="11"/>
      <c r="I869" s="12"/>
      <c r="J869" s="15"/>
      <c r="K869" s="16">
        <f t="shared" si="39"/>
        <v>0</v>
      </c>
      <c r="L869" s="16">
        <f t="shared" si="40"/>
        <v>0</v>
      </c>
      <c r="M869" s="16">
        <f>IFERROR(AVERAGEIF('Production Batches'!$C:$C,F869,'Production Batches'!$L:$L),0)</f>
        <v>0</v>
      </c>
      <c r="N869" s="16">
        <f t="shared" si="41"/>
        <v>0</v>
      </c>
      <c r="P869" s="11"/>
      <c r="Q869" s="30"/>
    </row>
    <row r="870" spans="2:17">
      <c r="B870" s="30"/>
      <c r="C870" s="11"/>
      <c r="D870" s="11"/>
      <c r="E870" t="str">
        <f>IFERROR(VLOOKUP(D870,Customers!$A:$B,2,FALSE),"")</f>
        <v/>
      </c>
      <c r="F870" s="11"/>
      <c r="G870" t="str">
        <f>IFERROR(VLOOKUP(F870,'Products Index'!$A:$B,2,FALSE),"")</f>
        <v/>
      </c>
      <c r="H870" s="11"/>
      <c r="I870" s="12"/>
      <c r="J870" s="15"/>
      <c r="K870" s="16">
        <f t="shared" si="39"/>
        <v>0</v>
      </c>
      <c r="L870" s="16">
        <f t="shared" si="40"/>
        <v>0</v>
      </c>
      <c r="M870" s="16">
        <f>IFERROR(AVERAGEIF('Production Batches'!$C:$C,F870,'Production Batches'!$L:$L),0)</f>
        <v>0</v>
      </c>
      <c r="N870" s="16">
        <f t="shared" si="41"/>
        <v>0</v>
      </c>
      <c r="P870" s="11"/>
      <c r="Q870" s="30"/>
    </row>
    <row r="871" spans="2:17">
      <c r="B871" s="30"/>
      <c r="C871" s="11"/>
      <c r="D871" s="11"/>
      <c r="E871" t="str">
        <f>IFERROR(VLOOKUP(D871,Customers!$A:$B,2,FALSE),"")</f>
        <v/>
      </c>
      <c r="F871" s="11"/>
      <c r="G871" t="str">
        <f>IFERROR(VLOOKUP(F871,'Products Index'!$A:$B,2,FALSE),"")</f>
        <v/>
      </c>
      <c r="H871" s="11"/>
      <c r="I871" s="12"/>
      <c r="J871" s="15"/>
      <c r="K871" s="16">
        <f t="shared" si="39"/>
        <v>0</v>
      </c>
      <c r="L871" s="16">
        <f t="shared" si="40"/>
        <v>0</v>
      </c>
      <c r="M871" s="16">
        <f>IFERROR(AVERAGEIF('Production Batches'!$C:$C,F871,'Production Batches'!$L:$L),0)</f>
        <v>0</v>
      </c>
      <c r="N871" s="16">
        <f t="shared" si="41"/>
        <v>0</v>
      </c>
      <c r="P871" s="11"/>
      <c r="Q871" s="30"/>
    </row>
    <row r="872" spans="2:17">
      <c r="B872" s="30"/>
      <c r="C872" s="11"/>
      <c r="D872" s="11"/>
      <c r="E872" t="str">
        <f>IFERROR(VLOOKUP(D872,Customers!$A:$B,2,FALSE),"")</f>
        <v/>
      </c>
      <c r="F872" s="11"/>
      <c r="G872" t="str">
        <f>IFERROR(VLOOKUP(F872,'Products Index'!$A:$B,2,FALSE),"")</f>
        <v/>
      </c>
      <c r="H872" s="11"/>
      <c r="I872" s="12"/>
      <c r="J872" s="15"/>
      <c r="K872" s="16">
        <f t="shared" si="39"/>
        <v>0</v>
      </c>
      <c r="L872" s="16">
        <f t="shared" si="40"/>
        <v>0</v>
      </c>
      <c r="M872" s="16">
        <f>IFERROR(AVERAGEIF('Production Batches'!$C:$C,F872,'Production Batches'!$L:$L),0)</f>
        <v>0</v>
      </c>
      <c r="N872" s="16">
        <f t="shared" si="41"/>
        <v>0</v>
      </c>
      <c r="P872" s="11"/>
      <c r="Q872" s="30"/>
    </row>
    <row r="873" spans="2:17">
      <c r="B873" s="30"/>
      <c r="C873" s="11"/>
      <c r="D873" s="11"/>
      <c r="E873" t="str">
        <f>IFERROR(VLOOKUP(D873,Customers!$A:$B,2,FALSE),"")</f>
        <v/>
      </c>
      <c r="F873" s="11"/>
      <c r="G873" t="str">
        <f>IFERROR(VLOOKUP(F873,'Products Index'!$A:$B,2,FALSE),"")</f>
        <v/>
      </c>
      <c r="H873" s="11"/>
      <c r="I873" s="12"/>
      <c r="J873" s="15"/>
      <c r="K873" s="16">
        <f t="shared" si="39"/>
        <v>0</v>
      </c>
      <c r="L873" s="16">
        <f t="shared" si="40"/>
        <v>0</v>
      </c>
      <c r="M873" s="16">
        <f>IFERROR(AVERAGEIF('Production Batches'!$C:$C,F873,'Production Batches'!$L:$L),0)</f>
        <v>0</v>
      </c>
      <c r="N873" s="16">
        <f t="shared" si="41"/>
        <v>0</v>
      </c>
      <c r="P873" s="11"/>
      <c r="Q873" s="30"/>
    </row>
    <row r="874" spans="2:17">
      <c r="B874" s="30"/>
      <c r="C874" s="11"/>
      <c r="D874" s="11"/>
      <c r="E874" t="str">
        <f>IFERROR(VLOOKUP(D874,Customers!$A:$B,2,FALSE),"")</f>
        <v/>
      </c>
      <c r="F874" s="11"/>
      <c r="G874" t="str">
        <f>IFERROR(VLOOKUP(F874,'Products Index'!$A:$B,2,FALSE),"")</f>
        <v/>
      </c>
      <c r="H874" s="11"/>
      <c r="I874" s="12"/>
      <c r="J874" s="15"/>
      <c r="K874" s="16">
        <f t="shared" si="39"/>
        <v>0</v>
      </c>
      <c r="L874" s="16">
        <f t="shared" si="40"/>
        <v>0</v>
      </c>
      <c r="M874" s="16">
        <f>IFERROR(AVERAGEIF('Production Batches'!$C:$C,F874,'Production Batches'!$L:$L),0)</f>
        <v>0</v>
      </c>
      <c r="N874" s="16">
        <f t="shared" si="41"/>
        <v>0</v>
      </c>
      <c r="P874" s="11"/>
      <c r="Q874" s="30"/>
    </row>
    <row r="875" spans="2:17">
      <c r="B875" s="30"/>
      <c r="C875" s="11"/>
      <c r="D875" s="11"/>
      <c r="E875" t="str">
        <f>IFERROR(VLOOKUP(D875,Customers!$A:$B,2,FALSE),"")</f>
        <v/>
      </c>
      <c r="F875" s="11"/>
      <c r="G875" t="str">
        <f>IFERROR(VLOOKUP(F875,'Products Index'!$A:$B,2,FALSE),"")</f>
        <v/>
      </c>
      <c r="H875" s="11"/>
      <c r="I875" s="12"/>
      <c r="J875" s="15"/>
      <c r="K875" s="16">
        <f t="shared" si="39"/>
        <v>0</v>
      </c>
      <c r="L875" s="16">
        <f t="shared" si="40"/>
        <v>0</v>
      </c>
      <c r="M875" s="16">
        <f>IFERROR(AVERAGEIF('Production Batches'!$C:$C,F875,'Production Batches'!$L:$L),0)</f>
        <v>0</v>
      </c>
      <c r="N875" s="16">
        <f t="shared" si="41"/>
        <v>0</v>
      </c>
      <c r="P875" s="11"/>
      <c r="Q875" s="30"/>
    </row>
    <row r="876" spans="2:17">
      <c r="B876" s="30"/>
      <c r="C876" s="11"/>
      <c r="D876" s="11"/>
      <c r="E876" t="str">
        <f>IFERROR(VLOOKUP(D876,Customers!$A:$B,2,FALSE),"")</f>
        <v/>
      </c>
      <c r="F876" s="11"/>
      <c r="G876" t="str">
        <f>IFERROR(VLOOKUP(F876,'Products Index'!$A:$B,2,FALSE),"")</f>
        <v/>
      </c>
      <c r="H876" s="11"/>
      <c r="I876" s="12"/>
      <c r="J876" s="15"/>
      <c r="K876" s="16">
        <f t="shared" si="39"/>
        <v>0</v>
      </c>
      <c r="L876" s="16">
        <f t="shared" si="40"/>
        <v>0</v>
      </c>
      <c r="M876" s="16">
        <f>IFERROR(AVERAGEIF('Production Batches'!$C:$C,F876,'Production Batches'!$L:$L),0)</f>
        <v>0</v>
      </c>
      <c r="N876" s="16">
        <f t="shared" si="41"/>
        <v>0</v>
      </c>
      <c r="P876" s="11"/>
      <c r="Q876" s="30"/>
    </row>
    <row r="877" spans="2:17">
      <c r="B877" s="30"/>
      <c r="C877" s="11"/>
      <c r="D877" s="11"/>
      <c r="E877" t="str">
        <f>IFERROR(VLOOKUP(D877,Customers!$A:$B,2,FALSE),"")</f>
        <v/>
      </c>
      <c r="F877" s="11"/>
      <c r="G877" t="str">
        <f>IFERROR(VLOOKUP(F877,'Products Index'!$A:$B,2,FALSE),"")</f>
        <v/>
      </c>
      <c r="H877" s="11"/>
      <c r="I877" s="12"/>
      <c r="J877" s="15"/>
      <c r="K877" s="16">
        <f t="shared" si="39"/>
        <v>0</v>
      </c>
      <c r="L877" s="16">
        <f t="shared" si="40"/>
        <v>0</v>
      </c>
      <c r="M877" s="16">
        <f>IFERROR(AVERAGEIF('Production Batches'!$C:$C,F877,'Production Batches'!$L:$L),0)</f>
        <v>0</v>
      </c>
      <c r="N877" s="16">
        <f t="shared" si="41"/>
        <v>0</v>
      </c>
      <c r="P877" s="11"/>
      <c r="Q877" s="30"/>
    </row>
    <row r="878" spans="2:17">
      <c r="B878" s="30"/>
      <c r="C878" s="11"/>
      <c r="D878" s="11"/>
      <c r="E878" t="str">
        <f>IFERROR(VLOOKUP(D878,Customers!$A:$B,2,FALSE),"")</f>
        <v/>
      </c>
      <c r="F878" s="11"/>
      <c r="G878" t="str">
        <f>IFERROR(VLOOKUP(F878,'Products Index'!$A:$B,2,FALSE),"")</f>
        <v/>
      </c>
      <c r="H878" s="11"/>
      <c r="I878" s="12"/>
      <c r="J878" s="15"/>
      <c r="K878" s="16">
        <f t="shared" si="39"/>
        <v>0</v>
      </c>
      <c r="L878" s="16">
        <f t="shared" si="40"/>
        <v>0</v>
      </c>
      <c r="M878" s="16">
        <f>IFERROR(AVERAGEIF('Production Batches'!$C:$C,F878,'Production Batches'!$L:$L),0)</f>
        <v>0</v>
      </c>
      <c r="N878" s="16">
        <f t="shared" si="41"/>
        <v>0</v>
      </c>
      <c r="P878" s="11"/>
      <c r="Q878" s="30"/>
    </row>
    <row r="879" spans="2:17">
      <c r="B879" s="30"/>
      <c r="C879" s="11"/>
      <c r="D879" s="11"/>
      <c r="E879" t="str">
        <f>IFERROR(VLOOKUP(D879,Customers!$A:$B,2,FALSE),"")</f>
        <v/>
      </c>
      <c r="F879" s="11"/>
      <c r="G879" t="str">
        <f>IFERROR(VLOOKUP(F879,'Products Index'!$A:$B,2,FALSE),"")</f>
        <v/>
      </c>
      <c r="H879" s="11"/>
      <c r="I879" s="12"/>
      <c r="J879" s="15"/>
      <c r="K879" s="16">
        <f t="shared" si="39"/>
        <v>0</v>
      </c>
      <c r="L879" s="16">
        <f t="shared" si="40"/>
        <v>0</v>
      </c>
      <c r="M879" s="16">
        <f>IFERROR(AVERAGEIF('Production Batches'!$C:$C,F879,'Production Batches'!$L:$L),0)</f>
        <v>0</v>
      </c>
      <c r="N879" s="16">
        <f t="shared" si="41"/>
        <v>0</v>
      </c>
      <c r="P879" s="11"/>
      <c r="Q879" s="30"/>
    </row>
    <row r="880" spans="2:17">
      <c r="B880" s="30"/>
      <c r="C880" s="11"/>
      <c r="D880" s="11"/>
      <c r="E880" t="str">
        <f>IFERROR(VLOOKUP(D880,Customers!$A:$B,2,FALSE),"")</f>
        <v/>
      </c>
      <c r="F880" s="11"/>
      <c r="G880" t="str">
        <f>IFERROR(VLOOKUP(F880,'Products Index'!$A:$B,2,FALSE),"")</f>
        <v/>
      </c>
      <c r="H880" s="11"/>
      <c r="I880" s="12"/>
      <c r="J880" s="15"/>
      <c r="K880" s="16">
        <f t="shared" si="39"/>
        <v>0</v>
      </c>
      <c r="L880" s="16">
        <f t="shared" si="40"/>
        <v>0</v>
      </c>
      <c r="M880" s="16">
        <f>IFERROR(AVERAGEIF('Production Batches'!$C:$C,F880,'Production Batches'!$L:$L),0)</f>
        <v>0</v>
      </c>
      <c r="N880" s="16">
        <f t="shared" si="41"/>
        <v>0</v>
      </c>
      <c r="P880" s="11"/>
      <c r="Q880" s="30"/>
    </row>
    <row r="881" spans="2:17">
      <c r="B881" s="30"/>
      <c r="C881" s="11"/>
      <c r="D881" s="11"/>
      <c r="E881" t="str">
        <f>IFERROR(VLOOKUP(D881,Customers!$A:$B,2,FALSE),"")</f>
        <v/>
      </c>
      <c r="F881" s="11"/>
      <c r="G881" t="str">
        <f>IFERROR(VLOOKUP(F881,'Products Index'!$A:$B,2,FALSE),"")</f>
        <v/>
      </c>
      <c r="H881" s="11"/>
      <c r="I881" s="12"/>
      <c r="J881" s="15"/>
      <c r="K881" s="16">
        <f t="shared" si="39"/>
        <v>0</v>
      </c>
      <c r="L881" s="16">
        <f t="shared" si="40"/>
        <v>0</v>
      </c>
      <c r="M881" s="16">
        <f>IFERROR(AVERAGEIF('Production Batches'!$C:$C,F881,'Production Batches'!$L:$L),0)</f>
        <v>0</v>
      </c>
      <c r="N881" s="16">
        <f t="shared" si="41"/>
        <v>0</v>
      </c>
      <c r="P881" s="11"/>
      <c r="Q881" s="30"/>
    </row>
    <row r="882" spans="2:17">
      <c r="B882" s="30"/>
      <c r="C882" s="11"/>
      <c r="D882" s="11"/>
      <c r="E882" t="str">
        <f>IFERROR(VLOOKUP(D882,Customers!$A:$B,2,FALSE),"")</f>
        <v/>
      </c>
      <c r="F882" s="11"/>
      <c r="G882" t="str">
        <f>IFERROR(VLOOKUP(F882,'Products Index'!$A:$B,2,FALSE),"")</f>
        <v/>
      </c>
      <c r="H882" s="11"/>
      <c r="I882" s="12"/>
      <c r="J882" s="15"/>
      <c r="K882" s="16">
        <f t="shared" si="39"/>
        <v>0</v>
      </c>
      <c r="L882" s="16">
        <f t="shared" si="40"/>
        <v>0</v>
      </c>
      <c r="M882" s="16">
        <f>IFERROR(AVERAGEIF('Production Batches'!$C:$C,F882,'Production Batches'!$L:$L),0)</f>
        <v>0</v>
      </c>
      <c r="N882" s="16">
        <f t="shared" si="41"/>
        <v>0</v>
      </c>
      <c r="P882" s="11"/>
      <c r="Q882" s="30"/>
    </row>
    <row r="883" spans="2:17">
      <c r="B883" s="30"/>
      <c r="C883" s="11"/>
      <c r="D883" s="11"/>
      <c r="E883" t="str">
        <f>IFERROR(VLOOKUP(D883,Customers!$A:$B,2,FALSE),"")</f>
        <v/>
      </c>
      <c r="F883" s="11"/>
      <c r="G883" t="str">
        <f>IFERROR(VLOOKUP(F883,'Products Index'!$A:$B,2,FALSE),"")</f>
        <v/>
      </c>
      <c r="H883" s="11"/>
      <c r="I883" s="12"/>
      <c r="J883" s="15"/>
      <c r="K883" s="16">
        <f t="shared" si="39"/>
        <v>0</v>
      </c>
      <c r="L883" s="16">
        <f t="shared" si="40"/>
        <v>0</v>
      </c>
      <c r="M883" s="16">
        <f>IFERROR(AVERAGEIF('Production Batches'!$C:$C,F883,'Production Batches'!$L:$L),0)</f>
        <v>0</v>
      </c>
      <c r="N883" s="16">
        <f t="shared" si="41"/>
        <v>0</v>
      </c>
      <c r="P883" s="11"/>
      <c r="Q883" s="30"/>
    </row>
    <row r="884" spans="2:17">
      <c r="B884" s="30"/>
      <c r="C884" s="11"/>
      <c r="D884" s="11"/>
      <c r="E884" t="str">
        <f>IFERROR(VLOOKUP(D884,Customers!$A:$B,2,FALSE),"")</f>
        <v/>
      </c>
      <c r="F884" s="11"/>
      <c r="G884" t="str">
        <f>IFERROR(VLOOKUP(F884,'Products Index'!$A:$B,2,FALSE),"")</f>
        <v/>
      </c>
      <c r="H884" s="11"/>
      <c r="I884" s="12"/>
      <c r="J884" s="15"/>
      <c r="K884" s="16">
        <f t="shared" si="39"/>
        <v>0</v>
      </c>
      <c r="L884" s="16">
        <f t="shared" si="40"/>
        <v>0</v>
      </c>
      <c r="M884" s="16">
        <f>IFERROR(AVERAGEIF('Production Batches'!$C:$C,F884,'Production Batches'!$L:$L),0)</f>
        <v>0</v>
      </c>
      <c r="N884" s="16">
        <f t="shared" si="41"/>
        <v>0</v>
      </c>
      <c r="P884" s="11"/>
      <c r="Q884" s="30"/>
    </row>
    <row r="885" spans="2:17">
      <c r="B885" s="30"/>
      <c r="C885" s="11"/>
      <c r="D885" s="11"/>
      <c r="E885" t="str">
        <f>IFERROR(VLOOKUP(D885,Customers!$A:$B,2,FALSE),"")</f>
        <v/>
      </c>
      <c r="F885" s="11"/>
      <c r="G885" t="str">
        <f>IFERROR(VLOOKUP(F885,'Products Index'!$A:$B,2,FALSE),"")</f>
        <v/>
      </c>
      <c r="H885" s="11"/>
      <c r="I885" s="12"/>
      <c r="J885" s="15"/>
      <c r="K885" s="16">
        <f t="shared" si="39"/>
        <v>0</v>
      </c>
      <c r="L885" s="16">
        <f t="shared" si="40"/>
        <v>0</v>
      </c>
      <c r="M885" s="16">
        <f>IFERROR(AVERAGEIF('Production Batches'!$C:$C,F885,'Production Batches'!$L:$L),0)</f>
        <v>0</v>
      </c>
      <c r="N885" s="16">
        <f t="shared" si="41"/>
        <v>0</v>
      </c>
      <c r="P885" s="11"/>
      <c r="Q885" s="30"/>
    </row>
    <row r="886" spans="2:17">
      <c r="B886" s="30"/>
      <c r="C886" s="11"/>
      <c r="D886" s="11"/>
      <c r="E886" t="str">
        <f>IFERROR(VLOOKUP(D886,Customers!$A:$B,2,FALSE),"")</f>
        <v/>
      </c>
      <c r="F886" s="11"/>
      <c r="G886" t="str">
        <f>IFERROR(VLOOKUP(F886,'Products Index'!$A:$B,2,FALSE),"")</f>
        <v/>
      </c>
      <c r="H886" s="11"/>
      <c r="I886" s="12"/>
      <c r="J886" s="15"/>
      <c r="K886" s="16">
        <f t="shared" si="39"/>
        <v>0</v>
      </c>
      <c r="L886" s="16">
        <f t="shared" si="40"/>
        <v>0</v>
      </c>
      <c r="M886" s="16">
        <f>IFERROR(AVERAGEIF('Production Batches'!$C:$C,F886,'Production Batches'!$L:$L),0)</f>
        <v>0</v>
      </c>
      <c r="N886" s="16">
        <f t="shared" si="41"/>
        <v>0</v>
      </c>
      <c r="P886" s="11"/>
      <c r="Q886" s="30"/>
    </row>
    <row r="887" spans="2:17">
      <c r="B887" s="30"/>
      <c r="C887" s="11"/>
      <c r="D887" s="11"/>
      <c r="E887" t="str">
        <f>IFERROR(VLOOKUP(D887,Customers!$A:$B,2,FALSE),"")</f>
        <v/>
      </c>
      <c r="F887" s="11"/>
      <c r="G887" t="str">
        <f>IFERROR(VLOOKUP(F887,'Products Index'!$A:$B,2,FALSE),"")</f>
        <v/>
      </c>
      <c r="H887" s="11"/>
      <c r="I887" s="12"/>
      <c r="J887" s="15"/>
      <c r="K887" s="16">
        <f t="shared" si="39"/>
        <v>0</v>
      </c>
      <c r="L887" s="16">
        <f t="shared" si="40"/>
        <v>0</v>
      </c>
      <c r="M887" s="16">
        <f>IFERROR(AVERAGEIF('Production Batches'!$C:$C,F887,'Production Batches'!$L:$L),0)</f>
        <v>0</v>
      </c>
      <c r="N887" s="16">
        <f t="shared" si="41"/>
        <v>0</v>
      </c>
      <c r="P887" s="11"/>
      <c r="Q887" s="30"/>
    </row>
    <row r="888" spans="2:17">
      <c r="B888" s="30"/>
      <c r="C888" s="11"/>
      <c r="D888" s="11"/>
      <c r="E888" t="str">
        <f>IFERROR(VLOOKUP(D888,Customers!$A:$B,2,FALSE),"")</f>
        <v/>
      </c>
      <c r="F888" s="11"/>
      <c r="G888" t="str">
        <f>IFERROR(VLOOKUP(F888,'Products Index'!$A:$B,2,FALSE),"")</f>
        <v/>
      </c>
      <c r="H888" s="11"/>
      <c r="I888" s="12"/>
      <c r="J888" s="15"/>
      <c r="K888" s="16">
        <f t="shared" si="39"/>
        <v>0</v>
      </c>
      <c r="L888" s="16">
        <f t="shared" si="40"/>
        <v>0</v>
      </c>
      <c r="M888" s="16">
        <f>IFERROR(AVERAGEIF('Production Batches'!$C:$C,F888,'Production Batches'!$L:$L),0)</f>
        <v>0</v>
      </c>
      <c r="N888" s="16">
        <f t="shared" si="41"/>
        <v>0</v>
      </c>
      <c r="P888" s="11"/>
      <c r="Q888" s="30"/>
    </row>
    <row r="889" spans="2:17">
      <c r="B889" s="30"/>
      <c r="C889" s="11"/>
      <c r="D889" s="11"/>
      <c r="E889" t="str">
        <f>IFERROR(VLOOKUP(D889,Customers!$A:$B,2,FALSE),"")</f>
        <v/>
      </c>
      <c r="F889" s="11"/>
      <c r="G889" t="str">
        <f>IFERROR(VLOOKUP(F889,'Products Index'!$A:$B,2,FALSE),"")</f>
        <v/>
      </c>
      <c r="H889" s="11"/>
      <c r="I889" s="12"/>
      <c r="J889" s="15"/>
      <c r="K889" s="16">
        <f t="shared" si="39"/>
        <v>0</v>
      </c>
      <c r="L889" s="16">
        <f t="shared" si="40"/>
        <v>0</v>
      </c>
      <c r="M889" s="16">
        <f>IFERROR(AVERAGEIF('Production Batches'!$C:$C,F889,'Production Batches'!$L:$L),0)</f>
        <v>0</v>
      </c>
      <c r="N889" s="16">
        <f t="shared" si="41"/>
        <v>0</v>
      </c>
      <c r="P889" s="11"/>
      <c r="Q889" s="30"/>
    </row>
    <row r="890" spans="2:17">
      <c r="B890" s="30"/>
      <c r="C890" s="11"/>
      <c r="D890" s="11"/>
      <c r="E890" t="str">
        <f>IFERROR(VLOOKUP(D890,Customers!$A:$B,2,FALSE),"")</f>
        <v/>
      </c>
      <c r="F890" s="11"/>
      <c r="G890" t="str">
        <f>IFERROR(VLOOKUP(F890,'Products Index'!$A:$B,2,FALSE),"")</f>
        <v/>
      </c>
      <c r="H890" s="11"/>
      <c r="I890" s="12"/>
      <c r="J890" s="15"/>
      <c r="K890" s="16">
        <f t="shared" si="39"/>
        <v>0</v>
      </c>
      <c r="L890" s="16">
        <f t="shared" si="40"/>
        <v>0</v>
      </c>
      <c r="M890" s="16">
        <f>IFERROR(AVERAGEIF('Production Batches'!$C:$C,F890,'Production Batches'!$L:$L),0)</f>
        <v>0</v>
      </c>
      <c r="N890" s="16">
        <f t="shared" si="41"/>
        <v>0</v>
      </c>
      <c r="P890" s="11"/>
      <c r="Q890" s="30"/>
    </row>
    <row r="891" spans="2:17">
      <c r="B891" s="30"/>
      <c r="C891" s="11"/>
      <c r="D891" s="11"/>
      <c r="E891" t="str">
        <f>IFERROR(VLOOKUP(D891,Customers!$A:$B,2,FALSE),"")</f>
        <v/>
      </c>
      <c r="F891" s="11"/>
      <c r="G891" t="str">
        <f>IFERROR(VLOOKUP(F891,'Products Index'!$A:$B,2,FALSE),"")</f>
        <v/>
      </c>
      <c r="H891" s="11"/>
      <c r="I891" s="12"/>
      <c r="J891" s="15"/>
      <c r="K891" s="16">
        <f t="shared" si="39"/>
        <v>0</v>
      </c>
      <c r="L891" s="16">
        <f t="shared" si="40"/>
        <v>0</v>
      </c>
      <c r="M891" s="16">
        <f>IFERROR(AVERAGEIF('Production Batches'!$C:$C,F891,'Production Batches'!$L:$L),0)</f>
        <v>0</v>
      </c>
      <c r="N891" s="16">
        <f t="shared" si="41"/>
        <v>0</v>
      </c>
      <c r="P891" s="11"/>
      <c r="Q891" s="30"/>
    </row>
    <row r="892" spans="2:17">
      <c r="B892" s="30"/>
      <c r="C892" s="11"/>
      <c r="D892" s="11"/>
      <c r="E892" t="str">
        <f>IFERROR(VLOOKUP(D892,Customers!$A:$B,2,FALSE),"")</f>
        <v/>
      </c>
      <c r="F892" s="11"/>
      <c r="G892" t="str">
        <f>IFERROR(VLOOKUP(F892,'Products Index'!$A:$B,2,FALSE),"")</f>
        <v/>
      </c>
      <c r="H892" s="11"/>
      <c r="I892" s="12"/>
      <c r="J892" s="15"/>
      <c r="K892" s="16">
        <f t="shared" si="39"/>
        <v>0</v>
      </c>
      <c r="L892" s="16">
        <f t="shared" si="40"/>
        <v>0</v>
      </c>
      <c r="M892" s="16">
        <f>IFERROR(AVERAGEIF('Production Batches'!$C:$C,F892,'Production Batches'!$L:$L),0)</f>
        <v>0</v>
      </c>
      <c r="N892" s="16">
        <f t="shared" si="41"/>
        <v>0</v>
      </c>
      <c r="P892" s="11"/>
      <c r="Q892" s="30"/>
    </row>
    <row r="893" spans="2:17">
      <c r="B893" s="30"/>
      <c r="C893" s="11"/>
      <c r="D893" s="11"/>
      <c r="E893" t="str">
        <f>IFERROR(VLOOKUP(D893,Customers!$A:$B,2,FALSE),"")</f>
        <v/>
      </c>
      <c r="F893" s="11"/>
      <c r="G893" t="str">
        <f>IFERROR(VLOOKUP(F893,'Products Index'!$A:$B,2,FALSE),"")</f>
        <v/>
      </c>
      <c r="H893" s="11"/>
      <c r="I893" s="12"/>
      <c r="J893" s="15"/>
      <c r="K893" s="16">
        <f t="shared" si="39"/>
        <v>0</v>
      </c>
      <c r="L893" s="16">
        <f t="shared" si="40"/>
        <v>0</v>
      </c>
      <c r="M893" s="16">
        <f>IFERROR(AVERAGEIF('Production Batches'!$C:$C,F893,'Production Batches'!$L:$L),0)</f>
        <v>0</v>
      </c>
      <c r="N893" s="16">
        <f t="shared" si="41"/>
        <v>0</v>
      </c>
      <c r="P893" s="11"/>
      <c r="Q893" s="30"/>
    </row>
    <row r="894" spans="2:17">
      <c r="B894" s="30"/>
      <c r="C894" s="11"/>
      <c r="D894" s="11"/>
      <c r="E894" t="str">
        <f>IFERROR(VLOOKUP(D894,Customers!$A:$B,2,FALSE),"")</f>
        <v/>
      </c>
      <c r="F894" s="11"/>
      <c r="G894" t="str">
        <f>IFERROR(VLOOKUP(F894,'Products Index'!$A:$B,2,FALSE),"")</f>
        <v/>
      </c>
      <c r="H894" s="11"/>
      <c r="I894" s="12"/>
      <c r="J894" s="15"/>
      <c r="K894" s="16">
        <f t="shared" si="39"/>
        <v>0</v>
      </c>
      <c r="L894" s="16">
        <f t="shared" si="40"/>
        <v>0</v>
      </c>
      <c r="M894" s="16">
        <f>IFERROR(AVERAGEIF('Production Batches'!$C:$C,F894,'Production Batches'!$L:$L),0)</f>
        <v>0</v>
      </c>
      <c r="N894" s="16">
        <f t="shared" si="41"/>
        <v>0</v>
      </c>
      <c r="P894" s="11"/>
      <c r="Q894" s="30"/>
    </row>
    <row r="895" spans="2:17">
      <c r="B895" s="30"/>
      <c r="C895" s="11"/>
      <c r="D895" s="11"/>
      <c r="E895" t="str">
        <f>IFERROR(VLOOKUP(D895,Customers!$A:$B,2,FALSE),"")</f>
        <v/>
      </c>
      <c r="F895" s="11"/>
      <c r="G895" t="str">
        <f>IFERROR(VLOOKUP(F895,'Products Index'!$A:$B,2,FALSE),"")</f>
        <v/>
      </c>
      <c r="H895" s="11"/>
      <c r="I895" s="12"/>
      <c r="J895" s="15"/>
      <c r="K895" s="16">
        <f t="shared" si="39"/>
        <v>0</v>
      </c>
      <c r="L895" s="16">
        <f t="shared" si="40"/>
        <v>0</v>
      </c>
      <c r="M895" s="16">
        <f>IFERROR(AVERAGEIF('Production Batches'!$C:$C,F895,'Production Batches'!$L:$L),0)</f>
        <v>0</v>
      </c>
      <c r="N895" s="16">
        <f t="shared" si="41"/>
        <v>0</v>
      </c>
      <c r="P895" s="11"/>
      <c r="Q895" s="30"/>
    </row>
    <row r="896" spans="2:17">
      <c r="B896" s="30"/>
      <c r="C896" s="11"/>
      <c r="D896" s="11"/>
      <c r="E896" t="str">
        <f>IFERROR(VLOOKUP(D896,Customers!$A:$B,2,FALSE),"")</f>
        <v/>
      </c>
      <c r="F896" s="11"/>
      <c r="G896" t="str">
        <f>IFERROR(VLOOKUP(F896,'Products Index'!$A:$B,2,FALSE),"")</f>
        <v/>
      </c>
      <c r="H896" s="11"/>
      <c r="I896" s="12"/>
      <c r="J896" s="15"/>
      <c r="K896" s="16">
        <f t="shared" si="39"/>
        <v>0</v>
      </c>
      <c r="L896" s="16">
        <f t="shared" si="40"/>
        <v>0</v>
      </c>
      <c r="M896" s="16">
        <f>IFERROR(AVERAGEIF('Production Batches'!$C:$C,F896,'Production Batches'!$L:$L),0)</f>
        <v>0</v>
      </c>
      <c r="N896" s="16">
        <f t="shared" si="41"/>
        <v>0</v>
      </c>
      <c r="P896" s="11"/>
      <c r="Q896" s="30"/>
    </row>
    <row r="897" spans="2:17">
      <c r="B897" s="30"/>
      <c r="C897" s="11"/>
      <c r="D897" s="11"/>
      <c r="E897" t="str">
        <f>IFERROR(VLOOKUP(D897,Customers!$A:$B,2,FALSE),"")</f>
        <v/>
      </c>
      <c r="F897" s="11"/>
      <c r="G897" t="str">
        <f>IFERROR(VLOOKUP(F897,'Products Index'!$A:$B,2,FALSE),"")</f>
        <v/>
      </c>
      <c r="H897" s="11"/>
      <c r="I897" s="12"/>
      <c r="J897" s="15"/>
      <c r="K897" s="16">
        <f t="shared" si="39"/>
        <v>0</v>
      </c>
      <c r="L897" s="16">
        <f t="shared" si="40"/>
        <v>0</v>
      </c>
      <c r="M897" s="16">
        <f>IFERROR(AVERAGEIF('Production Batches'!$C:$C,F897,'Production Batches'!$L:$L),0)</f>
        <v>0</v>
      </c>
      <c r="N897" s="16">
        <f t="shared" si="41"/>
        <v>0</v>
      </c>
      <c r="P897" s="11"/>
      <c r="Q897" s="30"/>
    </row>
    <row r="898" spans="2:17">
      <c r="B898" s="30"/>
      <c r="C898" s="11"/>
      <c r="D898" s="11"/>
      <c r="E898" t="str">
        <f>IFERROR(VLOOKUP(D898,Customers!$A:$B,2,FALSE),"")</f>
        <v/>
      </c>
      <c r="F898" s="11"/>
      <c r="G898" t="str">
        <f>IFERROR(VLOOKUP(F898,'Products Index'!$A:$B,2,FALSE),"")</f>
        <v/>
      </c>
      <c r="H898" s="11"/>
      <c r="I898" s="12"/>
      <c r="J898" s="15"/>
      <c r="K898" s="16">
        <f t="shared" ref="K898:K961" si="42">IFERROR(I898*(1-J898),0)</f>
        <v>0</v>
      </c>
      <c r="L898" s="16">
        <f t="shared" ref="L898:L961" si="43">IFERROR(K898*H898,0)</f>
        <v>0</v>
      </c>
      <c r="M898" s="16">
        <f>IFERROR(AVERAGEIF('Production Batches'!$C:$C,F898,'Production Batches'!$L:$L),0)</f>
        <v>0</v>
      </c>
      <c r="N898" s="16">
        <f t="shared" ref="N898:N961" si="44">IFERROR(L898-(M898*H898),0)</f>
        <v>0</v>
      </c>
      <c r="P898" s="11"/>
      <c r="Q898" s="30"/>
    </row>
    <row r="899" spans="2:17">
      <c r="B899" s="30"/>
      <c r="C899" s="11"/>
      <c r="D899" s="11"/>
      <c r="E899" t="str">
        <f>IFERROR(VLOOKUP(D899,Customers!$A:$B,2,FALSE),"")</f>
        <v/>
      </c>
      <c r="F899" s="11"/>
      <c r="G899" t="str">
        <f>IFERROR(VLOOKUP(F899,'Products Index'!$A:$B,2,FALSE),"")</f>
        <v/>
      </c>
      <c r="H899" s="11"/>
      <c r="I899" s="12"/>
      <c r="J899" s="15"/>
      <c r="K899" s="16">
        <f t="shared" si="42"/>
        <v>0</v>
      </c>
      <c r="L899" s="16">
        <f t="shared" si="43"/>
        <v>0</v>
      </c>
      <c r="M899" s="16">
        <f>IFERROR(AVERAGEIF('Production Batches'!$C:$C,F899,'Production Batches'!$L:$L),0)</f>
        <v>0</v>
      </c>
      <c r="N899" s="16">
        <f t="shared" si="44"/>
        <v>0</v>
      </c>
      <c r="P899" s="11"/>
      <c r="Q899" s="30"/>
    </row>
    <row r="900" spans="2:17">
      <c r="B900" s="30"/>
      <c r="C900" s="11"/>
      <c r="D900" s="11"/>
      <c r="E900" t="str">
        <f>IFERROR(VLOOKUP(D900,Customers!$A:$B,2,FALSE),"")</f>
        <v/>
      </c>
      <c r="F900" s="11"/>
      <c r="G900" t="str">
        <f>IFERROR(VLOOKUP(F900,'Products Index'!$A:$B,2,FALSE),"")</f>
        <v/>
      </c>
      <c r="H900" s="11"/>
      <c r="I900" s="12"/>
      <c r="J900" s="15"/>
      <c r="K900" s="16">
        <f t="shared" si="42"/>
        <v>0</v>
      </c>
      <c r="L900" s="16">
        <f t="shared" si="43"/>
        <v>0</v>
      </c>
      <c r="M900" s="16">
        <f>IFERROR(AVERAGEIF('Production Batches'!$C:$C,F900,'Production Batches'!$L:$L),0)</f>
        <v>0</v>
      </c>
      <c r="N900" s="16">
        <f t="shared" si="44"/>
        <v>0</v>
      </c>
      <c r="P900" s="11"/>
      <c r="Q900" s="30"/>
    </row>
    <row r="901" spans="2:17">
      <c r="B901" s="30"/>
      <c r="C901" s="11"/>
      <c r="D901" s="11"/>
      <c r="E901" t="str">
        <f>IFERROR(VLOOKUP(D901,Customers!$A:$B,2,FALSE),"")</f>
        <v/>
      </c>
      <c r="F901" s="11"/>
      <c r="G901" t="str">
        <f>IFERROR(VLOOKUP(F901,'Products Index'!$A:$B,2,FALSE),"")</f>
        <v/>
      </c>
      <c r="H901" s="11"/>
      <c r="I901" s="12"/>
      <c r="J901" s="15"/>
      <c r="K901" s="16">
        <f t="shared" si="42"/>
        <v>0</v>
      </c>
      <c r="L901" s="16">
        <f t="shared" si="43"/>
        <v>0</v>
      </c>
      <c r="M901" s="16">
        <f>IFERROR(AVERAGEIF('Production Batches'!$C:$C,F901,'Production Batches'!$L:$L),0)</f>
        <v>0</v>
      </c>
      <c r="N901" s="16">
        <f t="shared" si="44"/>
        <v>0</v>
      </c>
      <c r="P901" s="11"/>
      <c r="Q901" s="30"/>
    </row>
    <row r="902" spans="2:17">
      <c r="B902" s="30"/>
      <c r="C902" s="11"/>
      <c r="D902" s="11"/>
      <c r="E902" t="str">
        <f>IFERROR(VLOOKUP(D902,Customers!$A:$B,2,FALSE),"")</f>
        <v/>
      </c>
      <c r="F902" s="11"/>
      <c r="G902" t="str">
        <f>IFERROR(VLOOKUP(F902,'Products Index'!$A:$B,2,FALSE),"")</f>
        <v/>
      </c>
      <c r="H902" s="11"/>
      <c r="I902" s="12"/>
      <c r="J902" s="15"/>
      <c r="K902" s="16">
        <f t="shared" si="42"/>
        <v>0</v>
      </c>
      <c r="L902" s="16">
        <f t="shared" si="43"/>
        <v>0</v>
      </c>
      <c r="M902" s="16">
        <f>IFERROR(AVERAGEIF('Production Batches'!$C:$C,F902,'Production Batches'!$L:$L),0)</f>
        <v>0</v>
      </c>
      <c r="N902" s="16">
        <f t="shared" si="44"/>
        <v>0</v>
      </c>
      <c r="P902" s="11"/>
      <c r="Q902" s="30"/>
    </row>
    <row r="903" spans="2:17">
      <c r="B903" s="30"/>
      <c r="C903" s="11"/>
      <c r="D903" s="11"/>
      <c r="E903" t="str">
        <f>IFERROR(VLOOKUP(D903,Customers!$A:$B,2,FALSE),"")</f>
        <v/>
      </c>
      <c r="F903" s="11"/>
      <c r="G903" t="str">
        <f>IFERROR(VLOOKUP(F903,'Products Index'!$A:$B,2,FALSE),"")</f>
        <v/>
      </c>
      <c r="H903" s="11"/>
      <c r="I903" s="12"/>
      <c r="J903" s="15"/>
      <c r="K903" s="16">
        <f t="shared" si="42"/>
        <v>0</v>
      </c>
      <c r="L903" s="16">
        <f t="shared" si="43"/>
        <v>0</v>
      </c>
      <c r="M903" s="16">
        <f>IFERROR(AVERAGEIF('Production Batches'!$C:$C,F903,'Production Batches'!$L:$L),0)</f>
        <v>0</v>
      </c>
      <c r="N903" s="16">
        <f t="shared" si="44"/>
        <v>0</v>
      </c>
      <c r="P903" s="11"/>
      <c r="Q903" s="30"/>
    </row>
    <row r="904" spans="2:17">
      <c r="B904" s="30"/>
      <c r="C904" s="11"/>
      <c r="D904" s="11"/>
      <c r="E904" t="str">
        <f>IFERROR(VLOOKUP(D904,Customers!$A:$B,2,FALSE),"")</f>
        <v/>
      </c>
      <c r="F904" s="11"/>
      <c r="G904" t="str">
        <f>IFERROR(VLOOKUP(F904,'Products Index'!$A:$B,2,FALSE),"")</f>
        <v/>
      </c>
      <c r="H904" s="11"/>
      <c r="I904" s="12"/>
      <c r="J904" s="15"/>
      <c r="K904" s="16">
        <f t="shared" si="42"/>
        <v>0</v>
      </c>
      <c r="L904" s="16">
        <f t="shared" si="43"/>
        <v>0</v>
      </c>
      <c r="M904" s="16">
        <f>IFERROR(AVERAGEIF('Production Batches'!$C:$C,F904,'Production Batches'!$L:$L),0)</f>
        <v>0</v>
      </c>
      <c r="N904" s="16">
        <f t="shared" si="44"/>
        <v>0</v>
      </c>
      <c r="P904" s="11"/>
      <c r="Q904" s="30"/>
    </row>
    <row r="905" spans="2:17">
      <c r="B905" s="30"/>
      <c r="C905" s="11"/>
      <c r="D905" s="11"/>
      <c r="E905" t="str">
        <f>IFERROR(VLOOKUP(D905,Customers!$A:$B,2,FALSE),"")</f>
        <v/>
      </c>
      <c r="F905" s="11"/>
      <c r="G905" t="str">
        <f>IFERROR(VLOOKUP(F905,'Products Index'!$A:$B,2,FALSE),"")</f>
        <v/>
      </c>
      <c r="H905" s="11"/>
      <c r="I905" s="12"/>
      <c r="J905" s="15"/>
      <c r="K905" s="16">
        <f t="shared" si="42"/>
        <v>0</v>
      </c>
      <c r="L905" s="16">
        <f t="shared" si="43"/>
        <v>0</v>
      </c>
      <c r="M905" s="16">
        <f>IFERROR(AVERAGEIF('Production Batches'!$C:$C,F905,'Production Batches'!$L:$L),0)</f>
        <v>0</v>
      </c>
      <c r="N905" s="16">
        <f t="shared" si="44"/>
        <v>0</v>
      </c>
      <c r="P905" s="11"/>
      <c r="Q905" s="30"/>
    </row>
    <row r="906" spans="2:17">
      <c r="B906" s="30"/>
      <c r="C906" s="11"/>
      <c r="D906" s="11"/>
      <c r="E906" t="str">
        <f>IFERROR(VLOOKUP(D906,Customers!$A:$B,2,FALSE),"")</f>
        <v/>
      </c>
      <c r="F906" s="11"/>
      <c r="G906" t="str">
        <f>IFERROR(VLOOKUP(F906,'Products Index'!$A:$B,2,FALSE),"")</f>
        <v/>
      </c>
      <c r="H906" s="11"/>
      <c r="I906" s="12"/>
      <c r="J906" s="15"/>
      <c r="K906" s="16">
        <f t="shared" si="42"/>
        <v>0</v>
      </c>
      <c r="L906" s="16">
        <f t="shared" si="43"/>
        <v>0</v>
      </c>
      <c r="M906" s="16">
        <f>IFERROR(AVERAGEIF('Production Batches'!$C:$C,F906,'Production Batches'!$L:$L),0)</f>
        <v>0</v>
      </c>
      <c r="N906" s="16">
        <f t="shared" si="44"/>
        <v>0</v>
      </c>
      <c r="P906" s="11"/>
      <c r="Q906" s="30"/>
    </row>
    <row r="907" spans="2:17">
      <c r="B907" s="30"/>
      <c r="C907" s="11"/>
      <c r="D907" s="11"/>
      <c r="E907" t="str">
        <f>IFERROR(VLOOKUP(D907,Customers!$A:$B,2,FALSE),"")</f>
        <v/>
      </c>
      <c r="F907" s="11"/>
      <c r="G907" t="str">
        <f>IFERROR(VLOOKUP(F907,'Products Index'!$A:$B,2,FALSE),"")</f>
        <v/>
      </c>
      <c r="H907" s="11"/>
      <c r="I907" s="12"/>
      <c r="J907" s="15"/>
      <c r="K907" s="16">
        <f t="shared" si="42"/>
        <v>0</v>
      </c>
      <c r="L907" s="16">
        <f t="shared" si="43"/>
        <v>0</v>
      </c>
      <c r="M907" s="16">
        <f>IFERROR(AVERAGEIF('Production Batches'!$C:$C,F907,'Production Batches'!$L:$L),0)</f>
        <v>0</v>
      </c>
      <c r="N907" s="16">
        <f t="shared" si="44"/>
        <v>0</v>
      </c>
      <c r="P907" s="11"/>
      <c r="Q907" s="30"/>
    </row>
    <row r="908" spans="2:17">
      <c r="B908" s="30"/>
      <c r="C908" s="11"/>
      <c r="D908" s="11"/>
      <c r="E908" t="str">
        <f>IFERROR(VLOOKUP(D908,Customers!$A:$B,2,FALSE),"")</f>
        <v/>
      </c>
      <c r="F908" s="11"/>
      <c r="G908" t="str">
        <f>IFERROR(VLOOKUP(F908,'Products Index'!$A:$B,2,FALSE),"")</f>
        <v/>
      </c>
      <c r="H908" s="11"/>
      <c r="I908" s="12"/>
      <c r="J908" s="15"/>
      <c r="K908" s="16">
        <f t="shared" si="42"/>
        <v>0</v>
      </c>
      <c r="L908" s="16">
        <f t="shared" si="43"/>
        <v>0</v>
      </c>
      <c r="M908" s="16">
        <f>IFERROR(AVERAGEIF('Production Batches'!$C:$C,F908,'Production Batches'!$L:$L),0)</f>
        <v>0</v>
      </c>
      <c r="N908" s="16">
        <f t="shared" si="44"/>
        <v>0</v>
      </c>
      <c r="P908" s="11"/>
      <c r="Q908" s="30"/>
    </row>
    <row r="909" spans="2:17">
      <c r="B909" s="30"/>
      <c r="C909" s="11"/>
      <c r="D909" s="11"/>
      <c r="E909" t="str">
        <f>IFERROR(VLOOKUP(D909,Customers!$A:$B,2,FALSE),"")</f>
        <v/>
      </c>
      <c r="F909" s="11"/>
      <c r="G909" t="str">
        <f>IFERROR(VLOOKUP(F909,'Products Index'!$A:$B,2,FALSE),"")</f>
        <v/>
      </c>
      <c r="H909" s="11"/>
      <c r="I909" s="12"/>
      <c r="J909" s="15"/>
      <c r="K909" s="16">
        <f t="shared" si="42"/>
        <v>0</v>
      </c>
      <c r="L909" s="16">
        <f t="shared" si="43"/>
        <v>0</v>
      </c>
      <c r="M909" s="16">
        <f>IFERROR(AVERAGEIF('Production Batches'!$C:$C,F909,'Production Batches'!$L:$L),0)</f>
        <v>0</v>
      </c>
      <c r="N909" s="16">
        <f t="shared" si="44"/>
        <v>0</v>
      </c>
      <c r="P909" s="11"/>
      <c r="Q909" s="30"/>
    </row>
    <row r="910" spans="2:17">
      <c r="B910" s="30"/>
      <c r="C910" s="11"/>
      <c r="D910" s="11"/>
      <c r="E910" t="str">
        <f>IFERROR(VLOOKUP(D910,Customers!$A:$B,2,FALSE),"")</f>
        <v/>
      </c>
      <c r="F910" s="11"/>
      <c r="G910" t="str">
        <f>IFERROR(VLOOKUP(F910,'Products Index'!$A:$B,2,FALSE),"")</f>
        <v/>
      </c>
      <c r="H910" s="11"/>
      <c r="I910" s="12"/>
      <c r="J910" s="15"/>
      <c r="K910" s="16">
        <f t="shared" si="42"/>
        <v>0</v>
      </c>
      <c r="L910" s="16">
        <f t="shared" si="43"/>
        <v>0</v>
      </c>
      <c r="M910" s="16">
        <f>IFERROR(AVERAGEIF('Production Batches'!$C:$C,F910,'Production Batches'!$L:$L),0)</f>
        <v>0</v>
      </c>
      <c r="N910" s="16">
        <f t="shared" si="44"/>
        <v>0</v>
      </c>
      <c r="P910" s="11"/>
      <c r="Q910" s="30"/>
    </row>
    <row r="911" spans="2:17">
      <c r="B911" s="30"/>
      <c r="C911" s="11"/>
      <c r="D911" s="11"/>
      <c r="E911" t="str">
        <f>IFERROR(VLOOKUP(D911,Customers!$A:$B,2,FALSE),"")</f>
        <v/>
      </c>
      <c r="F911" s="11"/>
      <c r="G911" t="str">
        <f>IFERROR(VLOOKUP(F911,'Products Index'!$A:$B,2,FALSE),"")</f>
        <v/>
      </c>
      <c r="H911" s="11"/>
      <c r="I911" s="12"/>
      <c r="J911" s="15"/>
      <c r="K911" s="16">
        <f t="shared" si="42"/>
        <v>0</v>
      </c>
      <c r="L911" s="16">
        <f t="shared" si="43"/>
        <v>0</v>
      </c>
      <c r="M911" s="16">
        <f>IFERROR(AVERAGEIF('Production Batches'!$C:$C,F911,'Production Batches'!$L:$L),0)</f>
        <v>0</v>
      </c>
      <c r="N911" s="16">
        <f t="shared" si="44"/>
        <v>0</v>
      </c>
      <c r="P911" s="11"/>
      <c r="Q911" s="30"/>
    </row>
    <row r="912" spans="2:17">
      <c r="B912" s="30"/>
      <c r="C912" s="11"/>
      <c r="D912" s="11"/>
      <c r="E912" t="str">
        <f>IFERROR(VLOOKUP(D912,Customers!$A:$B,2,FALSE),"")</f>
        <v/>
      </c>
      <c r="F912" s="11"/>
      <c r="G912" t="str">
        <f>IFERROR(VLOOKUP(F912,'Products Index'!$A:$B,2,FALSE),"")</f>
        <v/>
      </c>
      <c r="H912" s="11"/>
      <c r="I912" s="12"/>
      <c r="J912" s="15"/>
      <c r="K912" s="16">
        <f t="shared" si="42"/>
        <v>0</v>
      </c>
      <c r="L912" s="16">
        <f t="shared" si="43"/>
        <v>0</v>
      </c>
      <c r="M912" s="16">
        <f>IFERROR(AVERAGEIF('Production Batches'!$C:$C,F912,'Production Batches'!$L:$L),0)</f>
        <v>0</v>
      </c>
      <c r="N912" s="16">
        <f t="shared" si="44"/>
        <v>0</v>
      </c>
      <c r="P912" s="11"/>
      <c r="Q912" s="30"/>
    </row>
    <row r="913" spans="2:17">
      <c r="B913" s="30"/>
      <c r="C913" s="11"/>
      <c r="D913" s="11"/>
      <c r="E913" t="str">
        <f>IFERROR(VLOOKUP(D913,Customers!$A:$B,2,FALSE),"")</f>
        <v/>
      </c>
      <c r="F913" s="11"/>
      <c r="G913" t="str">
        <f>IFERROR(VLOOKUP(F913,'Products Index'!$A:$B,2,FALSE),"")</f>
        <v/>
      </c>
      <c r="H913" s="11"/>
      <c r="I913" s="12"/>
      <c r="J913" s="15"/>
      <c r="K913" s="16">
        <f t="shared" si="42"/>
        <v>0</v>
      </c>
      <c r="L913" s="16">
        <f t="shared" si="43"/>
        <v>0</v>
      </c>
      <c r="M913" s="16">
        <f>IFERROR(AVERAGEIF('Production Batches'!$C:$C,F913,'Production Batches'!$L:$L),0)</f>
        <v>0</v>
      </c>
      <c r="N913" s="16">
        <f t="shared" si="44"/>
        <v>0</v>
      </c>
      <c r="P913" s="11"/>
      <c r="Q913" s="30"/>
    </row>
    <row r="914" spans="2:17">
      <c r="B914" s="30"/>
      <c r="C914" s="11"/>
      <c r="D914" s="11"/>
      <c r="E914" t="str">
        <f>IFERROR(VLOOKUP(D914,Customers!$A:$B,2,FALSE),"")</f>
        <v/>
      </c>
      <c r="F914" s="11"/>
      <c r="G914" t="str">
        <f>IFERROR(VLOOKUP(F914,'Products Index'!$A:$B,2,FALSE),"")</f>
        <v/>
      </c>
      <c r="H914" s="11"/>
      <c r="I914" s="12"/>
      <c r="J914" s="15"/>
      <c r="K914" s="16">
        <f t="shared" si="42"/>
        <v>0</v>
      </c>
      <c r="L914" s="16">
        <f t="shared" si="43"/>
        <v>0</v>
      </c>
      <c r="M914" s="16">
        <f>IFERROR(AVERAGEIF('Production Batches'!$C:$C,F914,'Production Batches'!$L:$L),0)</f>
        <v>0</v>
      </c>
      <c r="N914" s="16">
        <f t="shared" si="44"/>
        <v>0</v>
      </c>
      <c r="P914" s="11"/>
      <c r="Q914" s="30"/>
    </row>
    <row r="915" spans="2:17">
      <c r="B915" s="30"/>
      <c r="C915" s="11"/>
      <c r="D915" s="11"/>
      <c r="E915" t="str">
        <f>IFERROR(VLOOKUP(D915,Customers!$A:$B,2,FALSE),"")</f>
        <v/>
      </c>
      <c r="F915" s="11"/>
      <c r="G915" t="str">
        <f>IFERROR(VLOOKUP(F915,'Products Index'!$A:$B,2,FALSE),"")</f>
        <v/>
      </c>
      <c r="H915" s="11"/>
      <c r="I915" s="12"/>
      <c r="J915" s="15"/>
      <c r="K915" s="16">
        <f t="shared" si="42"/>
        <v>0</v>
      </c>
      <c r="L915" s="16">
        <f t="shared" si="43"/>
        <v>0</v>
      </c>
      <c r="M915" s="16">
        <f>IFERROR(AVERAGEIF('Production Batches'!$C:$C,F915,'Production Batches'!$L:$L),0)</f>
        <v>0</v>
      </c>
      <c r="N915" s="16">
        <f t="shared" si="44"/>
        <v>0</v>
      </c>
      <c r="P915" s="11"/>
      <c r="Q915" s="30"/>
    </row>
    <row r="916" spans="2:17">
      <c r="B916" s="30"/>
      <c r="C916" s="11"/>
      <c r="D916" s="11"/>
      <c r="E916" t="str">
        <f>IFERROR(VLOOKUP(D916,Customers!$A:$B,2,FALSE),"")</f>
        <v/>
      </c>
      <c r="F916" s="11"/>
      <c r="G916" t="str">
        <f>IFERROR(VLOOKUP(F916,'Products Index'!$A:$B,2,FALSE),"")</f>
        <v/>
      </c>
      <c r="H916" s="11"/>
      <c r="I916" s="12"/>
      <c r="J916" s="15"/>
      <c r="K916" s="16">
        <f t="shared" si="42"/>
        <v>0</v>
      </c>
      <c r="L916" s="16">
        <f t="shared" si="43"/>
        <v>0</v>
      </c>
      <c r="M916" s="16">
        <f>IFERROR(AVERAGEIF('Production Batches'!$C:$C,F916,'Production Batches'!$L:$L),0)</f>
        <v>0</v>
      </c>
      <c r="N916" s="16">
        <f t="shared" si="44"/>
        <v>0</v>
      </c>
      <c r="P916" s="11"/>
      <c r="Q916" s="30"/>
    </row>
    <row r="917" spans="2:17">
      <c r="B917" s="30"/>
      <c r="C917" s="11"/>
      <c r="D917" s="11"/>
      <c r="E917" t="str">
        <f>IFERROR(VLOOKUP(D917,Customers!$A:$B,2,FALSE),"")</f>
        <v/>
      </c>
      <c r="F917" s="11"/>
      <c r="G917" t="str">
        <f>IFERROR(VLOOKUP(F917,'Products Index'!$A:$B,2,FALSE),"")</f>
        <v/>
      </c>
      <c r="H917" s="11"/>
      <c r="I917" s="12"/>
      <c r="J917" s="15"/>
      <c r="K917" s="16">
        <f t="shared" si="42"/>
        <v>0</v>
      </c>
      <c r="L917" s="16">
        <f t="shared" si="43"/>
        <v>0</v>
      </c>
      <c r="M917" s="16">
        <f>IFERROR(AVERAGEIF('Production Batches'!$C:$C,F917,'Production Batches'!$L:$L),0)</f>
        <v>0</v>
      </c>
      <c r="N917" s="16">
        <f t="shared" si="44"/>
        <v>0</v>
      </c>
      <c r="P917" s="11"/>
      <c r="Q917" s="30"/>
    </row>
    <row r="918" spans="2:17">
      <c r="B918" s="30"/>
      <c r="C918" s="11"/>
      <c r="D918" s="11"/>
      <c r="E918" t="str">
        <f>IFERROR(VLOOKUP(D918,Customers!$A:$B,2,FALSE),"")</f>
        <v/>
      </c>
      <c r="F918" s="11"/>
      <c r="G918" t="str">
        <f>IFERROR(VLOOKUP(F918,'Products Index'!$A:$B,2,FALSE),"")</f>
        <v/>
      </c>
      <c r="H918" s="11"/>
      <c r="I918" s="12"/>
      <c r="J918" s="15"/>
      <c r="K918" s="16">
        <f t="shared" si="42"/>
        <v>0</v>
      </c>
      <c r="L918" s="16">
        <f t="shared" si="43"/>
        <v>0</v>
      </c>
      <c r="M918" s="16">
        <f>IFERROR(AVERAGEIF('Production Batches'!$C:$C,F918,'Production Batches'!$L:$L),0)</f>
        <v>0</v>
      </c>
      <c r="N918" s="16">
        <f t="shared" si="44"/>
        <v>0</v>
      </c>
      <c r="P918" s="11"/>
      <c r="Q918" s="30"/>
    </row>
    <row r="919" spans="2:17">
      <c r="B919" s="30"/>
      <c r="C919" s="11"/>
      <c r="D919" s="11"/>
      <c r="E919" t="str">
        <f>IFERROR(VLOOKUP(D919,Customers!$A:$B,2,FALSE),"")</f>
        <v/>
      </c>
      <c r="F919" s="11"/>
      <c r="G919" t="str">
        <f>IFERROR(VLOOKUP(F919,'Products Index'!$A:$B,2,FALSE),"")</f>
        <v/>
      </c>
      <c r="H919" s="11"/>
      <c r="I919" s="12"/>
      <c r="J919" s="15"/>
      <c r="K919" s="16">
        <f t="shared" si="42"/>
        <v>0</v>
      </c>
      <c r="L919" s="16">
        <f t="shared" si="43"/>
        <v>0</v>
      </c>
      <c r="M919" s="16">
        <f>IFERROR(AVERAGEIF('Production Batches'!$C:$C,F919,'Production Batches'!$L:$L),0)</f>
        <v>0</v>
      </c>
      <c r="N919" s="16">
        <f t="shared" si="44"/>
        <v>0</v>
      </c>
      <c r="P919" s="11"/>
      <c r="Q919" s="30"/>
    </row>
    <row r="920" spans="2:17">
      <c r="B920" s="30"/>
      <c r="C920" s="11"/>
      <c r="D920" s="11"/>
      <c r="E920" t="str">
        <f>IFERROR(VLOOKUP(D920,Customers!$A:$B,2,FALSE),"")</f>
        <v/>
      </c>
      <c r="F920" s="11"/>
      <c r="G920" t="str">
        <f>IFERROR(VLOOKUP(F920,'Products Index'!$A:$B,2,FALSE),"")</f>
        <v/>
      </c>
      <c r="H920" s="11"/>
      <c r="I920" s="12"/>
      <c r="J920" s="15"/>
      <c r="K920" s="16">
        <f t="shared" si="42"/>
        <v>0</v>
      </c>
      <c r="L920" s="16">
        <f t="shared" si="43"/>
        <v>0</v>
      </c>
      <c r="M920" s="16">
        <f>IFERROR(AVERAGEIF('Production Batches'!$C:$C,F920,'Production Batches'!$L:$L),0)</f>
        <v>0</v>
      </c>
      <c r="N920" s="16">
        <f t="shared" si="44"/>
        <v>0</v>
      </c>
      <c r="P920" s="11"/>
      <c r="Q920" s="30"/>
    </row>
    <row r="921" spans="2:17">
      <c r="B921" s="30"/>
      <c r="C921" s="11"/>
      <c r="D921" s="11"/>
      <c r="E921" t="str">
        <f>IFERROR(VLOOKUP(D921,Customers!$A:$B,2,FALSE),"")</f>
        <v/>
      </c>
      <c r="F921" s="11"/>
      <c r="G921" t="str">
        <f>IFERROR(VLOOKUP(F921,'Products Index'!$A:$B,2,FALSE),"")</f>
        <v/>
      </c>
      <c r="H921" s="11"/>
      <c r="I921" s="12"/>
      <c r="J921" s="15"/>
      <c r="K921" s="16">
        <f t="shared" si="42"/>
        <v>0</v>
      </c>
      <c r="L921" s="16">
        <f t="shared" si="43"/>
        <v>0</v>
      </c>
      <c r="M921" s="16">
        <f>IFERROR(AVERAGEIF('Production Batches'!$C:$C,F921,'Production Batches'!$L:$L),0)</f>
        <v>0</v>
      </c>
      <c r="N921" s="16">
        <f t="shared" si="44"/>
        <v>0</v>
      </c>
      <c r="P921" s="11"/>
      <c r="Q921" s="30"/>
    </row>
    <row r="922" spans="2:17">
      <c r="B922" s="30"/>
      <c r="C922" s="11"/>
      <c r="D922" s="11"/>
      <c r="E922" t="str">
        <f>IFERROR(VLOOKUP(D922,Customers!$A:$B,2,FALSE),"")</f>
        <v/>
      </c>
      <c r="F922" s="11"/>
      <c r="G922" t="str">
        <f>IFERROR(VLOOKUP(F922,'Products Index'!$A:$B,2,FALSE),"")</f>
        <v/>
      </c>
      <c r="H922" s="11"/>
      <c r="I922" s="12"/>
      <c r="J922" s="15"/>
      <c r="K922" s="16">
        <f t="shared" si="42"/>
        <v>0</v>
      </c>
      <c r="L922" s="16">
        <f t="shared" si="43"/>
        <v>0</v>
      </c>
      <c r="M922" s="16">
        <f>IFERROR(AVERAGEIF('Production Batches'!$C:$C,F922,'Production Batches'!$L:$L),0)</f>
        <v>0</v>
      </c>
      <c r="N922" s="16">
        <f t="shared" si="44"/>
        <v>0</v>
      </c>
      <c r="P922" s="11"/>
      <c r="Q922" s="30"/>
    </row>
    <row r="923" spans="2:17">
      <c r="B923" s="30"/>
      <c r="C923" s="11"/>
      <c r="D923" s="11"/>
      <c r="E923" t="str">
        <f>IFERROR(VLOOKUP(D923,Customers!$A:$B,2,FALSE),"")</f>
        <v/>
      </c>
      <c r="F923" s="11"/>
      <c r="G923" t="str">
        <f>IFERROR(VLOOKUP(F923,'Products Index'!$A:$B,2,FALSE),"")</f>
        <v/>
      </c>
      <c r="H923" s="11"/>
      <c r="I923" s="12"/>
      <c r="J923" s="15"/>
      <c r="K923" s="16">
        <f t="shared" si="42"/>
        <v>0</v>
      </c>
      <c r="L923" s="16">
        <f t="shared" si="43"/>
        <v>0</v>
      </c>
      <c r="M923" s="16">
        <f>IFERROR(AVERAGEIF('Production Batches'!$C:$C,F923,'Production Batches'!$L:$L),0)</f>
        <v>0</v>
      </c>
      <c r="N923" s="16">
        <f t="shared" si="44"/>
        <v>0</v>
      </c>
      <c r="P923" s="11"/>
      <c r="Q923" s="30"/>
    </row>
    <row r="924" spans="2:17">
      <c r="B924" s="30"/>
      <c r="C924" s="11"/>
      <c r="D924" s="11"/>
      <c r="E924" t="str">
        <f>IFERROR(VLOOKUP(D924,Customers!$A:$B,2,FALSE),"")</f>
        <v/>
      </c>
      <c r="F924" s="11"/>
      <c r="G924" t="str">
        <f>IFERROR(VLOOKUP(F924,'Products Index'!$A:$B,2,FALSE),"")</f>
        <v/>
      </c>
      <c r="H924" s="11"/>
      <c r="I924" s="12"/>
      <c r="J924" s="15"/>
      <c r="K924" s="16">
        <f t="shared" si="42"/>
        <v>0</v>
      </c>
      <c r="L924" s="16">
        <f t="shared" si="43"/>
        <v>0</v>
      </c>
      <c r="M924" s="16">
        <f>IFERROR(AVERAGEIF('Production Batches'!$C:$C,F924,'Production Batches'!$L:$L),0)</f>
        <v>0</v>
      </c>
      <c r="N924" s="16">
        <f t="shared" si="44"/>
        <v>0</v>
      </c>
      <c r="P924" s="11"/>
      <c r="Q924" s="30"/>
    </row>
    <row r="925" spans="2:17">
      <c r="B925" s="30"/>
      <c r="C925" s="11"/>
      <c r="D925" s="11"/>
      <c r="E925" t="str">
        <f>IFERROR(VLOOKUP(D925,Customers!$A:$B,2,FALSE),"")</f>
        <v/>
      </c>
      <c r="F925" s="11"/>
      <c r="G925" t="str">
        <f>IFERROR(VLOOKUP(F925,'Products Index'!$A:$B,2,FALSE),"")</f>
        <v/>
      </c>
      <c r="H925" s="11"/>
      <c r="I925" s="12"/>
      <c r="J925" s="15"/>
      <c r="K925" s="16">
        <f t="shared" si="42"/>
        <v>0</v>
      </c>
      <c r="L925" s="16">
        <f t="shared" si="43"/>
        <v>0</v>
      </c>
      <c r="M925" s="16">
        <f>IFERROR(AVERAGEIF('Production Batches'!$C:$C,F925,'Production Batches'!$L:$L),0)</f>
        <v>0</v>
      </c>
      <c r="N925" s="16">
        <f t="shared" si="44"/>
        <v>0</v>
      </c>
      <c r="P925" s="11"/>
      <c r="Q925" s="30"/>
    </row>
    <row r="926" spans="2:17">
      <c r="B926" s="30"/>
      <c r="C926" s="11"/>
      <c r="D926" s="11"/>
      <c r="E926" t="str">
        <f>IFERROR(VLOOKUP(D926,Customers!$A:$B,2,FALSE),"")</f>
        <v/>
      </c>
      <c r="F926" s="11"/>
      <c r="G926" t="str">
        <f>IFERROR(VLOOKUP(F926,'Products Index'!$A:$B,2,FALSE),"")</f>
        <v/>
      </c>
      <c r="H926" s="11"/>
      <c r="I926" s="12"/>
      <c r="J926" s="15"/>
      <c r="K926" s="16">
        <f t="shared" si="42"/>
        <v>0</v>
      </c>
      <c r="L926" s="16">
        <f t="shared" si="43"/>
        <v>0</v>
      </c>
      <c r="M926" s="16">
        <f>IFERROR(AVERAGEIF('Production Batches'!$C:$C,F926,'Production Batches'!$L:$L),0)</f>
        <v>0</v>
      </c>
      <c r="N926" s="16">
        <f t="shared" si="44"/>
        <v>0</v>
      </c>
      <c r="P926" s="11"/>
      <c r="Q926" s="30"/>
    </row>
    <row r="927" spans="2:17">
      <c r="B927" s="30"/>
      <c r="C927" s="11"/>
      <c r="D927" s="11"/>
      <c r="E927" t="str">
        <f>IFERROR(VLOOKUP(D927,Customers!$A:$B,2,FALSE),"")</f>
        <v/>
      </c>
      <c r="F927" s="11"/>
      <c r="G927" t="str">
        <f>IFERROR(VLOOKUP(F927,'Products Index'!$A:$B,2,FALSE),"")</f>
        <v/>
      </c>
      <c r="H927" s="11"/>
      <c r="I927" s="12"/>
      <c r="J927" s="15"/>
      <c r="K927" s="16">
        <f t="shared" si="42"/>
        <v>0</v>
      </c>
      <c r="L927" s="16">
        <f t="shared" si="43"/>
        <v>0</v>
      </c>
      <c r="M927" s="16">
        <f>IFERROR(AVERAGEIF('Production Batches'!$C:$C,F927,'Production Batches'!$L:$L),0)</f>
        <v>0</v>
      </c>
      <c r="N927" s="16">
        <f t="shared" si="44"/>
        <v>0</v>
      </c>
      <c r="P927" s="11"/>
      <c r="Q927" s="30"/>
    </row>
    <row r="928" spans="2:17">
      <c r="B928" s="30"/>
      <c r="C928" s="11"/>
      <c r="D928" s="11"/>
      <c r="E928" t="str">
        <f>IFERROR(VLOOKUP(D928,Customers!$A:$B,2,FALSE),"")</f>
        <v/>
      </c>
      <c r="F928" s="11"/>
      <c r="G928" t="str">
        <f>IFERROR(VLOOKUP(F928,'Products Index'!$A:$B,2,FALSE),"")</f>
        <v/>
      </c>
      <c r="H928" s="11"/>
      <c r="I928" s="12"/>
      <c r="J928" s="15"/>
      <c r="K928" s="16">
        <f t="shared" si="42"/>
        <v>0</v>
      </c>
      <c r="L928" s="16">
        <f t="shared" si="43"/>
        <v>0</v>
      </c>
      <c r="M928" s="16">
        <f>IFERROR(AVERAGEIF('Production Batches'!$C:$C,F928,'Production Batches'!$L:$L),0)</f>
        <v>0</v>
      </c>
      <c r="N928" s="16">
        <f t="shared" si="44"/>
        <v>0</v>
      </c>
      <c r="P928" s="11"/>
      <c r="Q928" s="30"/>
    </row>
    <row r="929" spans="2:17">
      <c r="B929" s="30"/>
      <c r="C929" s="11"/>
      <c r="D929" s="11"/>
      <c r="E929" t="str">
        <f>IFERROR(VLOOKUP(D929,Customers!$A:$B,2,FALSE),"")</f>
        <v/>
      </c>
      <c r="F929" s="11"/>
      <c r="G929" t="str">
        <f>IFERROR(VLOOKUP(F929,'Products Index'!$A:$B,2,FALSE),"")</f>
        <v/>
      </c>
      <c r="H929" s="11"/>
      <c r="I929" s="12"/>
      <c r="J929" s="15"/>
      <c r="K929" s="16">
        <f t="shared" si="42"/>
        <v>0</v>
      </c>
      <c r="L929" s="16">
        <f t="shared" si="43"/>
        <v>0</v>
      </c>
      <c r="M929" s="16">
        <f>IFERROR(AVERAGEIF('Production Batches'!$C:$C,F929,'Production Batches'!$L:$L),0)</f>
        <v>0</v>
      </c>
      <c r="N929" s="16">
        <f t="shared" si="44"/>
        <v>0</v>
      </c>
      <c r="P929" s="11"/>
      <c r="Q929" s="30"/>
    </row>
    <row r="930" spans="2:17">
      <c r="B930" s="30"/>
      <c r="C930" s="11"/>
      <c r="D930" s="11"/>
      <c r="E930" t="str">
        <f>IFERROR(VLOOKUP(D930,Customers!$A:$B,2,FALSE),"")</f>
        <v/>
      </c>
      <c r="F930" s="11"/>
      <c r="G930" t="str">
        <f>IFERROR(VLOOKUP(F930,'Products Index'!$A:$B,2,FALSE),"")</f>
        <v/>
      </c>
      <c r="H930" s="11"/>
      <c r="I930" s="12"/>
      <c r="J930" s="15"/>
      <c r="K930" s="16">
        <f t="shared" si="42"/>
        <v>0</v>
      </c>
      <c r="L930" s="16">
        <f t="shared" si="43"/>
        <v>0</v>
      </c>
      <c r="M930" s="16">
        <f>IFERROR(AVERAGEIF('Production Batches'!$C:$C,F930,'Production Batches'!$L:$L),0)</f>
        <v>0</v>
      </c>
      <c r="N930" s="16">
        <f t="shared" si="44"/>
        <v>0</v>
      </c>
      <c r="P930" s="11"/>
      <c r="Q930" s="30"/>
    </row>
    <row r="931" spans="2:17">
      <c r="B931" s="30"/>
      <c r="C931" s="11"/>
      <c r="D931" s="11"/>
      <c r="E931" t="str">
        <f>IFERROR(VLOOKUP(D931,Customers!$A:$B,2,FALSE),"")</f>
        <v/>
      </c>
      <c r="F931" s="11"/>
      <c r="G931" t="str">
        <f>IFERROR(VLOOKUP(F931,'Products Index'!$A:$B,2,FALSE),"")</f>
        <v/>
      </c>
      <c r="H931" s="11"/>
      <c r="I931" s="12"/>
      <c r="J931" s="15"/>
      <c r="K931" s="16">
        <f t="shared" si="42"/>
        <v>0</v>
      </c>
      <c r="L931" s="16">
        <f t="shared" si="43"/>
        <v>0</v>
      </c>
      <c r="M931" s="16">
        <f>IFERROR(AVERAGEIF('Production Batches'!$C:$C,F931,'Production Batches'!$L:$L),0)</f>
        <v>0</v>
      </c>
      <c r="N931" s="16">
        <f t="shared" si="44"/>
        <v>0</v>
      </c>
      <c r="P931" s="11"/>
      <c r="Q931" s="30"/>
    </row>
    <row r="932" spans="2:17">
      <c r="B932" s="30"/>
      <c r="C932" s="11"/>
      <c r="D932" s="11"/>
      <c r="E932" t="str">
        <f>IFERROR(VLOOKUP(D932,Customers!$A:$B,2,FALSE),"")</f>
        <v/>
      </c>
      <c r="F932" s="11"/>
      <c r="G932" t="str">
        <f>IFERROR(VLOOKUP(F932,'Products Index'!$A:$B,2,FALSE),"")</f>
        <v/>
      </c>
      <c r="H932" s="11"/>
      <c r="I932" s="12"/>
      <c r="J932" s="15"/>
      <c r="K932" s="16">
        <f t="shared" si="42"/>
        <v>0</v>
      </c>
      <c r="L932" s="16">
        <f t="shared" si="43"/>
        <v>0</v>
      </c>
      <c r="M932" s="16">
        <f>IFERROR(AVERAGEIF('Production Batches'!$C:$C,F932,'Production Batches'!$L:$L),0)</f>
        <v>0</v>
      </c>
      <c r="N932" s="16">
        <f t="shared" si="44"/>
        <v>0</v>
      </c>
      <c r="P932" s="11"/>
      <c r="Q932" s="30"/>
    </row>
    <row r="933" spans="2:17">
      <c r="B933" s="30"/>
      <c r="C933" s="11"/>
      <c r="D933" s="11"/>
      <c r="E933" t="str">
        <f>IFERROR(VLOOKUP(D933,Customers!$A:$B,2,FALSE),"")</f>
        <v/>
      </c>
      <c r="F933" s="11"/>
      <c r="G933" t="str">
        <f>IFERROR(VLOOKUP(F933,'Products Index'!$A:$B,2,FALSE),"")</f>
        <v/>
      </c>
      <c r="H933" s="11"/>
      <c r="I933" s="12"/>
      <c r="J933" s="15"/>
      <c r="K933" s="16">
        <f t="shared" si="42"/>
        <v>0</v>
      </c>
      <c r="L933" s="16">
        <f t="shared" si="43"/>
        <v>0</v>
      </c>
      <c r="M933" s="16">
        <f>IFERROR(AVERAGEIF('Production Batches'!$C:$C,F933,'Production Batches'!$L:$L),0)</f>
        <v>0</v>
      </c>
      <c r="N933" s="16">
        <f t="shared" si="44"/>
        <v>0</v>
      </c>
      <c r="P933" s="11"/>
      <c r="Q933" s="30"/>
    </row>
    <row r="934" spans="2:17">
      <c r="B934" s="30"/>
      <c r="C934" s="11"/>
      <c r="D934" s="11"/>
      <c r="E934" t="str">
        <f>IFERROR(VLOOKUP(D934,Customers!$A:$B,2,FALSE),"")</f>
        <v/>
      </c>
      <c r="F934" s="11"/>
      <c r="G934" t="str">
        <f>IFERROR(VLOOKUP(F934,'Products Index'!$A:$B,2,FALSE),"")</f>
        <v/>
      </c>
      <c r="H934" s="11"/>
      <c r="I934" s="12"/>
      <c r="J934" s="15"/>
      <c r="K934" s="16">
        <f t="shared" si="42"/>
        <v>0</v>
      </c>
      <c r="L934" s="16">
        <f t="shared" si="43"/>
        <v>0</v>
      </c>
      <c r="M934" s="16">
        <f>IFERROR(AVERAGEIF('Production Batches'!$C:$C,F934,'Production Batches'!$L:$L),0)</f>
        <v>0</v>
      </c>
      <c r="N934" s="16">
        <f t="shared" si="44"/>
        <v>0</v>
      </c>
      <c r="P934" s="11"/>
      <c r="Q934" s="30"/>
    </row>
    <row r="935" spans="2:17">
      <c r="B935" s="30"/>
      <c r="C935" s="11"/>
      <c r="D935" s="11"/>
      <c r="E935" t="str">
        <f>IFERROR(VLOOKUP(D935,Customers!$A:$B,2,FALSE),"")</f>
        <v/>
      </c>
      <c r="F935" s="11"/>
      <c r="G935" t="str">
        <f>IFERROR(VLOOKUP(F935,'Products Index'!$A:$B,2,FALSE),"")</f>
        <v/>
      </c>
      <c r="H935" s="11"/>
      <c r="I935" s="12"/>
      <c r="J935" s="15"/>
      <c r="K935" s="16">
        <f t="shared" si="42"/>
        <v>0</v>
      </c>
      <c r="L935" s="16">
        <f t="shared" si="43"/>
        <v>0</v>
      </c>
      <c r="M935" s="16">
        <f>IFERROR(AVERAGEIF('Production Batches'!$C:$C,F935,'Production Batches'!$L:$L),0)</f>
        <v>0</v>
      </c>
      <c r="N935" s="16">
        <f t="shared" si="44"/>
        <v>0</v>
      </c>
      <c r="P935" s="11"/>
      <c r="Q935" s="30"/>
    </row>
    <row r="936" spans="2:17">
      <c r="B936" s="30"/>
      <c r="C936" s="11"/>
      <c r="D936" s="11"/>
      <c r="E936" t="str">
        <f>IFERROR(VLOOKUP(D936,Customers!$A:$B,2,FALSE),"")</f>
        <v/>
      </c>
      <c r="F936" s="11"/>
      <c r="G936" t="str">
        <f>IFERROR(VLOOKUP(F936,'Products Index'!$A:$B,2,FALSE),"")</f>
        <v/>
      </c>
      <c r="H936" s="11"/>
      <c r="I936" s="12"/>
      <c r="J936" s="15"/>
      <c r="K936" s="16">
        <f t="shared" si="42"/>
        <v>0</v>
      </c>
      <c r="L936" s="16">
        <f t="shared" si="43"/>
        <v>0</v>
      </c>
      <c r="M936" s="16">
        <f>IFERROR(AVERAGEIF('Production Batches'!$C:$C,F936,'Production Batches'!$L:$L),0)</f>
        <v>0</v>
      </c>
      <c r="N936" s="16">
        <f t="shared" si="44"/>
        <v>0</v>
      </c>
      <c r="P936" s="11"/>
      <c r="Q936" s="30"/>
    </row>
    <row r="937" spans="2:17">
      <c r="B937" s="30"/>
      <c r="C937" s="11"/>
      <c r="D937" s="11"/>
      <c r="E937" t="str">
        <f>IFERROR(VLOOKUP(D937,Customers!$A:$B,2,FALSE),"")</f>
        <v/>
      </c>
      <c r="F937" s="11"/>
      <c r="G937" t="str">
        <f>IFERROR(VLOOKUP(F937,'Products Index'!$A:$B,2,FALSE),"")</f>
        <v/>
      </c>
      <c r="H937" s="11"/>
      <c r="I937" s="12"/>
      <c r="J937" s="15"/>
      <c r="K937" s="16">
        <f t="shared" si="42"/>
        <v>0</v>
      </c>
      <c r="L937" s="16">
        <f t="shared" si="43"/>
        <v>0</v>
      </c>
      <c r="M937" s="16">
        <f>IFERROR(AVERAGEIF('Production Batches'!$C:$C,F937,'Production Batches'!$L:$L),0)</f>
        <v>0</v>
      </c>
      <c r="N937" s="16">
        <f t="shared" si="44"/>
        <v>0</v>
      </c>
      <c r="P937" s="11"/>
      <c r="Q937" s="30"/>
    </row>
    <row r="938" spans="2:17">
      <c r="B938" s="30"/>
      <c r="C938" s="11"/>
      <c r="D938" s="11"/>
      <c r="E938" t="str">
        <f>IFERROR(VLOOKUP(D938,Customers!$A:$B,2,FALSE),"")</f>
        <v/>
      </c>
      <c r="F938" s="11"/>
      <c r="G938" t="str">
        <f>IFERROR(VLOOKUP(F938,'Products Index'!$A:$B,2,FALSE),"")</f>
        <v/>
      </c>
      <c r="H938" s="11"/>
      <c r="I938" s="12"/>
      <c r="J938" s="15"/>
      <c r="K938" s="16">
        <f t="shared" si="42"/>
        <v>0</v>
      </c>
      <c r="L938" s="16">
        <f t="shared" si="43"/>
        <v>0</v>
      </c>
      <c r="M938" s="16">
        <f>IFERROR(AVERAGEIF('Production Batches'!$C:$C,F938,'Production Batches'!$L:$L),0)</f>
        <v>0</v>
      </c>
      <c r="N938" s="16">
        <f t="shared" si="44"/>
        <v>0</v>
      </c>
      <c r="P938" s="11"/>
      <c r="Q938" s="30"/>
    </row>
    <row r="939" spans="2:17">
      <c r="B939" s="30"/>
      <c r="C939" s="11"/>
      <c r="D939" s="11"/>
      <c r="E939" t="str">
        <f>IFERROR(VLOOKUP(D939,Customers!$A:$B,2,FALSE),"")</f>
        <v/>
      </c>
      <c r="F939" s="11"/>
      <c r="G939" t="str">
        <f>IFERROR(VLOOKUP(F939,'Products Index'!$A:$B,2,FALSE),"")</f>
        <v/>
      </c>
      <c r="H939" s="11"/>
      <c r="I939" s="12"/>
      <c r="J939" s="15"/>
      <c r="K939" s="16">
        <f t="shared" si="42"/>
        <v>0</v>
      </c>
      <c r="L939" s="16">
        <f t="shared" si="43"/>
        <v>0</v>
      </c>
      <c r="M939" s="16">
        <f>IFERROR(AVERAGEIF('Production Batches'!$C:$C,F939,'Production Batches'!$L:$L),0)</f>
        <v>0</v>
      </c>
      <c r="N939" s="16">
        <f t="shared" si="44"/>
        <v>0</v>
      </c>
      <c r="P939" s="11"/>
      <c r="Q939" s="30"/>
    </row>
    <row r="940" spans="2:17">
      <c r="B940" s="30"/>
      <c r="C940" s="11"/>
      <c r="D940" s="11"/>
      <c r="E940" t="str">
        <f>IFERROR(VLOOKUP(D940,Customers!$A:$B,2,FALSE),"")</f>
        <v/>
      </c>
      <c r="F940" s="11"/>
      <c r="G940" t="str">
        <f>IFERROR(VLOOKUP(F940,'Products Index'!$A:$B,2,FALSE),"")</f>
        <v/>
      </c>
      <c r="H940" s="11"/>
      <c r="I940" s="12"/>
      <c r="J940" s="15"/>
      <c r="K940" s="16">
        <f t="shared" si="42"/>
        <v>0</v>
      </c>
      <c r="L940" s="16">
        <f t="shared" si="43"/>
        <v>0</v>
      </c>
      <c r="M940" s="16">
        <f>IFERROR(AVERAGEIF('Production Batches'!$C:$C,F940,'Production Batches'!$L:$L),0)</f>
        <v>0</v>
      </c>
      <c r="N940" s="16">
        <f t="shared" si="44"/>
        <v>0</v>
      </c>
      <c r="P940" s="11"/>
      <c r="Q940" s="30"/>
    </row>
    <row r="941" spans="2:17">
      <c r="B941" s="30"/>
      <c r="C941" s="11"/>
      <c r="D941" s="11"/>
      <c r="E941" t="str">
        <f>IFERROR(VLOOKUP(D941,Customers!$A:$B,2,FALSE),"")</f>
        <v/>
      </c>
      <c r="F941" s="11"/>
      <c r="G941" t="str">
        <f>IFERROR(VLOOKUP(F941,'Products Index'!$A:$B,2,FALSE),"")</f>
        <v/>
      </c>
      <c r="H941" s="11"/>
      <c r="I941" s="12"/>
      <c r="J941" s="15"/>
      <c r="K941" s="16">
        <f t="shared" si="42"/>
        <v>0</v>
      </c>
      <c r="L941" s="16">
        <f t="shared" si="43"/>
        <v>0</v>
      </c>
      <c r="M941" s="16">
        <f>IFERROR(AVERAGEIF('Production Batches'!$C:$C,F941,'Production Batches'!$L:$L),0)</f>
        <v>0</v>
      </c>
      <c r="N941" s="16">
        <f t="shared" si="44"/>
        <v>0</v>
      </c>
      <c r="P941" s="11"/>
      <c r="Q941" s="30"/>
    </row>
    <row r="942" spans="2:17">
      <c r="B942" s="30"/>
      <c r="C942" s="11"/>
      <c r="D942" s="11"/>
      <c r="E942" t="str">
        <f>IFERROR(VLOOKUP(D942,Customers!$A:$B,2,FALSE),"")</f>
        <v/>
      </c>
      <c r="F942" s="11"/>
      <c r="G942" t="str">
        <f>IFERROR(VLOOKUP(F942,'Products Index'!$A:$B,2,FALSE),"")</f>
        <v/>
      </c>
      <c r="H942" s="11"/>
      <c r="I942" s="12"/>
      <c r="J942" s="15"/>
      <c r="K942" s="16">
        <f t="shared" si="42"/>
        <v>0</v>
      </c>
      <c r="L942" s="16">
        <f t="shared" si="43"/>
        <v>0</v>
      </c>
      <c r="M942" s="16">
        <f>IFERROR(AVERAGEIF('Production Batches'!$C:$C,F942,'Production Batches'!$L:$L),0)</f>
        <v>0</v>
      </c>
      <c r="N942" s="16">
        <f t="shared" si="44"/>
        <v>0</v>
      </c>
      <c r="P942" s="11"/>
      <c r="Q942" s="30"/>
    </row>
    <row r="943" spans="2:17">
      <c r="B943" s="30"/>
      <c r="C943" s="11"/>
      <c r="D943" s="11"/>
      <c r="E943" t="str">
        <f>IFERROR(VLOOKUP(D943,Customers!$A:$B,2,FALSE),"")</f>
        <v/>
      </c>
      <c r="F943" s="11"/>
      <c r="G943" t="str">
        <f>IFERROR(VLOOKUP(F943,'Products Index'!$A:$B,2,FALSE),"")</f>
        <v/>
      </c>
      <c r="H943" s="11"/>
      <c r="I943" s="12"/>
      <c r="J943" s="15"/>
      <c r="K943" s="16">
        <f t="shared" si="42"/>
        <v>0</v>
      </c>
      <c r="L943" s="16">
        <f t="shared" si="43"/>
        <v>0</v>
      </c>
      <c r="M943" s="16">
        <f>IFERROR(AVERAGEIF('Production Batches'!$C:$C,F943,'Production Batches'!$L:$L),0)</f>
        <v>0</v>
      </c>
      <c r="N943" s="16">
        <f t="shared" si="44"/>
        <v>0</v>
      </c>
      <c r="P943" s="11"/>
      <c r="Q943" s="30"/>
    </row>
    <row r="944" spans="2:17">
      <c r="B944" s="30"/>
      <c r="C944" s="11"/>
      <c r="D944" s="11"/>
      <c r="E944" t="str">
        <f>IFERROR(VLOOKUP(D944,Customers!$A:$B,2,FALSE),"")</f>
        <v/>
      </c>
      <c r="F944" s="11"/>
      <c r="G944" t="str">
        <f>IFERROR(VLOOKUP(F944,'Products Index'!$A:$B,2,FALSE),"")</f>
        <v/>
      </c>
      <c r="H944" s="11"/>
      <c r="I944" s="12"/>
      <c r="J944" s="15"/>
      <c r="K944" s="16">
        <f t="shared" si="42"/>
        <v>0</v>
      </c>
      <c r="L944" s="16">
        <f t="shared" si="43"/>
        <v>0</v>
      </c>
      <c r="M944" s="16">
        <f>IFERROR(AVERAGEIF('Production Batches'!$C:$C,F944,'Production Batches'!$L:$L),0)</f>
        <v>0</v>
      </c>
      <c r="N944" s="16">
        <f t="shared" si="44"/>
        <v>0</v>
      </c>
      <c r="P944" s="11"/>
      <c r="Q944" s="30"/>
    </row>
    <row r="945" spans="2:17">
      <c r="B945" s="30"/>
      <c r="C945" s="11"/>
      <c r="D945" s="11"/>
      <c r="E945" t="str">
        <f>IFERROR(VLOOKUP(D945,Customers!$A:$B,2,FALSE),"")</f>
        <v/>
      </c>
      <c r="F945" s="11"/>
      <c r="G945" t="str">
        <f>IFERROR(VLOOKUP(F945,'Products Index'!$A:$B,2,FALSE),"")</f>
        <v/>
      </c>
      <c r="H945" s="11"/>
      <c r="I945" s="12"/>
      <c r="J945" s="15"/>
      <c r="K945" s="16">
        <f t="shared" si="42"/>
        <v>0</v>
      </c>
      <c r="L945" s="16">
        <f t="shared" si="43"/>
        <v>0</v>
      </c>
      <c r="M945" s="16">
        <f>IFERROR(AVERAGEIF('Production Batches'!$C:$C,F945,'Production Batches'!$L:$L),0)</f>
        <v>0</v>
      </c>
      <c r="N945" s="16">
        <f t="shared" si="44"/>
        <v>0</v>
      </c>
      <c r="P945" s="11"/>
      <c r="Q945" s="30"/>
    </row>
    <row r="946" spans="2:17">
      <c r="B946" s="30"/>
      <c r="C946" s="11"/>
      <c r="D946" s="11"/>
      <c r="E946" t="str">
        <f>IFERROR(VLOOKUP(D946,Customers!$A:$B,2,FALSE),"")</f>
        <v/>
      </c>
      <c r="F946" s="11"/>
      <c r="G946" t="str">
        <f>IFERROR(VLOOKUP(F946,'Products Index'!$A:$B,2,FALSE),"")</f>
        <v/>
      </c>
      <c r="H946" s="11"/>
      <c r="I946" s="12"/>
      <c r="J946" s="15"/>
      <c r="K946" s="16">
        <f t="shared" si="42"/>
        <v>0</v>
      </c>
      <c r="L946" s="16">
        <f t="shared" si="43"/>
        <v>0</v>
      </c>
      <c r="M946" s="16">
        <f>IFERROR(AVERAGEIF('Production Batches'!$C:$C,F946,'Production Batches'!$L:$L),0)</f>
        <v>0</v>
      </c>
      <c r="N946" s="16">
        <f t="shared" si="44"/>
        <v>0</v>
      </c>
      <c r="P946" s="11"/>
      <c r="Q946" s="30"/>
    </row>
    <row r="947" spans="2:17">
      <c r="B947" s="30"/>
      <c r="C947" s="11"/>
      <c r="D947" s="11"/>
      <c r="E947" t="str">
        <f>IFERROR(VLOOKUP(D947,Customers!$A:$B,2,FALSE),"")</f>
        <v/>
      </c>
      <c r="F947" s="11"/>
      <c r="G947" t="str">
        <f>IFERROR(VLOOKUP(F947,'Products Index'!$A:$B,2,FALSE),"")</f>
        <v/>
      </c>
      <c r="H947" s="11"/>
      <c r="I947" s="12"/>
      <c r="J947" s="15"/>
      <c r="K947" s="16">
        <f t="shared" si="42"/>
        <v>0</v>
      </c>
      <c r="L947" s="16">
        <f t="shared" si="43"/>
        <v>0</v>
      </c>
      <c r="M947" s="16">
        <f>IFERROR(AVERAGEIF('Production Batches'!$C:$C,F947,'Production Batches'!$L:$L),0)</f>
        <v>0</v>
      </c>
      <c r="N947" s="16">
        <f t="shared" si="44"/>
        <v>0</v>
      </c>
      <c r="P947" s="11"/>
      <c r="Q947" s="30"/>
    </row>
    <row r="948" spans="2:17">
      <c r="B948" s="30"/>
      <c r="C948" s="11"/>
      <c r="D948" s="11"/>
      <c r="E948" t="str">
        <f>IFERROR(VLOOKUP(D948,Customers!$A:$B,2,FALSE),"")</f>
        <v/>
      </c>
      <c r="F948" s="11"/>
      <c r="G948" t="str">
        <f>IFERROR(VLOOKUP(F948,'Products Index'!$A:$B,2,FALSE),"")</f>
        <v/>
      </c>
      <c r="H948" s="11"/>
      <c r="I948" s="12"/>
      <c r="J948" s="15"/>
      <c r="K948" s="16">
        <f t="shared" si="42"/>
        <v>0</v>
      </c>
      <c r="L948" s="16">
        <f t="shared" si="43"/>
        <v>0</v>
      </c>
      <c r="M948" s="16">
        <f>IFERROR(AVERAGEIF('Production Batches'!$C:$C,F948,'Production Batches'!$L:$L),0)</f>
        <v>0</v>
      </c>
      <c r="N948" s="16">
        <f t="shared" si="44"/>
        <v>0</v>
      </c>
      <c r="P948" s="11"/>
      <c r="Q948" s="30"/>
    </row>
    <row r="949" spans="2:17">
      <c r="B949" s="30"/>
      <c r="C949" s="11"/>
      <c r="D949" s="11"/>
      <c r="E949" t="str">
        <f>IFERROR(VLOOKUP(D949,Customers!$A:$B,2,FALSE),"")</f>
        <v/>
      </c>
      <c r="F949" s="11"/>
      <c r="G949" t="str">
        <f>IFERROR(VLOOKUP(F949,'Products Index'!$A:$B,2,FALSE),"")</f>
        <v/>
      </c>
      <c r="H949" s="11"/>
      <c r="I949" s="12"/>
      <c r="J949" s="15"/>
      <c r="K949" s="16">
        <f t="shared" si="42"/>
        <v>0</v>
      </c>
      <c r="L949" s="16">
        <f t="shared" si="43"/>
        <v>0</v>
      </c>
      <c r="M949" s="16">
        <f>IFERROR(AVERAGEIF('Production Batches'!$C:$C,F949,'Production Batches'!$L:$L),0)</f>
        <v>0</v>
      </c>
      <c r="N949" s="16">
        <f t="shared" si="44"/>
        <v>0</v>
      </c>
      <c r="P949" s="11"/>
      <c r="Q949" s="30"/>
    </row>
    <row r="950" spans="2:17">
      <c r="B950" s="30"/>
      <c r="C950" s="11"/>
      <c r="D950" s="11"/>
      <c r="E950" t="str">
        <f>IFERROR(VLOOKUP(D950,Customers!$A:$B,2,FALSE),"")</f>
        <v/>
      </c>
      <c r="F950" s="11"/>
      <c r="G950" t="str">
        <f>IFERROR(VLOOKUP(F950,'Products Index'!$A:$B,2,FALSE),"")</f>
        <v/>
      </c>
      <c r="H950" s="11"/>
      <c r="I950" s="12"/>
      <c r="J950" s="15"/>
      <c r="K950" s="16">
        <f t="shared" si="42"/>
        <v>0</v>
      </c>
      <c r="L950" s="16">
        <f t="shared" si="43"/>
        <v>0</v>
      </c>
      <c r="M950" s="16">
        <f>IFERROR(AVERAGEIF('Production Batches'!$C:$C,F950,'Production Batches'!$L:$L),0)</f>
        <v>0</v>
      </c>
      <c r="N950" s="16">
        <f t="shared" si="44"/>
        <v>0</v>
      </c>
      <c r="P950" s="11"/>
      <c r="Q950" s="30"/>
    </row>
    <row r="951" spans="2:17">
      <c r="B951" s="30"/>
      <c r="C951" s="11"/>
      <c r="D951" s="11"/>
      <c r="E951" t="str">
        <f>IFERROR(VLOOKUP(D951,Customers!$A:$B,2,FALSE),"")</f>
        <v/>
      </c>
      <c r="F951" s="11"/>
      <c r="G951" t="str">
        <f>IFERROR(VLOOKUP(F951,'Products Index'!$A:$B,2,FALSE),"")</f>
        <v/>
      </c>
      <c r="H951" s="11"/>
      <c r="I951" s="12"/>
      <c r="J951" s="15"/>
      <c r="K951" s="16">
        <f t="shared" si="42"/>
        <v>0</v>
      </c>
      <c r="L951" s="16">
        <f t="shared" si="43"/>
        <v>0</v>
      </c>
      <c r="M951" s="16">
        <f>IFERROR(AVERAGEIF('Production Batches'!$C:$C,F951,'Production Batches'!$L:$L),0)</f>
        <v>0</v>
      </c>
      <c r="N951" s="16">
        <f t="shared" si="44"/>
        <v>0</v>
      </c>
      <c r="P951" s="11"/>
      <c r="Q951" s="30"/>
    </row>
    <row r="952" spans="2:17">
      <c r="B952" s="30"/>
      <c r="C952" s="11"/>
      <c r="D952" s="11"/>
      <c r="E952" t="str">
        <f>IFERROR(VLOOKUP(D952,Customers!$A:$B,2,FALSE),"")</f>
        <v/>
      </c>
      <c r="F952" s="11"/>
      <c r="G952" t="str">
        <f>IFERROR(VLOOKUP(F952,'Products Index'!$A:$B,2,FALSE),"")</f>
        <v/>
      </c>
      <c r="H952" s="11"/>
      <c r="I952" s="12"/>
      <c r="J952" s="15"/>
      <c r="K952" s="16">
        <f t="shared" si="42"/>
        <v>0</v>
      </c>
      <c r="L952" s="16">
        <f t="shared" si="43"/>
        <v>0</v>
      </c>
      <c r="M952" s="16">
        <f>IFERROR(AVERAGEIF('Production Batches'!$C:$C,F952,'Production Batches'!$L:$L),0)</f>
        <v>0</v>
      </c>
      <c r="N952" s="16">
        <f t="shared" si="44"/>
        <v>0</v>
      </c>
      <c r="P952" s="11"/>
      <c r="Q952" s="30"/>
    </row>
    <row r="953" spans="2:17">
      <c r="B953" s="30"/>
      <c r="C953" s="11"/>
      <c r="D953" s="11"/>
      <c r="E953" t="str">
        <f>IFERROR(VLOOKUP(D953,Customers!$A:$B,2,FALSE),"")</f>
        <v/>
      </c>
      <c r="F953" s="11"/>
      <c r="G953" t="str">
        <f>IFERROR(VLOOKUP(F953,'Products Index'!$A:$B,2,FALSE),"")</f>
        <v/>
      </c>
      <c r="H953" s="11"/>
      <c r="I953" s="12"/>
      <c r="J953" s="15"/>
      <c r="K953" s="16">
        <f t="shared" si="42"/>
        <v>0</v>
      </c>
      <c r="L953" s="16">
        <f t="shared" si="43"/>
        <v>0</v>
      </c>
      <c r="M953" s="16">
        <f>IFERROR(AVERAGEIF('Production Batches'!$C:$C,F953,'Production Batches'!$L:$L),0)</f>
        <v>0</v>
      </c>
      <c r="N953" s="16">
        <f t="shared" si="44"/>
        <v>0</v>
      </c>
      <c r="P953" s="11"/>
      <c r="Q953" s="30"/>
    </row>
    <row r="954" spans="2:17">
      <c r="B954" s="30"/>
      <c r="C954" s="11"/>
      <c r="D954" s="11"/>
      <c r="E954" t="str">
        <f>IFERROR(VLOOKUP(D954,Customers!$A:$B,2,FALSE),"")</f>
        <v/>
      </c>
      <c r="F954" s="11"/>
      <c r="G954" t="str">
        <f>IFERROR(VLOOKUP(F954,'Products Index'!$A:$B,2,FALSE),"")</f>
        <v/>
      </c>
      <c r="H954" s="11"/>
      <c r="I954" s="12"/>
      <c r="J954" s="15"/>
      <c r="K954" s="16">
        <f t="shared" si="42"/>
        <v>0</v>
      </c>
      <c r="L954" s="16">
        <f t="shared" si="43"/>
        <v>0</v>
      </c>
      <c r="M954" s="16">
        <f>IFERROR(AVERAGEIF('Production Batches'!$C:$C,F954,'Production Batches'!$L:$L),0)</f>
        <v>0</v>
      </c>
      <c r="N954" s="16">
        <f t="shared" si="44"/>
        <v>0</v>
      </c>
      <c r="P954" s="11"/>
      <c r="Q954" s="30"/>
    </row>
    <row r="955" spans="2:17">
      <c r="B955" s="30"/>
      <c r="C955" s="11"/>
      <c r="D955" s="11"/>
      <c r="E955" t="str">
        <f>IFERROR(VLOOKUP(D955,Customers!$A:$B,2,FALSE),"")</f>
        <v/>
      </c>
      <c r="F955" s="11"/>
      <c r="G955" t="str">
        <f>IFERROR(VLOOKUP(F955,'Products Index'!$A:$B,2,FALSE),"")</f>
        <v/>
      </c>
      <c r="H955" s="11"/>
      <c r="I955" s="12"/>
      <c r="J955" s="15"/>
      <c r="K955" s="16">
        <f t="shared" si="42"/>
        <v>0</v>
      </c>
      <c r="L955" s="16">
        <f t="shared" si="43"/>
        <v>0</v>
      </c>
      <c r="M955" s="16">
        <f>IFERROR(AVERAGEIF('Production Batches'!$C:$C,F955,'Production Batches'!$L:$L),0)</f>
        <v>0</v>
      </c>
      <c r="N955" s="16">
        <f t="shared" si="44"/>
        <v>0</v>
      </c>
      <c r="P955" s="11"/>
      <c r="Q955" s="30"/>
    </row>
    <row r="956" spans="2:17">
      <c r="B956" s="30"/>
      <c r="C956" s="11"/>
      <c r="D956" s="11"/>
      <c r="E956" t="str">
        <f>IFERROR(VLOOKUP(D956,Customers!$A:$B,2,FALSE),"")</f>
        <v/>
      </c>
      <c r="F956" s="11"/>
      <c r="G956" t="str">
        <f>IFERROR(VLOOKUP(F956,'Products Index'!$A:$B,2,FALSE),"")</f>
        <v/>
      </c>
      <c r="H956" s="11"/>
      <c r="I956" s="12"/>
      <c r="J956" s="15"/>
      <c r="K956" s="16">
        <f t="shared" si="42"/>
        <v>0</v>
      </c>
      <c r="L956" s="16">
        <f t="shared" si="43"/>
        <v>0</v>
      </c>
      <c r="M956" s="16">
        <f>IFERROR(AVERAGEIF('Production Batches'!$C:$C,F956,'Production Batches'!$L:$L),0)</f>
        <v>0</v>
      </c>
      <c r="N956" s="16">
        <f t="shared" si="44"/>
        <v>0</v>
      </c>
      <c r="P956" s="11"/>
      <c r="Q956" s="30"/>
    </row>
    <row r="957" spans="2:17">
      <c r="B957" s="30"/>
      <c r="C957" s="11"/>
      <c r="D957" s="11"/>
      <c r="E957" t="str">
        <f>IFERROR(VLOOKUP(D957,Customers!$A:$B,2,FALSE),"")</f>
        <v/>
      </c>
      <c r="F957" s="11"/>
      <c r="G957" t="str">
        <f>IFERROR(VLOOKUP(F957,'Products Index'!$A:$B,2,FALSE),"")</f>
        <v/>
      </c>
      <c r="H957" s="11"/>
      <c r="I957" s="12"/>
      <c r="J957" s="15"/>
      <c r="K957" s="16">
        <f t="shared" si="42"/>
        <v>0</v>
      </c>
      <c r="L957" s="16">
        <f t="shared" si="43"/>
        <v>0</v>
      </c>
      <c r="M957" s="16">
        <f>IFERROR(AVERAGEIF('Production Batches'!$C:$C,F957,'Production Batches'!$L:$L),0)</f>
        <v>0</v>
      </c>
      <c r="N957" s="16">
        <f t="shared" si="44"/>
        <v>0</v>
      </c>
      <c r="P957" s="11"/>
      <c r="Q957" s="30"/>
    </row>
    <row r="958" spans="2:17">
      <c r="B958" s="30"/>
      <c r="C958" s="11"/>
      <c r="D958" s="11"/>
      <c r="E958" t="str">
        <f>IFERROR(VLOOKUP(D958,Customers!$A:$B,2,FALSE),"")</f>
        <v/>
      </c>
      <c r="F958" s="11"/>
      <c r="G958" t="str">
        <f>IFERROR(VLOOKUP(F958,'Products Index'!$A:$B,2,FALSE),"")</f>
        <v/>
      </c>
      <c r="H958" s="11"/>
      <c r="I958" s="12"/>
      <c r="J958" s="15"/>
      <c r="K958" s="16">
        <f t="shared" si="42"/>
        <v>0</v>
      </c>
      <c r="L958" s="16">
        <f t="shared" si="43"/>
        <v>0</v>
      </c>
      <c r="M958" s="16">
        <f>IFERROR(AVERAGEIF('Production Batches'!$C:$C,F958,'Production Batches'!$L:$L),0)</f>
        <v>0</v>
      </c>
      <c r="N958" s="16">
        <f t="shared" si="44"/>
        <v>0</v>
      </c>
      <c r="P958" s="11"/>
      <c r="Q958" s="30"/>
    </row>
    <row r="959" spans="2:17">
      <c r="B959" s="30"/>
      <c r="C959" s="11"/>
      <c r="D959" s="11"/>
      <c r="E959" t="str">
        <f>IFERROR(VLOOKUP(D959,Customers!$A:$B,2,FALSE),"")</f>
        <v/>
      </c>
      <c r="F959" s="11"/>
      <c r="G959" t="str">
        <f>IFERROR(VLOOKUP(F959,'Products Index'!$A:$B,2,FALSE),"")</f>
        <v/>
      </c>
      <c r="H959" s="11"/>
      <c r="I959" s="12"/>
      <c r="J959" s="15"/>
      <c r="K959" s="16">
        <f t="shared" si="42"/>
        <v>0</v>
      </c>
      <c r="L959" s="16">
        <f t="shared" si="43"/>
        <v>0</v>
      </c>
      <c r="M959" s="16">
        <f>IFERROR(AVERAGEIF('Production Batches'!$C:$C,F959,'Production Batches'!$L:$L),0)</f>
        <v>0</v>
      </c>
      <c r="N959" s="16">
        <f t="shared" si="44"/>
        <v>0</v>
      </c>
      <c r="P959" s="11"/>
      <c r="Q959" s="30"/>
    </row>
    <row r="960" spans="2:17">
      <c r="B960" s="30"/>
      <c r="C960" s="11"/>
      <c r="D960" s="11"/>
      <c r="E960" t="str">
        <f>IFERROR(VLOOKUP(D960,Customers!$A:$B,2,FALSE),"")</f>
        <v/>
      </c>
      <c r="F960" s="11"/>
      <c r="G960" t="str">
        <f>IFERROR(VLOOKUP(F960,'Products Index'!$A:$B,2,FALSE),"")</f>
        <v/>
      </c>
      <c r="H960" s="11"/>
      <c r="I960" s="12"/>
      <c r="J960" s="15"/>
      <c r="K960" s="16">
        <f t="shared" si="42"/>
        <v>0</v>
      </c>
      <c r="L960" s="16">
        <f t="shared" si="43"/>
        <v>0</v>
      </c>
      <c r="M960" s="16">
        <f>IFERROR(AVERAGEIF('Production Batches'!$C:$C,F960,'Production Batches'!$L:$L),0)</f>
        <v>0</v>
      </c>
      <c r="N960" s="16">
        <f t="shared" si="44"/>
        <v>0</v>
      </c>
      <c r="P960" s="11"/>
      <c r="Q960" s="30"/>
    </row>
    <row r="961" spans="2:17">
      <c r="B961" s="30"/>
      <c r="C961" s="11"/>
      <c r="D961" s="11"/>
      <c r="E961" t="str">
        <f>IFERROR(VLOOKUP(D961,Customers!$A:$B,2,FALSE),"")</f>
        <v/>
      </c>
      <c r="F961" s="11"/>
      <c r="G961" t="str">
        <f>IFERROR(VLOOKUP(F961,'Products Index'!$A:$B,2,FALSE),"")</f>
        <v/>
      </c>
      <c r="H961" s="11"/>
      <c r="I961" s="12"/>
      <c r="J961" s="15"/>
      <c r="K961" s="16">
        <f t="shared" si="42"/>
        <v>0</v>
      </c>
      <c r="L961" s="16">
        <f t="shared" si="43"/>
        <v>0</v>
      </c>
      <c r="M961" s="16">
        <f>IFERROR(AVERAGEIF('Production Batches'!$C:$C,F961,'Production Batches'!$L:$L),0)</f>
        <v>0</v>
      </c>
      <c r="N961" s="16">
        <f t="shared" si="44"/>
        <v>0</v>
      </c>
      <c r="P961" s="11"/>
      <c r="Q961" s="30"/>
    </row>
    <row r="962" spans="2:17">
      <c r="B962" s="30"/>
      <c r="C962" s="11"/>
      <c r="D962" s="11"/>
      <c r="E962" t="str">
        <f>IFERROR(VLOOKUP(D962,Customers!$A:$B,2,FALSE),"")</f>
        <v/>
      </c>
      <c r="F962" s="11"/>
      <c r="G962" t="str">
        <f>IFERROR(VLOOKUP(F962,'Products Index'!$A:$B,2,FALSE),"")</f>
        <v/>
      </c>
      <c r="H962" s="11"/>
      <c r="I962" s="12"/>
      <c r="J962" s="15"/>
      <c r="K962" s="16">
        <f t="shared" ref="K962:K1001" si="45">IFERROR(I962*(1-J962),0)</f>
        <v>0</v>
      </c>
      <c r="L962" s="16">
        <f t="shared" ref="L962:L1001" si="46">IFERROR(K962*H962,0)</f>
        <v>0</v>
      </c>
      <c r="M962" s="16">
        <f>IFERROR(AVERAGEIF('Production Batches'!$C:$C,F962,'Production Batches'!$L:$L),0)</f>
        <v>0</v>
      </c>
      <c r="N962" s="16">
        <f t="shared" ref="N962:N1001" si="47">IFERROR(L962-(M962*H962),0)</f>
        <v>0</v>
      </c>
      <c r="P962" s="11"/>
      <c r="Q962" s="30"/>
    </row>
    <row r="963" spans="2:17">
      <c r="B963" s="30"/>
      <c r="C963" s="11"/>
      <c r="D963" s="11"/>
      <c r="E963" t="str">
        <f>IFERROR(VLOOKUP(D963,Customers!$A:$B,2,FALSE),"")</f>
        <v/>
      </c>
      <c r="F963" s="11"/>
      <c r="G963" t="str">
        <f>IFERROR(VLOOKUP(F963,'Products Index'!$A:$B,2,FALSE),"")</f>
        <v/>
      </c>
      <c r="H963" s="11"/>
      <c r="I963" s="12"/>
      <c r="J963" s="15"/>
      <c r="K963" s="16">
        <f t="shared" si="45"/>
        <v>0</v>
      </c>
      <c r="L963" s="16">
        <f t="shared" si="46"/>
        <v>0</v>
      </c>
      <c r="M963" s="16">
        <f>IFERROR(AVERAGEIF('Production Batches'!$C:$C,F963,'Production Batches'!$L:$L),0)</f>
        <v>0</v>
      </c>
      <c r="N963" s="16">
        <f t="shared" si="47"/>
        <v>0</v>
      </c>
      <c r="P963" s="11"/>
      <c r="Q963" s="30"/>
    </row>
    <row r="964" spans="2:17">
      <c r="B964" s="30"/>
      <c r="C964" s="11"/>
      <c r="D964" s="11"/>
      <c r="E964" t="str">
        <f>IFERROR(VLOOKUP(D964,Customers!$A:$B,2,FALSE),"")</f>
        <v/>
      </c>
      <c r="F964" s="11"/>
      <c r="G964" t="str">
        <f>IFERROR(VLOOKUP(F964,'Products Index'!$A:$B,2,FALSE),"")</f>
        <v/>
      </c>
      <c r="H964" s="11"/>
      <c r="I964" s="12"/>
      <c r="J964" s="15"/>
      <c r="K964" s="16">
        <f t="shared" si="45"/>
        <v>0</v>
      </c>
      <c r="L964" s="16">
        <f t="shared" si="46"/>
        <v>0</v>
      </c>
      <c r="M964" s="16">
        <f>IFERROR(AVERAGEIF('Production Batches'!$C:$C,F964,'Production Batches'!$L:$L),0)</f>
        <v>0</v>
      </c>
      <c r="N964" s="16">
        <f t="shared" si="47"/>
        <v>0</v>
      </c>
      <c r="P964" s="11"/>
      <c r="Q964" s="30"/>
    </row>
    <row r="965" spans="2:17">
      <c r="B965" s="30"/>
      <c r="C965" s="11"/>
      <c r="D965" s="11"/>
      <c r="E965" t="str">
        <f>IFERROR(VLOOKUP(D965,Customers!$A:$B,2,FALSE),"")</f>
        <v/>
      </c>
      <c r="F965" s="11"/>
      <c r="G965" t="str">
        <f>IFERROR(VLOOKUP(F965,'Products Index'!$A:$B,2,FALSE),"")</f>
        <v/>
      </c>
      <c r="H965" s="11"/>
      <c r="I965" s="12"/>
      <c r="J965" s="15"/>
      <c r="K965" s="16">
        <f t="shared" si="45"/>
        <v>0</v>
      </c>
      <c r="L965" s="16">
        <f t="shared" si="46"/>
        <v>0</v>
      </c>
      <c r="M965" s="16">
        <f>IFERROR(AVERAGEIF('Production Batches'!$C:$C,F965,'Production Batches'!$L:$L),0)</f>
        <v>0</v>
      </c>
      <c r="N965" s="16">
        <f t="shared" si="47"/>
        <v>0</v>
      </c>
      <c r="P965" s="11"/>
      <c r="Q965" s="30"/>
    </row>
    <row r="966" spans="2:17">
      <c r="B966" s="30"/>
      <c r="C966" s="11"/>
      <c r="D966" s="11"/>
      <c r="E966" t="str">
        <f>IFERROR(VLOOKUP(D966,Customers!$A:$B,2,FALSE),"")</f>
        <v/>
      </c>
      <c r="F966" s="11"/>
      <c r="G966" t="str">
        <f>IFERROR(VLOOKUP(F966,'Products Index'!$A:$B,2,FALSE),"")</f>
        <v/>
      </c>
      <c r="H966" s="11"/>
      <c r="I966" s="12"/>
      <c r="J966" s="15"/>
      <c r="K966" s="16">
        <f t="shared" si="45"/>
        <v>0</v>
      </c>
      <c r="L966" s="16">
        <f t="shared" si="46"/>
        <v>0</v>
      </c>
      <c r="M966" s="16">
        <f>IFERROR(AVERAGEIF('Production Batches'!$C:$C,F966,'Production Batches'!$L:$L),0)</f>
        <v>0</v>
      </c>
      <c r="N966" s="16">
        <f t="shared" si="47"/>
        <v>0</v>
      </c>
      <c r="P966" s="11"/>
      <c r="Q966" s="30"/>
    </row>
    <row r="967" spans="2:17">
      <c r="B967" s="30"/>
      <c r="C967" s="11"/>
      <c r="D967" s="11"/>
      <c r="E967" t="str">
        <f>IFERROR(VLOOKUP(D967,Customers!$A:$B,2,FALSE),"")</f>
        <v/>
      </c>
      <c r="F967" s="11"/>
      <c r="G967" t="str">
        <f>IFERROR(VLOOKUP(F967,'Products Index'!$A:$B,2,FALSE),"")</f>
        <v/>
      </c>
      <c r="H967" s="11"/>
      <c r="I967" s="12"/>
      <c r="J967" s="15"/>
      <c r="K967" s="16">
        <f t="shared" si="45"/>
        <v>0</v>
      </c>
      <c r="L967" s="16">
        <f t="shared" si="46"/>
        <v>0</v>
      </c>
      <c r="M967" s="16">
        <f>IFERROR(AVERAGEIF('Production Batches'!$C:$C,F967,'Production Batches'!$L:$L),0)</f>
        <v>0</v>
      </c>
      <c r="N967" s="16">
        <f t="shared" si="47"/>
        <v>0</v>
      </c>
      <c r="P967" s="11"/>
      <c r="Q967" s="30"/>
    </row>
    <row r="968" spans="2:17">
      <c r="B968" s="30"/>
      <c r="C968" s="11"/>
      <c r="D968" s="11"/>
      <c r="E968" t="str">
        <f>IFERROR(VLOOKUP(D968,Customers!$A:$B,2,FALSE),"")</f>
        <v/>
      </c>
      <c r="F968" s="11"/>
      <c r="G968" t="str">
        <f>IFERROR(VLOOKUP(F968,'Products Index'!$A:$B,2,FALSE),"")</f>
        <v/>
      </c>
      <c r="H968" s="11"/>
      <c r="I968" s="12"/>
      <c r="J968" s="15"/>
      <c r="K968" s="16">
        <f t="shared" si="45"/>
        <v>0</v>
      </c>
      <c r="L968" s="16">
        <f t="shared" si="46"/>
        <v>0</v>
      </c>
      <c r="M968" s="16">
        <f>IFERROR(AVERAGEIF('Production Batches'!$C:$C,F968,'Production Batches'!$L:$L),0)</f>
        <v>0</v>
      </c>
      <c r="N968" s="16">
        <f t="shared" si="47"/>
        <v>0</v>
      </c>
      <c r="P968" s="11"/>
      <c r="Q968" s="30"/>
    </row>
    <row r="969" spans="2:17">
      <c r="B969" s="30"/>
      <c r="C969" s="11"/>
      <c r="D969" s="11"/>
      <c r="E969" t="str">
        <f>IFERROR(VLOOKUP(D969,Customers!$A:$B,2,FALSE),"")</f>
        <v/>
      </c>
      <c r="F969" s="11"/>
      <c r="G969" t="str">
        <f>IFERROR(VLOOKUP(F969,'Products Index'!$A:$B,2,FALSE),"")</f>
        <v/>
      </c>
      <c r="H969" s="11"/>
      <c r="I969" s="12"/>
      <c r="J969" s="15"/>
      <c r="K969" s="16">
        <f t="shared" si="45"/>
        <v>0</v>
      </c>
      <c r="L969" s="16">
        <f t="shared" si="46"/>
        <v>0</v>
      </c>
      <c r="M969" s="16">
        <f>IFERROR(AVERAGEIF('Production Batches'!$C:$C,F969,'Production Batches'!$L:$L),0)</f>
        <v>0</v>
      </c>
      <c r="N969" s="16">
        <f t="shared" si="47"/>
        <v>0</v>
      </c>
      <c r="P969" s="11"/>
      <c r="Q969" s="30"/>
    </row>
    <row r="970" spans="2:17">
      <c r="B970" s="30"/>
      <c r="C970" s="11"/>
      <c r="D970" s="11"/>
      <c r="E970" t="str">
        <f>IFERROR(VLOOKUP(D970,Customers!$A:$B,2,FALSE),"")</f>
        <v/>
      </c>
      <c r="F970" s="11"/>
      <c r="G970" t="str">
        <f>IFERROR(VLOOKUP(F970,'Products Index'!$A:$B,2,FALSE),"")</f>
        <v/>
      </c>
      <c r="H970" s="11"/>
      <c r="I970" s="12"/>
      <c r="J970" s="15"/>
      <c r="K970" s="16">
        <f t="shared" si="45"/>
        <v>0</v>
      </c>
      <c r="L970" s="16">
        <f t="shared" si="46"/>
        <v>0</v>
      </c>
      <c r="M970" s="16">
        <f>IFERROR(AVERAGEIF('Production Batches'!$C:$C,F970,'Production Batches'!$L:$L),0)</f>
        <v>0</v>
      </c>
      <c r="N970" s="16">
        <f t="shared" si="47"/>
        <v>0</v>
      </c>
      <c r="P970" s="11"/>
      <c r="Q970" s="30"/>
    </row>
    <row r="971" spans="2:17">
      <c r="B971" s="30"/>
      <c r="C971" s="11"/>
      <c r="D971" s="11"/>
      <c r="E971" t="str">
        <f>IFERROR(VLOOKUP(D971,Customers!$A:$B,2,FALSE),"")</f>
        <v/>
      </c>
      <c r="F971" s="11"/>
      <c r="G971" t="str">
        <f>IFERROR(VLOOKUP(F971,'Products Index'!$A:$B,2,FALSE),"")</f>
        <v/>
      </c>
      <c r="H971" s="11"/>
      <c r="I971" s="12"/>
      <c r="J971" s="15"/>
      <c r="K971" s="16">
        <f t="shared" si="45"/>
        <v>0</v>
      </c>
      <c r="L971" s="16">
        <f t="shared" si="46"/>
        <v>0</v>
      </c>
      <c r="M971" s="16">
        <f>IFERROR(AVERAGEIF('Production Batches'!$C:$C,F971,'Production Batches'!$L:$L),0)</f>
        <v>0</v>
      </c>
      <c r="N971" s="16">
        <f t="shared" si="47"/>
        <v>0</v>
      </c>
      <c r="P971" s="11"/>
      <c r="Q971" s="30"/>
    </row>
    <row r="972" spans="2:17">
      <c r="B972" s="30"/>
      <c r="C972" s="11"/>
      <c r="D972" s="11"/>
      <c r="E972" t="str">
        <f>IFERROR(VLOOKUP(D972,Customers!$A:$B,2,FALSE),"")</f>
        <v/>
      </c>
      <c r="F972" s="11"/>
      <c r="G972" t="str">
        <f>IFERROR(VLOOKUP(F972,'Products Index'!$A:$B,2,FALSE),"")</f>
        <v/>
      </c>
      <c r="H972" s="11"/>
      <c r="I972" s="12"/>
      <c r="J972" s="15"/>
      <c r="K972" s="16">
        <f t="shared" si="45"/>
        <v>0</v>
      </c>
      <c r="L972" s="16">
        <f t="shared" si="46"/>
        <v>0</v>
      </c>
      <c r="M972" s="16">
        <f>IFERROR(AVERAGEIF('Production Batches'!$C:$C,F972,'Production Batches'!$L:$L),0)</f>
        <v>0</v>
      </c>
      <c r="N972" s="16">
        <f t="shared" si="47"/>
        <v>0</v>
      </c>
      <c r="P972" s="11"/>
      <c r="Q972" s="30"/>
    </row>
    <row r="973" spans="2:17">
      <c r="B973" s="30"/>
      <c r="C973" s="11"/>
      <c r="D973" s="11"/>
      <c r="E973" t="str">
        <f>IFERROR(VLOOKUP(D973,Customers!$A:$B,2,FALSE),"")</f>
        <v/>
      </c>
      <c r="F973" s="11"/>
      <c r="G973" t="str">
        <f>IFERROR(VLOOKUP(F973,'Products Index'!$A:$B,2,FALSE),"")</f>
        <v/>
      </c>
      <c r="H973" s="11"/>
      <c r="I973" s="12"/>
      <c r="J973" s="15"/>
      <c r="K973" s="16">
        <f t="shared" si="45"/>
        <v>0</v>
      </c>
      <c r="L973" s="16">
        <f t="shared" si="46"/>
        <v>0</v>
      </c>
      <c r="M973" s="16">
        <f>IFERROR(AVERAGEIF('Production Batches'!$C:$C,F973,'Production Batches'!$L:$L),0)</f>
        <v>0</v>
      </c>
      <c r="N973" s="16">
        <f t="shared" si="47"/>
        <v>0</v>
      </c>
      <c r="P973" s="11"/>
      <c r="Q973" s="30"/>
    </row>
    <row r="974" spans="2:17">
      <c r="B974" s="30"/>
      <c r="C974" s="11"/>
      <c r="D974" s="11"/>
      <c r="E974" t="str">
        <f>IFERROR(VLOOKUP(D974,Customers!$A:$B,2,FALSE),"")</f>
        <v/>
      </c>
      <c r="F974" s="11"/>
      <c r="G974" t="str">
        <f>IFERROR(VLOOKUP(F974,'Products Index'!$A:$B,2,FALSE),"")</f>
        <v/>
      </c>
      <c r="H974" s="11"/>
      <c r="I974" s="12"/>
      <c r="J974" s="15"/>
      <c r="K974" s="16">
        <f t="shared" si="45"/>
        <v>0</v>
      </c>
      <c r="L974" s="16">
        <f t="shared" si="46"/>
        <v>0</v>
      </c>
      <c r="M974" s="16">
        <f>IFERROR(AVERAGEIF('Production Batches'!$C:$C,F974,'Production Batches'!$L:$L),0)</f>
        <v>0</v>
      </c>
      <c r="N974" s="16">
        <f t="shared" si="47"/>
        <v>0</v>
      </c>
      <c r="P974" s="11"/>
      <c r="Q974" s="30"/>
    </row>
    <row r="975" spans="2:17">
      <c r="B975" s="30"/>
      <c r="C975" s="11"/>
      <c r="D975" s="11"/>
      <c r="E975" t="str">
        <f>IFERROR(VLOOKUP(D975,Customers!$A:$B,2,FALSE),"")</f>
        <v/>
      </c>
      <c r="F975" s="11"/>
      <c r="G975" t="str">
        <f>IFERROR(VLOOKUP(F975,'Products Index'!$A:$B,2,FALSE),"")</f>
        <v/>
      </c>
      <c r="H975" s="11"/>
      <c r="I975" s="12"/>
      <c r="J975" s="15"/>
      <c r="K975" s="16">
        <f t="shared" si="45"/>
        <v>0</v>
      </c>
      <c r="L975" s="16">
        <f t="shared" si="46"/>
        <v>0</v>
      </c>
      <c r="M975" s="16">
        <f>IFERROR(AVERAGEIF('Production Batches'!$C:$C,F975,'Production Batches'!$L:$L),0)</f>
        <v>0</v>
      </c>
      <c r="N975" s="16">
        <f t="shared" si="47"/>
        <v>0</v>
      </c>
      <c r="P975" s="11"/>
      <c r="Q975" s="30"/>
    </row>
    <row r="976" spans="2:17">
      <c r="B976" s="30"/>
      <c r="C976" s="11"/>
      <c r="D976" s="11"/>
      <c r="E976" t="str">
        <f>IFERROR(VLOOKUP(D976,Customers!$A:$B,2,FALSE),"")</f>
        <v/>
      </c>
      <c r="F976" s="11"/>
      <c r="G976" t="str">
        <f>IFERROR(VLOOKUP(F976,'Products Index'!$A:$B,2,FALSE),"")</f>
        <v/>
      </c>
      <c r="H976" s="11"/>
      <c r="I976" s="12"/>
      <c r="J976" s="15"/>
      <c r="K976" s="16">
        <f t="shared" si="45"/>
        <v>0</v>
      </c>
      <c r="L976" s="16">
        <f t="shared" si="46"/>
        <v>0</v>
      </c>
      <c r="M976" s="16">
        <f>IFERROR(AVERAGEIF('Production Batches'!$C:$C,F976,'Production Batches'!$L:$L),0)</f>
        <v>0</v>
      </c>
      <c r="N976" s="16">
        <f t="shared" si="47"/>
        <v>0</v>
      </c>
      <c r="P976" s="11"/>
      <c r="Q976" s="30"/>
    </row>
    <row r="977" spans="2:17">
      <c r="B977" s="30"/>
      <c r="C977" s="11"/>
      <c r="D977" s="11"/>
      <c r="E977" t="str">
        <f>IFERROR(VLOOKUP(D977,Customers!$A:$B,2,FALSE),"")</f>
        <v/>
      </c>
      <c r="F977" s="11"/>
      <c r="G977" t="str">
        <f>IFERROR(VLOOKUP(F977,'Products Index'!$A:$B,2,FALSE),"")</f>
        <v/>
      </c>
      <c r="H977" s="11"/>
      <c r="I977" s="12"/>
      <c r="J977" s="15"/>
      <c r="K977" s="16">
        <f t="shared" si="45"/>
        <v>0</v>
      </c>
      <c r="L977" s="16">
        <f t="shared" si="46"/>
        <v>0</v>
      </c>
      <c r="M977" s="16">
        <f>IFERROR(AVERAGEIF('Production Batches'!$C:$C,F977,'Production Batches'!$L:$L),0)</f>
        <v>0</v>
      </c>
      <c r="N977" s="16">
        <f t="shared" si="47"/>
        <v>0</v>
      </c>
      <c r="P977" s="11"/>
      <c r="Q977" s="30"/>
    </row>
    <row r="978" spans="2:17">
      <c r="B978" s="30"/>
      <c r="C978" s="11"/>
      <c r="D978" s="11"/>
      <c r="E978" t="str">
        <f>IFERROR(VLOOKUP(D978,Customers!$A:$B,2,FALSE),"")</f>
        <v/>
      </c>
      <c r="F978" s="11"/>
      <c r="G978" t="str">
        <f>IFERROR(VLOOKUP(F978,'Products Index'!$A:$B,2,FALSE),"")</f>
        <v/>
      </c>
      <c r="H978" s="11"/>
      <c r="I978" s="12"/>
      <c r="J978" s="15"/>
      <c r="K978" s="16">
        <f t="shared" si="45"/>
        <v>0</v>
      </c>
      <c r="L978" s="16">
        <f t="shared" si="46"/>
        <v>0</v>
      </c>
      <c r="M978" s="16">
        <f>IFERROR(AVERAGEIF('Production Batches'!$C:$C,F978,'Production Batches'!$L:$L),0)</f>
        <v>0</v>
      </c>
      <c r="N978" s="16">
        <f t="shared" si="47"/>
        <v>0</v>
      </c>
      <c r="P978" s="11"/>
      <c r="Q978" s="30"/>
    </row>
    <row r="979" spans="2:17">
      <c r="B979" s="30"/>
      <c r="C979" s="11"/>
      <c r="D979" s="11"/>
      <c r="E979" t="str">
        <f>IFERROR(VLOOKUP(D979,Customers!$A:$B,2,FALSE),"")</f>
        <v/>
      </c>
      <c r="F979" s="11"/>
      <c r="G979" t="str">
        <f>IFERROR(VLOOKUP(F979,'Products Index'!$A:$B,2,FALSE),"")</f>
        <v/>
      </c>
      <c r="H979" s="11"/>
      <c r="I979" s="12"/>
      <c r="J979" s="15"/>
      <c r="K979" s="16">
        <f t="shared" si="45"/>
        <v>0</v>
      </c>
      <c r="L979" s="16">
        <f t="shared" si="46"/>
        <v>0</v>
      </c>
      <c r="M979" s="16">
        <f>IFERROR(AVERAGEIF('Production Batches'!$C:$C,F979,'Production Batches'!$L:$L),0)</f>
        <v>0</v>
      </c>
      <c r="N979" s="16">
        <f t="shared" si="47"/>
        <v>0</v>
      </c>
      <c r="P979" s="11"/>
      <c r="Q979" s="30"/>
    </row>
    <row r="980" spans="2:17">
      <c r="B980" s="30"/>
      <c r="C980" s="11"/>
      <c r="D980" s="11"/>
      <c r="E980" t="str">
        <f>IFERROR(VLOOKUP(D980,Customers!$A:$B,2,FALSE),"")</f>
        <v/>
      </c>
      <c r="F980" s="11"/>
      <c r="G980" t="str">
        <f>IFERROR(VLOOKUP(F980,'Products Index'!$A:$B,2,FALSE),"")</f>
        <v/>
      </c>
      <c r="H980" s="11"/>
      <c r="I980" s="12"/>
      <c r="J980" s="15"/>
      <c r="K980" s="16">
        <f t="shared" si="45"/>
        <v>0</v>
      </c>
      <c r="L980" s="16">
        <f t="shared" si="46"/>
        <v>0</v>
      </c>
      <c r="M980" s="16">
        <f>IFERROR(AVERAGEIF('Production Batches'!$C:$C,F980,'Production Batches'!$L:$L),0)</f>
        <v>0</v>
      </c>
      <c r="N980" s="16">
        <f t="shared" si="47"/>
        <v>0</v>
      </c>
      <c r="P980" s="11"/>
      <c r="Q980" s="30"/>
    </row>
    <row r="981" spans="2:17">
      <c r="B981" s="30"/>
      <c r="C981" s="11"/>
      <c r="D981" s="11"/>
      <c r="E981" t="str">
        <f>IFERROR(VLOOKUP(D981,Customers!$A:$B,2,FALSE),"")</f>
        <v/>
      </c>
      <c r="F981" s="11"/>
      <c r="G981" t="str">
        <f>IFERROR(VLOOKUP(F981,'Products Index'!$A:$B,2,FALSE),"")</f>
        <v/>
      </c>
      <c r="H981" s="11"/>
      <c r="I981" s="12"/>
      <c r="J981" s="15"/>
      <c r="K981" s="16">
        <f t="shared" si="45"/>
        <v>0</v>
      </c>
      <c r="L981" s="16">
        <f t="shared" si="46"/>
        <v>0</v>
      </c>
      <c r="M981" s="16">
        <f>IFERROR(AVERAGEIF('Production Batches'!$C:$C,F981,'Production Batches'!$L:$L),0)</f>
        <v>0</v>
      </c>
      <c r="N981" s="16">
        <f t="shared" si="47"/>
        <v>0</v>
      </c>
      <c r="P981" s="11"/>
      <c r="Q981" s="30"/>
    </row>
    <row r="982" spans="2:17">
      <c r="B982" s="30"/>
      <c r="C982" s="11"/>
      <c r="D982" s="11"/>
      <c r="E982" t="str">
        <f>IFERROR(VLOOKUP(D982,Customers!$A:$B,2,FALSE),"")</f>
        <v/>
      </c>
      <c r="F982" s="11"/>
      <c r="G982" t="str">
        <f>IFERROR(VLOOKUP(F982,'Products Index'!$A:$B,2,FALSE),"")</f>
        <v/>
      </c>
      <c r="H982" s="11"/>
      <c r="I982" s="12"/>
      <c r="J982" s="15"/>
      <c r="K982" s="16">
        <f t="shared" si="45"/>
        <v>0</v>
      </c>
      <c r="L982" s="16">
        <f t="shared" si="46"/>
        <v>0</v>
      </c>
      <c r="M982" s="16">
        <f>IFERROR(AVERAGEIF('Production Batches'!$C:$C,F982,'Production Batches'!$L:$L),0)</f>
        <v>0</v>
      </c>
      <c r="N982" s="16">
        <f t="shared" si="47"/>
        <v>0</v>
      </c>
      <c r="P982" s="11"/>
      <c r="Q982" s="30"/>
    </row>
    <row r="983" spans="2:17">
      <c r="B983" s="30"/>
      <c r="C983" s="11"/>
      <c r="D983" s="11"/>
      <c r="E983" t="str">
        <f>IFERROR(VLOOKUP(D983,Customers!$A:$B,2,FALSE),"")</f>
        <v/>
      </c>
      <c r="F983" s="11"/>
      <c r="G983" t="str">
        <f>IFERROR(VLOOKUP(F983,'Products Index'!$A:$B,2,FALSE),"")</f>
        <v/>
      </c>
      <c r="H983" s="11"/>
      <c r="I983" s="12"/>
      <c r="J983" s="15"/>
      <c r="K983" s="16">
        <f t="shared" si="45"/>
        <v>0</v>
      </c>
      <c r="L983" s="16">
        <f t="shared" si="46"/>
        <v>0</v>
      </c>
      <c r="M983" s="16">
        <f>IFERROR(AVERAGEIF('Production Batches'!$C:$C,F983,'Production Batches'!$L:$L),0)</f>
        <v>0</v>
      </c>
      <c r="N983" s="16">
        <f t="shared" si="47"/>
        <v>0</v>
      </c>
      <c r="P983" s="11"/>
      <c r="Q983" s="30"/>
    </row>
    <row r="984" spans="2:17">
      <c r="B984" s="30"/>
      <c r="C984" s="11"/>
      <c r="D984" s="11"/>
      <c r="E984" t="str">
        <f>IFERROR(VLOOKUP(D984,Customers!$A:$B,2,FALSE),"")</f>
        <v/>
      </c>
      <c r="F984" s="11"/>
      <c r="G984" t="str">
        <f>IFERROR(VLOOKUP(F984,'Products Index'!$A:$B,2,FALSE),"")</f>
        <v/>
      </c>
      <c r="H984" s="11"/>
      <c r="I984" s="12"/>
      <c r="J984" s="15"/>
      <c r="K984" s="16">
        <f t="shared" si="45"/>
        <v>0</v>
      </c>
      <c r="L984" s="16">
        <f t="shared" si="46"/>
        <v>0</v>
      </c>
      <c r="M984" s="16">
        <f>IFERROR(AVERAGEIF('Production Batches'!$C:$C,F984,'Production Batches'!$L:$L),0)</f>
        <v>0</v>
      </c>
      <c r="N984" s="16">
        <f t="shared" si="47"/>
        <v>0</v>
      </c>
      <c r="P984" s="11"/>
      <c r="Q984" s="30"/>
    </row>
    <row r="985" spans="2:17">
      <c r="B985" s="30"/>
      <c r="C985" s="11"/>
      <c r="D985" s="11"/>
      <c r="E985" t="str">
        <f>IFERROR(VLOOKUP(D985,Customers!$A:$B,2,FALSE),"")</f>
        <v/>
      </c>
      <c r="F985" s="11"/>
      <c r="G985" t="str">
        <f>IFERROR(VLOOKUP(F985,'Products Index'!$A:$B,2,FALSE),"")</f>
        <v/>
      </c>
      <c r="H985" s="11"/>
      <c r="I985" s="12"/>
      <c r="J985" s="15"/>
      <c r="K985" s="16">
        <f t="shared" si="45"/>
        <v>0</v>
      </c>
      <c r="L985" s="16">
        <f t="shared" si="46"/>
        <v>0</v>
      </c>
      <c r="M985" s="16">
        <f>IFERROR(AVERAGEIF('Production Batches'!$C:$C,F985,'Production Batches'!$L:$L),0)</f>
        <v>0</v>
      </c>
      <c r="N985" s="16">
        <f t="shared" si="47"/>
        <v>0</v>
      </c>
      <c r="P985" s="11"/>
      <c r="Q985" s="30"/>
    </row>
    <row r="986" spans="2:17">
      <c r="B986" s="30"/>
      <c r="C986" s="11"/>
      <c r="D986" s="11"/>
      <c r="E986" t="str">
        <f>IFERROR(VLOOKUP(D986,Customers!$A:$B,2,FALSE),"")</f>
        <v/>
      </c>
      <c r="F986" s="11"/>
      <c r="G986" t="str">
        <f>IFERROR(VLOOKUP(F986,'Products Index'!$A:$B,2,FALSE),"")</f>
        <v/>
      </c>
      <c r="H986" s="11"/>
      <c r="I986" s="12"/>
      <c r="J986" s="15"/>
      <c r="K986" s="16">
        <f t="shared" si="45"/>
        <v>0</v>
      </c>
      <c r="L986" s="16">
        <f t="shared" si="46"/>
        <v>0</v>
      </c>
      <c r="M986" s="16">
        <f>IFERROR(AVERAGEIF('Production Batches'!$C:$C,F986,'Production Batches'!$L:$L),0)</f>
        <v>0</v>
      </c>
      <c r="N986" s="16">
        <f t="shared" si="47"/>
        <v>0</v>
      </c>
      <c r="P986" s="11"/>
      <c r="Q986" s="30"/>
    </row>
    <row r="987" spans="2:17">
      <c r="B987" s="30"/>
      <c r="C987" s="11"/>
      <c r="D987" s="11"/>
      <c r="E987" t="str">
        <f>IFERROR(VLOOKUP(D987,Customers!$A:$B,2,FALSE),"")</f>
        <v/>
      </c>
      <c r="F987" s="11"/>
      <c r="G987" t="str">
        <f>IFERROR(VLOOKUP(F987,'Products Index'!$A:$B,2,FALSE),"")</f>
        <v/>
      </c>
      <c r="H987" s="11"/>
      <c r="I987" s="12"/>
      <c r="J987" s="15"/>
      <c r="K987" s="16">
        <f t="shared" si="45"/>
        <v>0</v>
      </c>
      <c r="L987" s="16">
        <f t="shared" si="46"/>
        <v>0</v>
      </c>
      <c r="M987" s="16">
        <f>IFERROR(AVERAGEIF('Production Batches'!$C:$C,F987,'Production Batches'!$L:$L),0)</f>
        <v>0</v>
      </c>
      <c r="N987" s="16">
        <f t="shared" si="47"/>
        <v>0</v>
      </c>
      <c r="P987" s="11"/>
      <c r="Q987" s="30"/>
    </row>
    <row r="988" spans="2:17">
      <c r="B988" s="30"/>
      <c r="C988" s="11"/>
      <c r="D988" s="11"/>
      <c r="E988" t="str">
        <f>IFERROR(VLOOKUP(D988,Customers!$A:$B,2,FALSE),"")</f>
        <v/>
      </c>
      <c r="F988" s="11"/>
      <c r="G988" t="str">
        <f>IFERROR(VLOOKUP(F988,'Products Index'!$A:$B,2,FALSE),"")</f>
        <v/>
      </c>
      <c r="H988" s="11"/>
      <c r="I988" s="12"/>
      <c r="J988" s="15"/>
      <c r="K988" s="16">
        <f t="shared" si="45"/>
        <v>0</v>
      </c>
      <c r="L988" s="16">
        <f t="shared" si="46"/>
        <v>0</v>
      </c>
      <c r="M988" s="16">
        <f>IFERROR(AVERAGEIF('Production Batches'!$C:$C,F988,'Production Batches'!$L:$L),0)</f>
        <v>0</v>
      </c>
      <c r="N988" s="16">
        <f t="shared" si="47"/>
        <v>0</v>
      </c>
      <c r="P988" s="11"/>
      <c r="Q988" s="30"/>
    </row>
    <row r="989" spans="2:17">
      <c r="B989" s="30"/>
      <c r="C989" s="11"/>
      <c r="D989" s="11"/>
      <c r="E989" t="str">
        <f>IFERROR(VLOOKUP(D989,Customers!$A:$B,2,FALSE),"")</f>
        <v/>
      </c>
      <c r="F989" s="11"/>
      <c r="G989" t="str">
        <f>IFERROR(VLOOKUP(F989,'Products Index'!$A:$B,2,FALSE),"")</f>
        <v/>
      </c>
      <c r="H989" s="11"/>
      <c r="I989" s="12"/>
      <c r="J989" s="15"/>
      <c r="K989" s="16">
        <f t="shared" si="45"/>
        <v>0</v>
      </c>
      <c r="L989" s="16">
        <f t="shared" si="46"/>
        <v>0</v>
      </c>
      <c r="M989" s="16">
        <f>IFERROR(AVERAGEIF('Production Batches'!$C:$C,F989,'Production Batches'!$L:$L),0)</f>
        <v>0</v>
      </c>
      <c r="N989" s="16">
        <f t="shared" si="47"/>
        <v>0</v>
      </c>
      <c r="P989" s="11"/>
      <c r="Q989" s="30"/>
    </row>
    <row r="990" spans="2:17">
      <c r="B990" s="30"/>
      <c r="C990" s="11"/>
      <c r="D990" s="11"/>
      <c r="E990" t="str">
        <f>IFERROR(VLOOKUP(D990,Customers!$A:$B,2,FALSE),"")</f>
        <v/>
      </c>
      <c r="F990" s="11"/>
      <c r="G990" t="str">
        <f>IFERROR(VLOOKUP(F990,'Products Index'!$A:$B,2,FALSE),"")</f>
        <v/>
      </c>
      <c r="H990" s="11"/>
      <c r="I990" s="12"/>
      <c r="J990" s="15"/>
      <c r="K990" s="16">
        <f t="shared" si="45"/>
        <v>0</v>
      </c>
      <c r="L990" s="16">
        <f t="shared" si="46"/>
        <v>0</v>
      </c>
      <c r="M990" s="16">
        <f>IFERROR(AVERAGEIF('Production Batches'!$C:$C,F990,'Production Batches'!$L:$L),0)</f>
        <v>0</v>
      </c>
      <c r="N990" s="16">
        <f t="shared" si="47"/>
        <v>0</v>
      </c>
      <c r="P990" s="11"/>
      <c r="Q990" s="30"/>
    </row>
    <row r="991" spans="2:17">
      <c r="B991" s="30"/>
      <c r="C991" s="11"/>
      <c r="D991" s="11"/>
      <c r="E991" t="str">
        <f>IFERROR(VLOOKUP(D991,Customers!$A:$B,2,FALSE),"")</f>
        <v/>
      </c>
      <c r="F991" s="11"/>
      <c r="G991" t="str">
        <f>IFERROR(VLOOKUP(F991,'Products Index'!$A:$B,2,FALSE),"")</f>
        <v/>
      </c>
      <c r="H991" s="11"/>
      <c r="I991" s="12"/>
      <c r="J991" s="15"/>
      <c r="K991" s="16">
        <f t="shared" si="45"/>
        <v>0</v>
      </c>
      <c r="L991" s="16">
        <f t="shared" si="46"/>
        <v>0</v>
      </c>
      <c r="M991" s="16">
        <f>IFERROR(AVERAGEIF('Production Batches'!$C:$C,F991,'Production Batches'!$L:$L),0)</f>
        <v>0</v>
      </c>
      <c r="N991" s="16">
        <f t="shared" si="47"/>
        <v>0</v>
      </c>
      <c r="P991" s="11"/>
      <c r="Q991" s="30"/>
    </row>
    <row r="992" spans="2:17">
      <c r="B992" s="30"/>
      <c r="C992" s="11"/>
      <c r="D992" s="11"/>
      <c r="E992" t="str">
        <f>IFERROR(VLOOKUP(D992,Customers!$A:$B,2,FALSE),"")</f>
        <v/>
      </c>
      <c r="F992" s="11"/>
      <c r="G992" t="str">
        <f>IFERROR(VLOOKUP(F992,'Products Index'!$A:$B,2,FALSE),"")</f>
        <v/>
      </c>
      <c r="H992" s="11"/>
      <c r="I992" s="12"/>
      <c r="J992" s="15"/>
      <c r="K992" s="16">
        <f t="shared" si="45"/>
        <v>0</v>
      </c>
      <c r="L992" s="16">
        <f t="shared" si="46"/>
        <v>0</v>
      </c>
      <c r="M992" s="16">
        <f>IFERROR(AVERAGEIF('Production Batches'!$C:$C,F992,'Production Batches'!$L:$L),0)</f>
        <v>0</v>
      </c>
      <c r="N992" s="16">
        <f t="shared" si="47"/>
        <v>0</v>
      </c>
      <c r="P992" s="11"/>
      <c r="Q992" s="30"/>
    </row>
    <row r="993" spans="2:17">
      <c r="B993" s="30"/>
      <c r="C993" s="11"/>
      <c r="D993" s="11"/>
      <c r="E993" t="str">
        <f>IFERROR(VLOOKUP(D993,Customers!$A:$B,2,FALSE),"")</f>
        <v/>
      </c>
      <c r="F993" s="11"/>
      <c r="G993" t="str">
        <f>IFERROR(VLOOKUP(F993,'Products Index'!$A:$B,2,FALSE),"")</f>
        <v/>
      </c>
      <c r="H993" s="11"/>
      <c r="I993" s="12"/>
      <c r="J993" s="15"/>
      <c r="K993" s="16">
        <f t="shared" si="45"/>
        <v>0</v>
      </c>
      <c r="L993" s="16">
        <f t="shared" si="46"/>
        <v>0</v>
      </c>
      <c r="M993" s="16">
        <f>IFERROR(AVERAGEIF('Production Batches'!$C:$C,F993,'Production Batches'!$L:$L),0)</f>
        <v>0</v>
      </c>
      <c r="N993" s="16">
        <f t="shared" si="47"/>
        <v>0</v>
      </c>
      <c r="P993" s="11"/>
      <c r="Q993" s="30"/>
    </row>
    <row r="994" spans="2:17">
      <c r="B994" s="30"/>
      <c r="C994" s="11"/>
      <c r="D994" s="11"/>
      <c r="E994" t="str">
        <f>IFERROR(VLOOKUP(D994,Customers!$A:$B,2,FALSE),"")</f>
        <v/>
      </c>
      <c r="F994" s="11"/>
      <c r="G994" t="str">
        <f>IFERROR(VLOOKUP(F994,'Products Index'!$A:$B,2,FALSE),"")</f>
        <v/>
      </c>
      <c r="H994" s="11"/>
      <c r="I994" s="12"/>
      <c r="J994" s="15"/>
      <c r="K994" s="16">
        <f t="shared" si="45"/>
        <v>0</v>
      </c>
      <c r="L994" s="16">
        <f t="shared" si="46"/>
        <v>0</v>
      </c>
      <c r="M994" s="16">
        <f>IFERROR(AVERAGEIF('Production Batches'!$C:$C,F994,'Production Batches'!$L:$L),0)</f>
        <v>0</v>
      </c>
      <c r="N994" s="16">
        <f t="shared" si="47"/>
        <v>0</v>
      </c>
      <c r="P994" s="11"/>
      <c r="Q994" s="30"/>
    </row>
    <row r="995" spans="2:17">
      <c r="B995" s="30"/>
      <c r="C995" s="11"/>
      <c r="D995" s="11"/>
      <c r="E995" t="str">
        <f>IFERROR(VLOOKUP(D995,Customers!$A:$B,2,FALSE),"")</f>
        <v/>
      </c>
      <c r="F995" s="11"/>
      <c r="G995" t="str">
        <f>IFERROR(VLOOKUP(F995,'Products Index'!$A:$B,2,FALSE),"")</f>
        <v/>
      </c>
      <c r="H995" s="11"/>
      <c r="I995" s="12"/>
      <c r="J995" s="15"/>
      <c r="K995" s="16">
        <f t="shared" si="45"/>
        <v>0</v>
      </c>
      <c r="L995" s="16">
        <f t="shared" si="46"/>
        <v>0</v>
      </c>
      <c r="M995" s="16">
        <f>IFERROR(AVERAGEIF('Production Batches'!$C:$C,F995,'Production Batches'!$L:$L),0)</f>
        <v>0</v>
      </c>
      <c r="N995" s="16">
        <f t="shared" si="47"/>
        <v>0</v>
      </c>
      <c r="P995" s="11"/>
      <c r="Q995" s="30"/>
    </row>
    <row r="996" spans="2:17">
      <c r="B996" s="30"/>
      <c r="C996" s="11"/>
      <c r="D996" s="11"/>
      <c r="E996" t="str">
        <f>IFERROR(VLOOKUP(D996,Customers!$A:$B,2,FALSE),"")</f>
        <v/>
      </c>
      <c r="F996" s="11"/>
      <c r="G996" t="str">
        <f>IFERROR(VLOOKUP(F996,'Products Index'!$A:$B,2,FALSE),"")</f>
        <v/>
      </c>
      <c r="H996" s="11"/>
      <c r="I996" s="12"/>
      <c r="J996" s="15"/>
      <c r="K996" s="16">
        <f t="shared" si="45"/>
        <v>0</v>
      </c>
      <c r="L996" s="16">
        <f t="shared" si="46"/>
        <v>0</v>
      </c>
      <c r="M996" s="16">
        <f>IFERROR(AVERAGEIF('Production Batches'!$C:$C,F996,'Production Batches'!$L:$L),0)</f>
        <v>0</v>
      </c>
      <c r="N996" s="16">
        <f t="shared" si="47"/>
        <v>0</v>
      </c>
      <c r="P996" s="11"/>
      <c r="Q996" s="30"/>
    </row>
    <row r="997" spans="2:17">
      <c r="B997" s="30"/>
      <c r="C997" s="11"/>
      <c r="D997" s="11"/>
      <c r="E997" t="str">
        <f>IFERROR(VLOOKUP(D997,Customers!$A:$B,2,FALSE),"")</f>
        <v/>
      </c>
      <c r="F997" s="11"/>
      <c r="G997" t="str">
        <f>IFERROR(VLOOKUP(F997,'Products Index'!$A:$B,2,FALSE),"")</f>
        <v/>
      </c>
      <c r="H997" s="11"/>
      <c r="I997" s="12"/>
      <c r="J997" s="15"/>
      <c r="K997" s="16">
        <f t="shared" si="45"/>
        <v>0</v>
      </c>
      <c r="L997" s="16">
        <f t="shared" si="46"/>
        <v>0</v>
      </c>
      <c r="M997" s="16">
        <f>IFERROR(AVERAGEIF('Production Batches'!$C:$C,F997,'Production Batches'!$L:$L),0)</f>
        <v>0</v>
      </c>
      <c r="N997" s="16">
        <f t="shared" si="47"/>
        <v>0</v>
      </c>
      <c r="P997" s="11"/>
      <c r="Q997" s="30"/>
    </row>
    <row r="998" spans="2:17">
      <c r="B998" s="30"/>
      <c r="C998" s="11"/>
      <c r="D998" s="11"/>
      <c r="E998" t="str">
        <f>IFERROR(VLOOKUP(D998,Customers!$A:$B,2,FALSE),"")</f>
        <v/>
      </c>
      <c r="F998" s="11"/>
      <c r="G998" t="str">
        <f>IFERROR(VLOOKUP(F998,'Products Index'!$A:$B,2,FALSE),"")</f>
        <v/>
      </c>
      <c r="H998" s="11"/>
      <c r="I998" s="12"/>
      <c r="J998" s="15"/>
      <c r="K998" s="16">
        <f t="shared" si="45"/>
        <v>0</v>
      </c>
      <c r="L998" s="16">
        <f t="shared" si="46"/>
        <v>0</v>
      </c>
      <c r="M998" s="16">
        <f>IFERROR(AVERAGEIF('Production Batches'!$C:$C,F998,'Production Batches'!$L:$L),0)</f>
        <v>0</v>
      </c>
      <c r="N998" s="16">
        <f t="shared" si="47"/>
        <v>0</v>
      </c>
      <c r="P998" s="11"/>
      <c r="Q998" s="30"/>
    </row>
    <row r="999" spans="2:17">
      <c r="B999" s="30"/>
      <c r="C999" s="11"/>
      <c r="D999" s="11"/>
      <c r="E999" t="str">
        <f>IFERROR(VLOOKUP(D999,Customers!$A:$B,2,FALSE),"")</f>
        <v/>
      </c>
      <c r="F999" s="11"/>
      <c r="G999" t="str">
        <f>IFERROR(VLOOKUP(F999,'Products Index'!$A:$B,2,FALSE),"")</f>
        <v/>
      </c>
      <c r="H999" s="11"/>
      <c r="I999" s="12"/>
      <c r="J999" s="15"/>
      <c r="K999" s="16">
        <f t="shared" si="45"/>
        <v>0</v>
      </c>
      <c r="L999" s="16">
        <f t="shared" si="46"/>
        <v>0</v>
      </c>
      <c r="M999" s="16">
        <f>IFERROR(AVERAGEIF('Production Batches'!$C:$C,F999,'Production Batches'!$L:$L),0)</f>
        <v>0</v>
      </c>
      <c r="N999" s="16">
        <f t="shared" si="47"/>
        <v>0</v>
      </c>
      <c r="P999" s="11"/>
      <c r="Q999" s="30"/>
    </row>
    <row r="1000" spans="2:17">
      <c r="B1000" s="30"/>
      <c r="C1000" s="11"/>
      <c r="D1000" s="11"/>
      <c r="E1000" t="str">
        <f>IFERROR(VLOOKUP(D1000,Customers!$A:$B,2,FALSE),"")</f>
        <v/>
      </c>
      <c r="F1000" s="11"/>
      <c r="G1000" t="str">
        <f>IFERROR(VLOOKUP(F1000,'Products Index'!$A:$B,2,FALSE),"")</f>
        <v/>
      </c>
      <c r="H1000" s="11"/>
      <c r="I1000" s="12"/>
      <c r="J1000" s="15"/>
      <c r="K1000" s="16">
        <f t="shared" si="45"/>
        <v>0</v>
      </c>
      <c r="L1000" s="16">
        <f t="shared" si="46"/>
        <v>0</v>
      </c>
      <c r="M1000" s="16">
        <f>IFERROR(AVERAGEIF('Production Batches'!$C:$C,F1000,'Production Batches'!$L:$L),0)</f>
        <v>0</v>
      </c>
      <c r="N1000" s="16">
        <f t="shared" si="47"/>
        <v>0</v>
      </c>
      <c r="P1000" s="11"/>
      <c r="Q1000" s="30"/>
    </row>
    <row r="1001" spans="2:17">
      <c r="B1001" s="30"/>
      <c r="C1001" s="11"/>
      <c r="D1001" s="11"/>
      <c r="E1001" t="str">
        <f>IFERROR(VLOOKUP(D1001,Customers!$A:$B,2,FALSE),"")</f>
        <v/>
      </c>
      <c r="F1001" s="11"/>
      <c r="G1001" t="str">
        <f>IFERROR(VLOOKUP(F1001,'Products Index'!$A:$B,2,FALSE),"")</f>
        <v/>
      </c>
      <c r="H1001" s="11"/>
      <c r="I1001" s="12"/>
      <c r="J1001" s="15"/>
      <c r="K1001" s="16">
        <f t="shared" si="45"/>
        <v>0</v>
      </c>
      <c r="L1001" s="16">
        <f t="shared" si="46"/>
        <v>0</v>
      </c>
      <c r="M1001" s="16">
        <f>IFERROR(AVERAGEIF('Production Batches'!$C:$C,F1001,'Production Batches'!$L:$L),0)</f>
        <v>0</v>
      </c>
      <c r="N1001" s="16">
        <f t="shared" si="47"/>
        <v>0</v>
      </c>
      <c r="P1001" s="11"/>
      <c r="Q1001" s="30"/>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301"/>
  <sheetViews>
    <sheetView showGridLines="0" workbookViewId="0"/>
  </sheetViews>
  <sheetFormatPr defaultRowHeight="14.5"/>
  <cols>
    <col min="1" max="1" width="8" customWidth="1"/>
    <col min="2" max="2" width="34" customWidth="1"/>
    <col min="3" max="3" width="16" customWidth="1"/>
    <col min="4" max="5" width="14" customWidth="1"/>
    <col min="6" max="7" width="16" customWidth="1"/>
    <col min="8" max="8" width="18" customWidth="1"/>
    <col min="9" max="9" width="14" customWidth="1"/>
    <col min="10" max="10" width="22" customWidth="1"/>
  </cols>
  <sheetData>
    <row r="1" spans="1:10">
      <c r="A1" s="14" t="s">
        <v>64</v>
      </c>
      <c r="B1" s="14" t="s">
        <v>65</v>
      </c>
      <c r="C1" s="14" t="s">
        <v>219</v>
      </c>
      <c r="D1" s="14" t="s">
        <v>220</v>
      </c>
      <c r="E1" s="14" t="s">
        <v>221</v>
      </c>
      <c r="F1" s="14" t="s">
        <v>222</v>
      </c>
      <c r="G1" s="14" t="s">
        <v>223</v>
      </c>
      <c r="H1" s="14" t="s">
        <v>224</v>
      </c>
      <c r="I1" s="14" t="s">
        <v>225</v>
      </c>
      <c r="J1" s="14" t="s">
        <v>28</v>
      </c>
    </row>
    <row r="2" spans="1:10">
      <c r="A2" s="11"/>
      <c r="B2" t="str">
        <f>IFERROR(VLOOKUP(A2,'Products Index'!$A:$B,2,FALSE),"")</f>
        <v/>
      </c>
      <c r="C2" s="11"/>
      <c r="D2" s="11"/>
      <c r="E2" s="11"/>
      <c r="F2">
        <f t="shared" ref="F2:F65" si="0">MAX(D2-E2,0)</f>
        <v>0</v>
      </c>
      <c r="G2" s="16">
        <f>IFERROR(AVERAGEIF('Production Batches'!$C:$C,A2,'Production Batches'!$L:$L),0)</f>
        <v>0</v>
      </c>
      <c r="H2" s="16">
        <f t="shared" ref="H2:H65" si="1">IFERROR(F2*G2,0)</f>
        <v>0</v>
      </c>
      <c r="I2" s="30"/>
    </row>
    <row r="3" spans="1:10">
      <c r="A3" s="11"/>
      <c r="B3" t="str">
        <f>IFERROR(VLOOKUP(A3,'Products Index'!$A:$B,2,FALSE),"")</f>
        <v/>
      </c>
      <c r="C3" s="11"/>
      <c r="D3" s="11"/>
      <c r="E3" s="11"/>
      <c r="F3">
        <f t="shared" si="0"/>
        <v>0</v>
      </c>
      <c r="G3" s="16">
        <f>IFERROR(AVERAGEIF('Production Batches'!$C:$C,A3,'Production Batches'!$L:$L),0)</f>
        <v>0</v>
      </c>
      <c r="H3" s="16">
        <f t="shared" si="1"/>
        <v>0</v>
      </c>
      <c r="I3" s="30"/>
    </row>
    <row r="4" spans="1:10">
      <c r="A4" s="11"/>
      <c r="B4" t="str">
        <f>IFERROR(VLOOKUP(A4,'Products Index'!$A:$B,2,FALSE),"")</f>
        <v/>
      </c>
      <c r="C4" s="11"/>
      <c r="D4" s="11"/>
      <c r="E4" s="11"/>
      <c r="F4">
        <f t="shared" si="0"/>
        <v>0</v>
      </c>
      <c r="G4" s="16">
        <f>IFERROR(AVERAGEIF('Production Batches'!$C:$C,A4,'Production Batches'!$L:$L),0)</f>
        <v>0</v>
      </c>
      <c r="H4" s="16">
        <f t="shared" si="1"/>
        <v>0</v>
      </c>
      <c r="I4" s="30"/>
    </row>
    <row r="5" spans="1:10">
      <c r="A5" s="11"/>
      <c r="B5" t="str">
        <f>IFERROR(VLOOKUP(A5,'Products Index'!$A:$B,2,FALSE),"")</f>
        <v/>
      </c>
      <c r="C5" s="11"/>
      <c r="D5" s="11"/>
      <c r="E5" s="11"/>
      <c r="F5">
        <f t="shared" si="0"/>
        <v>0</v>
      </c>
      <c r="G5" s="16">
        <f>IFERROR(AVERAGEIF('Production Batches'!$C:$C,A5,'Production Batches'!$L:$L),0)</f>
        <v>0</v>
      </c>
      <c r="H5" s="16">
        <f t="shared" si="1"/>
        <v>0</v>
      </c>
      <c r="I5" s="30"/>
    </row>
    <row r="6" spans="1:10">
      <c r="A6" s="11"/>
      <c r="B6" t="str">
        <f>IFERROR(VLOOKUP(A6,'Products Index'!$A:$B,2,FALSE),"")</f>
        <v/>
      </c>
      <c r="C6" s="11"/>
      <c r="D6" s="11"/>
      <c r="E6" s="11"/>
      <c r="F6">
        <f t="shared" si="0"/>
        <v>0</v>
      </c>
      <c r="G6" s="16">
        <f>IFERROR(AVERAGEIF('Production Batches'!$C:$C,A6,'Production Batches'!$L:$L),0)</f>
        <v>0</v>
      </c>
      <c r="H6" s="16">
        <f t="shared" si="1"/>
        <v>0</v>
      </c>
      <c r="I6" s="30"/>
    </row>
    <row r="7" spans="1:10">
      <c r="A7" s="11"/>
      <c r="B7" t="str">
        <f>IFERROR(VLOOKUP(A7,'Products Index'!$A:$B,2,FALSE),"")</f>
        <v/>
      </c>
      <c r="C7" s="11"/>
      <c r="D7" s="11"/>
      <c r="E7" s="11"/>
      <c r="F7">
        <f t="shared" si="0"/>
        <v>0</v>
      </c>
      <c r="G7" s="16">
        <f>IFERROR(AVERAGEIF('Production Batches'!$C:$C,A7,'Production Batches'!$L:$L),0)</f>
        <v>0</v>
      </c>
      <c r="H7" s="16">
        <f t="shared" si="1"/>
        <v>0</v>
      </c>
      <c r="I7" s="30"/>
    </row>
    <row r="8" spans="1:10">
      <c r="A8" s="11"/>
      <c r="B8" t="str">
        <f>IFERROR(VLOOKUP(A8,'Products Index'!$A:$B,2,FALSE),"")</f>
        <v/>
      </c>
      <c r="C8" s="11"/>
      <c r="D8" s="11"/>
      <c r="E8" s="11"/>
      <c r="F8">
        <f t="shared" si="0"/>
        <v>0</v>
      </c>
      <c r="G8" s="16">
        <f>IFERROR(AVERAGEIF('Production Batches'!$C:$C,A8,'Production Batches'!$L:$L),0)</f>
        <v>0</v>
      </c>
      <c r="H8" s="16">
        <f t="shared" si="1"/>
        <v>0</v>
      </c>
      <c r="I8" s="30"/>
    </row>
    <row r="9" spans="1:10">
      <c r="A9" s="11"/>
      <c r="B9" t="str">
        <f>IFERROR(VLOOKUP(A9,'Products Index'!$A:$B,2,FALSE),"")</f>
        <v/>
      </c>
      <c r="C9" s="11"/>
      <c r="D9" s="11"/>
      <c r="E9" s="11"/>
      <c r="F9">
        <f t="shared" si="0"/>
        <v>0</v>
      </c>
      <c r="G9" s="16">
        <f>IFERROR(AVERAGEIF('Production Batches'!$C:$C,A9,'Production Batches'!$L:$L),0)</f>
        <v>0</v>
      </c>
      <c r="H9" s="16">
        <f t="shared" si="1"/>
        <v>0</v>
      </c>
      <c r="I9" s="30"/>
    </row>
    <row r="10" spans="1:10">
      <c r="A10" s="11"/>
      <c r="B10" t="str">
        <f>IFERROR(VLOOKUP(A10,'Products Index'!$A:$B,2,FALSE),"")</f>
        <v/>
      </c>
      <c r="C10" s="11"/>
      <c r="D10" s="11"/>
      <c r="E10" s="11"/>
      <c r="F10">
        <f t="shared" si="0"/>
        <v>0</v>
      </c>
      <c r="G10" s="16">
        <f>IFERROR(AVERAGEIF('Production Batches'!$C:$C,A10,'Production Batches'!$L:$L),0)</f>
        <v>0</v>
      </c>
      <c r="H10" s="16">
        <f t="shared" si="1"/>
        <v>0</v>
      </c>
      <c r="I10" s="30"/>
    </row>
    <row r="11" spans="1:10">
      <c r="A11" s="11"/>
      <c r="B11" t="str">
        <f>IFERROR(VLOOKUP(A11,'Products Index'!$A:$B,2,FALSE),"")</f>
        <v/>
      </c>
      <c r="C11" s="11"/>
      <c r="D11" s="11"/>
      <c r="E11" s="11"/>
      <c r="F11">
        <f t="shared" si="0"/>
        <v>0</v>
      </c>
      <c r="G11" s="16">
        <f>IFERROR(AVERAGEIF('Production Batches'!$C:$C,A11,'Production Batches'!$L:$L),0)</f>
        <v>0</v>
      </c>
      <c r="H11" s="16">
        <f t="shared" si="1"/>
        <v>0</v>
      </c>
      <c r="I11" s="30"/>
    </row>
    <row r="12" spans="1:10">
      <c r="A12" s="11"/>
      <c r="B12" t="str">
        <f>IFERROR(VLOOKUP(A12,'Products Index'!$A:$B,2,FALSE),"")</f>
        <v/>
      </c>
      <c r="C12" s="11"/>
      <c r="D12" s="11"/>
      <c r="E12" s="11"/>
      <c r="F12">
        <f t="shared" si="0"/>
        <v>0</v>
      </c>
      <c r="G12" s="16">
        <f>IFERROR(AVERAGEIF('Production Batches'!$C:$C,A12,'Production Batches'!$L:$L),0)</f>
        <v>0</v>
      </c>
      <c r="H12" s="16">
        <f t="shared" si="1"/>
        <v>0</v>
      </c>
      <c r="I12" s="30"/>
    </row>
    <row r="13" spans="1:10">
      <c r="A13" s="11"/>
      <c r="B13" t="str">
        <f>IFERROR(VLOOKUP(A13,'Products Index'!$A:$B,2,FALSE),"")</f>
        <v/>
      </c>
      <c r="C13" s="11"/>
      <c r="D13" s="11"/>
      <c r="E13" s="11"/>
      <c r="F13">
        <f t="shared" si="0"/>
        <v>0</v>
      </c>
      <c r="G13" s="16">
        <f>IFERROR(AVERAGEIF('Production Batches'!$C:$C,A13,'Production Batches'!$L:$L),0)</f>
        <v>0</v>
      </c>
      <c r="H13" s="16">
        <f t="shared" si="1"/>
        <v>0</v>
      </c>
      <c r="I13" s="30"/>
    </row>
    <row r="14" spans="1:10">
      <c r="A14" s="11"/>
      <c r="B14" t="str">
        <f>IFERROR(VLOOKUP(A14,'Products Index'!$A:$B,2,FALSE),"")</f>
        <v/>
      </c>
      <c r="C14" s="11"/>
      <c r="D14" s="11"/>
      <c r="E14" s="11"/>
      <c r="F14">
        <f t="shared" si="0"/>
        <v>0</v>
      </c>
      <c r="G14" s="16">
        <f>IFERROR(AVERAGEIF('Production Batches'!$C:$C,A14,'Production Batches'!$L:$L),0)</f>
        <v>0</v>
      </c>
      <c r="H14" s="16">
        <f t="shared" si="1"/>
        <v>0</v>
      </c>
      <c r="I14" s="30"/>
    </row>
    <row r="15" spans="1:10">
      <c r="A15" s="11"/>
      <c r="B15" t="str">
        <f>IFERROR(VLOOKUP(A15,'Products Index'!$A:$B,2,FALSE),"")</f>
        <v/>
      </c>
      <c r="C15" s="11"/>
      <c r="D15" s="11"/>
      <c r="E15" s="11"/>
      <c r="F15">
        <f t="shared" si="0"/>
        <v>0</v>
      </c>
      <c r="G15" s="16">
        <f>IFERROR(AVERAGEIF('Production Batches'!$C:$C,A15,'Production Batches'!$L:$L),0)</f>
        <v>0</v>
      </c>
      <c r="H15" s="16">
        <f t="shared" si="1"/>
        <v>0</v>
      </c>
      <c r="I15" s="30"/>
    </row>
    <row r="16" spans="1:10">
      <c r="A16" s="11"/>
      <c r="B16" t="str">
        <f>IFERROR(VLOOKUP(A16,'Products Index'!$A:$B,2,FALSE),"")</f>
        <v/>
      </c>
      <c r="C16" s="11"/>
      <c r="D16" s="11"/>
      <c r="E16" s="11"/>
      <c r="F16">
        <f t="shared" si="0"/>
        <v>0</v>
      </c>
      <c r="G16" s="16">
        <f>IFERROR(AVERAGEIF('Production Batches'!$C:$C,A16,'Production Batches'!$L:$L),0)</f>
        <v>0</v>
      </c>
      <c r="H16" s="16">
        <f t="shared" si="1"/>
        <v>0</v>
      </c>
      <c r="I16" s="30"/>
    </row>
    <row r="17" spans="1:9">
      <c r="A17" s="11"/>
      <c r="B17" t="str">
        <f>IFERROR(VLOOKUP(A17,'Products Index'!$A:$B,2,FALSE),"")</f>
        <v/>
      </c>
      <c r="C17" s="11"/>
      <c r="D17" s="11"/>
      <c r="E17" s="11"/>
      <c r="F17">
        <f t="shared" si="0"/>
        <v>0</v>
      </c>
      <c r="G17" s="16">
        <f>IFERROR(AVERAGEIF('Production Batches'!$C:$C,A17,'Production Batches'!$L:$L),0)</f>
        <v>0</v>
      </c>
      <c r="H17" s="16">
        <f t="shared" si="1"/>
        <v>0</v>
      </c>
      <c r="I17" s="30"/>
    </row>
    <row r="18" spans="1:9">
      <c r="A18" s="11"/>
      <c r="B18" t="str">
        <f>IFERROR(VLOOKUP(A18,'Products Index'!$A:$B,2,FALSE),"")</f>
        <v/>
      </c>
      <c r="C18" s="11"/>
      <c r="D18" s="11"/>
      <c r="E18" s="11"/>
      <c r="F18">
        <f t="shared" si="0"/>
        <v>0</v>
      </c>
      <c r="G18" s="16">
        <f>IFERROR(AVERAGEIF('Production Batches'!$C:$C,A18,'Production Batches'!$L:$L),0)</f>
        <v>0</v>
      </c>
      <c r="H18" s="16">
        <f t="shared" si="1"/>
        <v>0</v>
      </c>
      <c r="I18" s="30"/>
    </row>
    <row r="19" spans="1:9">
      <c r="A19" s="11"/>
      <c r="B19" t="str">
        <f>IFERROR(VLOOKUP(A19,'Products Index'!$A:$B,2,FALSE),"")</f>
        <v/>
      </c>
      <c r="C19" s="11"/>
      <c r="D19" s="11"/>
      <c r="E19" s="11"/>
      <c r="F19">
        <f t="shared" si="0"/>
        <v>0</v>
      </c>
      <c r="G19" s="16">
        <f>IFERROR(AVERAGEIF('Production Batches'!$C:$C,A19,'Production Batches'!$L:$L),0)</f>
        <v>0</v>
      </c>
      <c r="H19" s="16">
        <f t="shared" si="1"/>
        <v>0</v>
      </c>
      <c r="I19" s="30"/>
    </row>
    <row r="20" spans="1:9">
      <c r="A20" s="11"/>
      <c r="B20" t="str">
        <f>IFERROR(VLOOKUP(A20,'Products Index'!$A:$B,2,FALSE),"")</f>
        <v/>
      </c>
      <c r="C20" s="11"/>
      <c r="D20" s="11"/>
      <c r="E20" s="11"/>
      <c r="F20">
        <f t="shared" si="0"/>
        <v>0</v>
      </c>
      <c r="G20" s="16">
        <f>IFERROR(AVERAGEIF('Production Batches'!$C:$C,A20,'Production Batches'!$L:$L),0)</f>
        <v>0</v>
      </c>
      <c r="H20" s="16">
        <f t="shared" si="1"/>
        <v>0</v>
      </c>
      <c r="I20" s="30"/>
    </row>
    <row r="21" spans="1:9">
      <c r="A21" s="11"/>
      <c r="B21" t="str">
        <f>IFERROR(VLOOKUP(A21,'Products Index'!$A:$B,2,FALSE),"")</f>
        <v/>
      </c>
      <c r="C21" s="11"/>
      <c r="D21" s="11"/>
      <c r="E21" s="11"/>
      <c r="F21">
        <f t="shared" si="0"/>
        <v>0</v>
      </c>
      <c r="G21" s="16">
        <f>IFERROR(AVERAGEIF('Production Batches'!$C:$C,A21,'Production Batches'!$L:$L),0)</f>
        <v>0</v>
      </c>
      <c r="H21" s="16">
        <f t="shared" si="1"/>
        <v>0</v>
      </c>
      <c r="I21" s="30"/>
    </row>
    <row r="22" spans="1:9">
      <c r="A22" s="11"/>
      <c r="B22" t="str">
        <f>IFERROR(VLOOKUP(A22,'Products Index'!$A:$B,2,FALSE),"")</f>
        <v/>
      </c>
      <c r="C22" s="11"/>
      <c r="D22" s="11"/>
      <c r="E22" s="11"/>
      <c r="F22">
        <f t="shared" si="0"/>
        <v>0</v>
      </c>
      <c r="G22" s="16">
        <f>IFERROR(AVERAGEIF('Production Batches'!$C:$C,A22,'Production Batches'!$L:$L),0)</f>
        <v>0</v>
      </c>
      <c r="H22" s="16">
        <f t="shared" si="1"/>
        <v>0</v>
      </c>
      <c r="I22" s="30"/>
    </row>
    <row r="23" spans="1:9">
      <c r="A23" s="11"/>
      <c r="B23" t="str">
        <f>IFERROR(VLOOKUP(A23,'Products Index'!$A:$B,2,FALSE),"")</f>
        <v/>
      </c>
      <c r="C23" s="11"/>
      <c r="D23" s="11"/>
      <c r="E23" s="11"/>
      <c r="F23">
        <f t="shared" si="0"/>
        <v>0</v>
      </c>
      <c r="G23" s="16">
        <f>IFERROR(AVERAGEIF('Production Batches'!$C:$C,A23,'Production Batches'!$L:$L),0)</f>
        <v>0</v>
      </c>
      <c r="H23" s="16">
        <f t="shared" si="1"/>
        <v>0</v>
      </c>
      <c r="I23" s="30"/>
    </row>
    <row r="24" spans="1:9">
      <c r="A24" s="11"/>
      <c r="B24" t="str">
        <f>IFERROR(VLOOKUP(A24,'Products Index'!$A:$B,2,FALSE),"")</f>
        <v/>
      </c>
      <c r="C24" s="11"/>
      <c r="D24" s="11"/>
      <c r="E24" s="11"/>
      <c r="F24">
        <f t="shared" si="0"/>
        <v>0</v>
      </c>
      <c r="G24" s="16">
        <f>IFERROR(AVERAGEIF('Production Batches'!$C:$C,A24,'Production Batches'!$L:$L),0)</f>
        <v>0</v>
      </c>
      <c r="H24" s="16">
        <f t="shared" si="1"/>
        <v>0</v>
      </c>
      <c r="I24" s="30"/>
    </row>
    <row r="25" spans="1:9">
      <c r="A25" s="11"/>
      <c r="B25" t="str">
        <f>IFERROR(VLOOKUP(A25,'Products Index'!$A:$B,2,FALSE),"")</f>
        <v/>
      </c>
      <c r="C25" s="11"/>
      <c r="D25" s="11"/>
      <c r="E25" s="11"/>
      <c r="F25">
        <f t="shared" si="0"/>
        <v>0</v>
      </c>
      <c r="G25" s="16">
        <f>IFERROR(AVERAGEIF('Production Batches'!$C:$C,A25,'Production Batches'!$L:$L),0)</f>
        <v>0</v>
      </c>
      <c r="H25" s="16">
        <f t="shared" si="1"/>
        <v>0</v>
      </c>
      <c r="I25" s="30"/>
    </row>
    <row r="26" spans="1:9">
      <c r="A26" s="11"/>
      <c r="B26" t="str">
        <f>IFERROR(VLOOKUP(A26,'Products Index'!$A:$B,2,FALSE),"")</f>
        <v/>
      </c>
      <c r="C26" s="11"/>
      <c r="D26" s="11"/>
      <c r="E26" s="11"/>
      <c r="F26">
        <f t="shared" si="0"/>
        <v>0</v>
      </c>
      <c r="G26" s="16">
        <f>IFERROR(AVERAGEIF('Production Batches'!$C:$C,A26,'Production Batches'!$L:$L),0)</f>
        <v>0</v>
      </c>
      <c r="H26" s="16">
        <f t="shared" si="1"/>
        <v>0</v>
      </c>
      <c r="I26" s="30"/>
    </row>
    <row r="27" spans="1:9">
      <c r="A27" s="11"/>
      <c r="B27" t="str">
        <f>IFERROR(VLOOKUP(A27,'Products Index'!$A:$B,2,FALSE),"")</f>
        <v/>
      </c>
      <c r="C27" s="11"/>
      <c r="D27" s="11"/>
      <c r="E27" s="11"/>
      <c r="F27">
        <f t="shared" si="0"/>
        <v>0</v>
      </c>
      <c r="G27" s="16">
        <f>IFERROR(AVERAGEIF('Production Batches'!$C:$C,A27,'Production Batches'!$L:$L),0)</f>
        <v>0</v>
      </c>
      <c r="H27" s="16">
        <f t="shared" si="1"/>
        <v>0</v>
      </c>
      <c r="I27" s="30"/>
    </row>
    <row r="28" spans="1:9">
      <c r="A28" s="11"/>
      <c r="B28" t="str">
        <f>IFERROR(VLOOKUP(A28,'Products Index'!$A:$B,2,FALSE),"")</f>
        <v/>
      </c>
      <c r="C28" s="11"/>
      <c r="D28" s="11"/>
      <c r="E28" s="11"/>
      <c r="F28">
        <f t="shared" si="0"/>
        <v>0</v>
      </c>
      <c r="G28" s="16">
        <f>IFERROR(AVERAGEIF('Production Batches'!$C:$C,A28,'Production Batches'!$L:$L),0)</f>
        <v>0</v>
      </c>
      <c r="H28" s="16">
        <f t="shared" si="1"/>
        <v>0</v>
      </c>
      <c r="I28" s="30"/>
    </row>
    <row r="29" spans="1:9">
      <c r="A29" s="11"/>
      <c r="B29" t="str">
        <f>IFERROR(VLOOKUP(A29,'Products Index'!$A:$B,2,FALSE),"")</f>
        <v/>
      </c>
      <c r="C29" s="11"/>
      <c r="D29" s="11"/>
      <c r="E29" s="11"/>
      <c r="F29">
        <f t="shared" si="0"/>
        <v>0</v>
      </c>
      <c r="G29" s="16">
        <f>IFERROR(AVERAGEIF('Production Batches'!$C:$C,A29,'Production Batches'!$L:$L),0)</f>
        <v>0</v>
      </c>
      <c r="H29" s="16">
        <f t="shared" si="1"/>
        <v>0</v>
      </c>
      <c r="I29" s="30"/>
    </row>
    <row r="30" spans="1:9">
      <c r="A30" s="11"/>
      <c r="B30" t="str">
        <f>IFERROR(VLOOKUP(A30,'Products Index'!$A:$B,2,FALSE),"")</f>
        <v/>
      </c>
      <c r="C30" s="11"/>
      <c r="D30" s="11"/>
      <c r="E30" s="11"/>
      <c r="F30">
        <f t="shared" si="0"/>
        <v>0</v>
      </c>
      <c r="G30" s="16">
        <f>IFERROR(AVERAGEIF('Production Batches'!$C:$C,A30,'Production Batches'!$L:$L),0)</f>
        <v>0</v>
      </c>
      <c r="H30" s="16">
        <f t="shared" si="1"/>
        <v>0</v>
      </c>
      <c r="I30" s="30"/>
    </row>
    <row r="31" spans="1:9">
      <c r="A31" s="11"/>
      <c r="B31" t="str">
        <f>IFERROR(VLOOKUP(A31,'Products Index'!$A:$B,2,FALSE),"")</f>
        <v/>
      </c>
      <c r="C31" s="11"/>
      <c r="D31" s="11"/>
      <c r="E31" s="11"/>
      <c r="F31">
        <f t="shared" si="0"/>
        <v>0</v>
      </c>
      <c r="G31" s="16">
        <f>IFERROR(AVERAGEIF('Production Batches'!$C:$C,A31,'Production Batches'!$L:$L),0)</f>
        <v>0</v>
      </c>
      <c r="H31" s="16">
        <f t="shared" si="1"/>
        <v>0</v>
      </c>
      <c r="I31" s="30"/>
    </row>
    <row r="32" spans="1:9">
      <c r="A32" s="11"/>
      <c r="B32" t="str">
        <f>IFERROR(VLOOKUP(A32,'Products Index'!$A:$B,2,FALSE),"")</f>
        <v/>
      </c>
      <c r="C32" s="11"/>
      <c r="D32" s="11"/>
      <c r="E32" s="11"/>
      <c r="F32">
        <f t="shared" si="0"/>
        <v>0</v>
      </c>
      <c r="G32" s="16">
        <f>IFERROR(AVERAGEIF('Production Batches'!$C:$C,A32,'Production Batches'!$L:$L),0)</f>
        <v>0</v>
      </c>
      <c r="H32" s="16">
        <f t="shared" si="1"/>
        <v>0</v>
      </c>
      <c r="I32" s="30"/>
    </row>
    <row r="33" spans="1:9">
      <c r="A33" s="11"/>
      <c r="B33" t="str">
        <f>IFERROR(VLOOKUP(A33,'Products Index'!$A:$B,2,FALSE),"")</f>
        <v/>
      </c>
      <c r="C33" s="11"/>
      <c r="D33" s="11"/>
      <c r="E33" s="11"/>
      <c r="F33">
        <f t="shared" si="0"/>
        <v>0</v>
      </c>
      <c r="G33" s="16">
        <f>IFERROR(AVERAGEIF('Production Batches'!$C:$C,A33,'Production Batches'!$L:$L),0)</f>
        <v>0</v>
      </c>
      <c r="H33" s="16">
        <f t="shared" si="1"/>
        <v>0</v>
      </c>
      <c r="I33" s="30"/>
    </row>
    <row r="34" spans="1:9">
      <c r="A34" s="11"/>
      <c r="B34" t="str">
        <f>IFERROR(VLOOKUP(A34,'Products Index'!$A:$B,2,FALSE),"")</f>
        <v/>
      </c>
      <c r="C34" s="11"/>
      <c r="D34" s="11"/>
      <c r="E34" s="11"/>
      <c r="F34">
        <f t="shared" si="0"/>
        <v>0</v>
      </c>
      <c r="G34" s="16">
        <f>IFERROR(AVERAGEIF('Production Batches'!$C:$C,A34,'Production Batches'!$L:$L),0)</f>
        <v>0</v>
      </c>
      <c r="H34" s="16">
        <f t="shared" si="1"/>
        <v>0</v>
      </c>
      <c r="I34" s="30"/>
    </row>
    <row r="35" spans="1:9">
      <c r="A35" s="11"/>
      <c r="B35" t="str">
        <f>IFERROR(VLOOKUP(A35,'Products Index'!$A:$B,2,FALSE),"")</f>
        <v/>
      </c>
      <c r="C35" s="11"/>
      <c r="D35" s="11"/>
      <c r="E35" s="11"/>
      <c r="F35">
        <f t="shared" si="0"/>
        <v>0</v>
      </c>
      <c r="G35" s="16">
        <f>IFERROR(AVERAGEIF('Production Batches'!$C:$C,A35,'Production Batches'!$L:$L),0)</f>
        <v>0</v>
      </c>
      <c r="H35" s="16">
        <f t="shared" si="1"/>
        <v>0</v>
      </c>
      <c r="I35" s="30"/>
    </row>
    <row r="36" spans="1:9">
      <c r="A36" s="11"/>
      <c r="B36" t="str">
        <f>IFERROR(VLOOKUP(A36,'Products Index'!$A:$B,2,FALSE),"")</f>
        <v/>
      </c>
      <c r="C36" s="11"/>
      <c r="D36" s="11"/>
      <c r="E36" s="11"/>
      <c r="F36">
        <f t="shared" si="0"/>
        <v>0</v>
      </c>
      <c r="G36" s="16">
        <f>IFERROR(AVERAGEIF('Production Batches'!$C:$C,A36,'Production Batches'!$L:$L),0)</f>
        <v>0</v>
      </c>
      <c r="H36" s="16">
        <f t="shared" si="1"/>
        <v>0</v>
      </c>
      <c r="I36" s="30"/>
    </row>
    <row r="37" spans="1:9">
      <c r="A37" s="11"/>
      <c r="B37" t="str">
        <f>IFERROR(VLOOKUP(A37,'Products Index'!$A:$B,2,FALSE),"")</f>
        <v/>
      </c>
      <c r="C37" s="11"/>
      <c r="D37" s="11"/>
      <c r="E37" s="11"/>
      <c r="F37">
        <f t="shared" si="0"/>
        <v>0</v>
      </c>
      <c r="G37" s="16">
        <f>IFERROR(AVERAGEIF('Production Batches'!$C:$C,A37,'Production Batches'!$L:$L),0)</f>
        <v>0</v>
      </c>
      <c r="H37" s="16">
        <f t="shared" si="1"/>
        <v>0</v>
      </c>
      <c r="I37" s="30"/>
    </row>
    <row r="38" spans="1:9">
      <c r="A38" s="11"/>
      <c r="B38" t="str">
        <f>IFERROR(VLOOKUP(A38,'Products Index'!$A:$B,2,FALSE),"")</f>
        <v/>
      </c>
      <c r="C38" s="11"/>
      <c r="D38" s="11"/>
      <c r="E38" s="11"/>
      <c r="F38">
        <f t="shared" si="0"/>
        <v>0</v>
      </c>
      <c r="G38" s="16">
        <f>IFERROR(AVERAGEIF('Production Batches'!$C:$C,A38,'Production Batches'!$L:$L),0)</f>
        <v>0</v>
      </c>
      <c r="H38" s="16">
        <f t="shared" si="1"/>
        <v>0</v>
      </c>
      <c r="I38" s="30"/>
    </row>
    <row r="39" spans="1:9">
      <c r="A39" s="11"/>
      <c r="B39" t="str">
        <f>IFERROR(VLOOKUP(A39,'Products Index'!$A:$B,2,FALSE),"")</f>
        <v/>
      </c>
      <c r="C39" s="11"/>
      <c r="D39" s="11"/>
      <c r="E39" s="11"/>
      <c r="F39">
        <f t="shared" si="0"/>
        <v>0</v>
      </c>
      <c r="G39" s="16">
        <f>IFERROR(AVERAGEIF('Production Batches'!$C:$C,A39,'Production Batches'!$L:$L),0)</f>
        <v>0</v>
      </c>
      <c r="H39" s="16">
        <f t="shared" si="1"/>
        <v>0</v>
      </c>
      <c r="I39" s="30"/>
    </row>
    <row r="40" spans="1:9">
      <c r="A40" s="11"/>
      <c r="B40" t="str">
        <f>IFERROR(VLOOKUP(A40,'Products Index'!$A:$B,2,FALSE),"")</f>
        <v/>
      </c>
      <c r="C40" s="11"/>
      <c r="D40" s="11"/>
      <c r="E40" s="11"/>
      <c r="F40">
        <f t="shared" si="0"/>
        <v>0</v>
      </c>
      <c r="G40" s="16">
        <f>IFERROR(AVERAGEIF('Production Batches'!$C:$C,A40,'Production Batches'!$L:$L),0)</f>
        <v>0</v>
      </c>
      <c r="H40" s="16">
        <f t="shared" si="1"/>
        <v>0</v>
      </c>
      <c r="I40" s="30"/>
    </row>
    <row r="41" spans="1:9">
      <c r="A41" s="11"/>
      <c r="B41" t="str">
        <f>IFERROR(VLOOKUP(A41,'Products Index'!$A:$B,2,FALSE),"")</f>
        <v/>
      </c>
      <c r="C41" s="11"/>
      <c r="D41" s="11"/>
      <c r="E41" s="11"/>
      <c r="F41">
        <f t="shared" si="0"/>
        <v>0</v>
      </c>
      <c r="G41" s="16">
        <f>IFERROR(AVERAGEIF('Production Batches'!$C:$C,A41,'Production Batches'!$L:$L),0)</f>
        <v>0</v>
      </c>
      <c r="H41" s="16">
        <f t="shared" si="1"/>
        <v>0</v>
      </c>
      <c r="I41" s="30"/>
    </row>
    <row r="42" spans="1:9">
      <c r="A42" s="11"/>
      <c r="B42" t="str">
        <f>IFERROR(VLOOKUP(A42,'Products Index'!$A:$B,2,FALSE),"")</f>
        <v/>
      </c>
      <c r="C42" s="11"/>
      <c r="D42" s="11"/>
      <c r="E42" s="11"/>
      <c r="F42">
        <f t="shared" si="0"/>
        <v>0</v>
      </c>
      <c r="G42" s="16">
        <f>IFERROR(AVERAGEIF('Production Batches'!$C:$C,A42,'Production Batches'!$L:$L),0)</f>
        <v>0</v>
      </c>
      <c r="H42" s="16">
        <f t="shared" si="1"/>
        <v>0</v>
      </c>
      <c r="I42" s="30"/>
    </row>
    <row r="43" spans="1:9">
      <c r="A43" s="11"/>
      <c r="B43" t="str">
        <f>IFERROR(VLOOKUP(A43,'Products Index'!$A:$B,2,FALSE),"")</f>
        <v/>
      </c>
      <c r="C43" s="11"/>
      <c r="D43" s="11"/>
      <c r="E43" s="11"/>
      <c r="F43">
        <f t="shared" si="0"/>
        <v>0</v>
      </c>
      <c r="G43" s="16">
        <f>IFERROR(AVERAGEIF('Production Batches'!$C:$C,A43,'Production Batches'!$L:$L),0)</f>
        <v>0</v>
      </c>
      <c r="H43" s="16">
        <f t="shared" si="1"/>
        <v>0</v>
      </c>
      <c r="I43" s="30"/>
    </row>
    <row r="44" spans="1:9">
      <c r="A44" s="11"/>
      <c r="B44" t="str">
        <f>IFERROR(VLOOKUP(A44,'Products Index'!$A:$B,2,FALSE),"")</f>
        <v/>
      </c>
      <c r="C44" s="11"/>
      <c r="D44" s="11"/>
      <c r="E44" s="11"/>
      <c r="F44">
        <f t="shared" si="0"/>
        <v>0</v>
      </c>
      <c r="G44" s="16">
        <f>IFERROR(AVERAGEIF('Production Batches'!$C:$C,A44,'Production Batches'!$L:$L),0)</f>
        <v>0</v>
      </c>
      <c r="H44" s="16">
        <f t="shared" si="1"/>
        <v>0</v>
      </c>
      <c r="I44" s="30"/>
    </row>
    <row r="45" spans="1:9">
      <c r="A45" s="11"/>
      <c r="B45" t="str">
        <f>IFERROR(VLOOKUP(A45,'Products Index'!$A:$B,2,FALSE),"")</f>
        <v/>
      </c>
      <c r="C45" s="11"/>
      <c r="D45" s="11"/>
      <c r="E45" s="11"/>
      <c r="F45">
        <f t="shared" si="0"/>
        <v>0</v>
      </c>
      <c r="G45" s="16">
        <f>IFERROR(AVERAGEIF('Production Batches'!$C:$C,A45,'Production Batches'!$L:$L),0)</f>
        <v>0</v>
      </c>
      <c r="H45" s="16">
        <f t="shared" si="1"/>
        <v>0</v>
      </c>
      <c r="I45" s="30"/>
    </row>
    <row r="46" spans="1:9">
      <c r="A46" s="11"/>
      <c r="B46" t="str">
        <f>IFERROR(VLOOKUP(A46,'Products Index'!$A:$B,2,FALSE),"")</f>
        <v/>
      </c>
      <c r="C46" s="11"/>
      <c r="D46" s="11"/>
      <c r="E46" s="11"/>
      <c r="F46">
        <f t="shared" si="0"/>
        <v>0</v>
      </c>
      <c r="G46" s="16">
        <f>IFERROR(AVERAGEIF('Production Batches'!$C:$C,A46,'Production Batches'!$L:$L),0)</f>
        <v>0</v>
      </c>
      <c r="H46" s="16">
        <f t="shared" si="1"/>
        <v>0</v>
      </c>
      <c r="I46" s="30"/>
    </row>
    <row r="47" spans="1:9">
      <c r="A47" s="11"/>
      <c r="B47" t="str">
        <f>IFERROR(VLOOKUP(A47,'Products Index'!$A:$B,2,FALSE),"")</f>
        <v/>
      </c>
      <c r="C47" s="11"/>
      <c r="D47" s="11"/>
      <c r="E47" s="11"/>
      <c r="F47">
        <f t="shared" si="0"/>
        <v>0</v>
      </c>
      <c r="G47" s="16">
        <f>IFERROR(AVERAGEIF('Production Batches'!$C:$C,A47,'Production Batches'!$L:$L),0)</f>
        <v>0</v>
      </c>
      <c r="H47" s="16">
        <f t="shared" si="1"/>
        <v>0</v>
      </c>
      <c r="I47" s="30"/>
    </row>
    <row r="48" spans="1:9">
      <c r="A48" s="11"/>
      <c r="B48" t="str">
        <f>IFERROR(VLOOKUP(A48,'Products Index'!$A:$B,2,FALSE),"")</f>
        <v/>
      </c>
      <c r="C48" s="11"/>
      <c r="D48" s="11"/>
      <c r="E48" s="11"/>
      <c r="F48">
        <f t="shared" si="0"/>
        <v>0</v>
      </c>
      <c r="G48" s="16">
        <f>IFERROR(AVERAGEIF('Production Batches'!$C:$C,A48,'Production Batches'!$L:$L),0)</f>
        <v>0</v>
      </c>
      <c r="H48" s="16">
        <f t="shared" si="1"/>
        <v>0</v>
      </c>
      <c r="I48" s="30"/>
    </row>
    <row r="49" spans="1:9">
      <c r="A49" s="11"/>
      <c r="B49" t="str">
        <f>IFERROR(VLOOKUP(A49,'Products Index'!$A:$B,2,FALSE),"")</f>
        <v/>
      </c>
      <c r="C49" s="11"/>
      <c r="D49" s="11"/>
      <c r="E49" s="11"/>
      <c r="F49">
        <f t="shared" si="0"/>
        <v>0</v>
      </c>
      <c r="G49" s="16">
        <f>IFERROR(AVERAGEIF('Production Batches'!$C:$C,A49,'Production Batches'!$L:$L),0)</f>
        <v>0</v>
      </c>
      <c r="H49" s="16">
        <f t="shared" si="1"/>
        <v>0</v>
      </c>
      <c r="I49" s="30"/>
    </row>
    <row r="50" spans="1:9">
      <c r="A50" s="11"/>
      <c r="B50" t="str">
        <f>IFERROR(VLOOKUP(A50,'Products Index'!$A:$B,2,FALSE),"")</f>
        <v/>
      </c>
      <c r="C50" s="11"/>
      <c r="D50" s="11"/>
      <c r="E50" s="11"/>
      <c r="F50">
        <f t="shared" si="0"/>
        <v>0</v>
      </c>
      <c r="G50" s="16">
        <f>IFERROR(AVERAGEIF('Production Batches'!$C:$C,A50,'Production Batches'!$L:$L),0)</f>
        <v>0</v>
      </c>
      <c r="H50" s="16">
        <f t="shared" si="1"/>
        <v>0</v>
      </c>
      <c r="I50" s="30"/>
    </row>
    <row r="51" spans="1:9">
      <c r="A51" s="11"/>
      <c r="B51" t="str">
        <f>IFERROR(VLOOKUP(A51,'Products Index'!$A:$B,2,FALSE),"")</f>
        <v/>
      </c>
      <c r="C51" s="11"/>
      <c r="D51" s="11"/>
      <c r="E51" s="11"/>
      <c r="F51">
        <f t="shared" si="0"/>
        <v>0</v>
      </c>
      <c r="G51" s="16">
        <f>IFERROR(AVERAGEIF('Production Batches'!$C:$C,A51,'Production Batches'!$L:$L),0)</f>
        <v>0</v>
      </c>
      <c r="H51" s="16">
        <f t="shared" si="1"/>
        <v>0</v>
      </c>
      <c r="I51" s="30"/>
    </row>
    <row r="52" spans="1:9">
      <c r="A52" s="11"/>
      <c r="B52" t="str">
        <f>IFERROR(VLOOKUP(A52,'Products Index'!$A:$B,2,FALSE),"")</f>
        <v/>
      </c>
      <c r="C52" s="11"/>
      <c r="D52" s="11"/>
      <c r="E52" s="11"/>
      <c r="F52">
        <f t="shared" si="0"/>
        <v>0</v>
      </c>
      <c r="G52" s="16">
        <f>IFERROR(AVERAGEIF('Production Batches'!$C:$C,A52,'Production Batches'!$L:$L),0)</f>
        <v>0</v>
      </c>
      <c r="H52" s="16">
        <f t="shared" si="1"/>
        <v>0</v>
      </c>
      <c r="I52" s="30"/>
    </row>
    <row r="53" spans="1:9">
      <c r="A53" s="11"/>
      <c r="B53" t="str">
        <f>IFERROR(VLOOKUP(A53,'Products Index'!$A:$B,2,FALSE),"")</f>
        <v/>
      </c>
      <c r="C53" s="11"/>
      <c r="D53" s="11"/>
      <c r="E53" s="11"/>
      <c r="F53">
        <f t="shared" si="0"/>
        <v>0</v>
      </c>
      <c r="G53" s="16">
        <f>IFERROR(AVERAGEIF('Production Batches'!$C:$C,A53,'Production Batches'!$L:$L),0)</f>
        <v>0</v>
      </c>
      <c r="H53" s="16">
        <f t="shared" si="1"/>
        <v>0</v>
      </c>
      <c r="I53" s="30"/>
    </row>
    <row r="54" spans="1:9">
      <c r="A54" s="11"/>
      <c r="B54" t="str">
        <f>IFERROR(VLOOKUP(A54,'Products Index'!$A:$B,2,FALSE),"")</f>
        <v/>
      </c>
      <c r="C54" s="11"/>
      <c r="D54" s="11"/>
      <c r="E54" s="11"/>
      <c r="F54">
        <f t="shared" si="0"/>
        <v>0</v>
      </c>
      <c r="G54" s="16">
        <f>IFERROR(AVERAGEIF('Production Batches'!$C:$C,A54,'Production Batches'!$L:$L),0)</f>
        <v>0</v>
      </c>
      <c r="H54" s="16">
        <f t="shared" si="1"/>
        <v>0</v>
      </c>
      <c r="I54" s="30"/>
    </row>
    <row r="55" spans="1:9">
      <c r="A55" s="11"/>
      <c r="B55" t="str">
        <f>IFERROR(VLOOKUP(A55,'Products Index'!$A:$B,2,FALSE),"")</f>
        <v/>
      </c>
      <c r="C55" s="11"/>
      <c r="D55" s="11"/>
      <c r="E55" s="11"/>
      <c r="F55">
        <f t="shared" si="0"/>
        <v>0</v>
      </c>
      <c r="G55" s="16">
        <f>IFERROR(AVERAGEIF('Production Batches'!$C:$C,A55,'Production Batches'!$L:$L),0)</f>
        <v>0</v>
      </c>
      <c r="H55" s="16">
        <f t="shared" si="1"/>
        <v>0</v>
      </c>
      <c r="I55" s="30"/>
    </row>
    <row r="56" spans="1:9">
      <c r="A56" s="11"/>
      <c r="B56" t="str">
        <f>IFERROR(VLOOKUP(A56,'Products Index'!$A:$B,2,FALSE),"")</f>
        <v/>
      </c>
      <c r="C56" s="11"/>
      <c r="D56" s="11"/>
      <c r="E56" s="11"/>
      <c r="F56">
        <f t="shared" si="0"/>
        <v>0</v>
      </c>
      <c r="G56" s="16">
        <f>IFERROR(AVERAGEIF('Production Batches'!$C:$C,A56,'Production Batches'!$L:$L),0)</f>
        <v>0</v>
      </c>
      <c r="H56" s="16">
        <f t="shared" si="1"/>
        <v>0</v>
      </c>
      <c r="I56" s="30"/>
    </row>
    <row r="57" spans="1:9">
      <c r="A57" s="11"/>
      <c r="B57" t="str">
        <f>IFERROR(VLOOKUP(A57,'Products Index'!$A:$B,2,FALSE),"")</f>
        <v/>
      </c>
      <c r="C57" s="11"/>
      <c r="D57" s="11"/>
      <c r="E57" s="11"/>
      <c r="F57">
        <f t="shared" si="0"/>
        <v>0</v>
      </c>
      <c r="G57" s="16">
        <f>IFERROR(AVERAGEIF('Production Batches'!$C:$C,A57,'Production Batches'!$L:$L),0)</f>
        <v>0</v>
      </c>
      <c r="H57" s="16">
        <f t="shared" si="1"/>
        <v>0</v>
      </c>
      <c r="I57" s="30"/>
    </row>
    <row r="58" spans="1:9">
      <c r="A58" s="11"/>
      <c r="B58" t="str">
        <f>IFERROR(VLOOKUP(A58,'Products Index'!$A:$B,2,FALSE),"")</f>
        <v/>
      </c>
      <c r="C58" s="11"/>
      <c r="D58" s="11"/>
      <c r="E58" s="11"/>
      <c r="F58">
        <f t="shared" si="0"/>
        <v>0</v>
      </c>
      <c r="G58" s="16">
        <f>IFERROR(AVERAGEIF('Production Batches'!$C:$C,A58,'Production Batches'!$L:$L),0)</f>
        <v>0</v>
      </c>
      <c r="H58" s="16">
        <f t="shared" si="1"/>
        <v>0</v>
      </c>
      <c r="I58" s="30"/>
    </row>
    <row r="59" spans="1:9">
      <c r="A59" s="11"/>
      <c r="B59" t="str">
        <f>IFERROR(VLOOKUP(A59,'Products Index'!$A:$B,2,FALSE),"")</f>
        <v/>
      </c>
      <c r="C59" s="11"/>
      <c r="D59" s="11"/>
      <c r="E59" s="11"/>
      <c r="F59">
        <f t="shared" si="0"/>
        <v>0</v>
      </c>
      <c r="G59" s="16">
        <f>IFERROR(AVERAGEIF('Production Batches'!$C:$C,A59,'Production Batches'!$L:$L),0)</f>
        <v>0</v>
      </c>
      <c r="H59" s="16">
        <f t="shared" si="1"/>
        <v>0</v>
      </c>
      <c r="I59" s="30"/>
    </row>
    <row r="60" spans="1:9">
      <c r="A60" s="11"/>
      <c r="B60" t="str">
        <f>IFERROR(VLOOKUP(A60,'Products Index'!$A:$B,2,FALSE),"")</f>
        <v/>
      </c>
      <c r="C60" s="11"/>
      <c r="D60" s="11"/>
      <c r="E60" s="11"/>
      <c r="F60">
        <f t="shared" si="0"/>
        <v>0</v>
      </c>
      <c r="G60" s="16">
        <f>IFERROR(AVERAGEIF('Production Batches'!$C:$C,A60,'Production Batches'!$L:$L),0)</f>
        <v>0</v>
      </c>
      <c r="H60" s="16">
        <f t="shared" si="1"/>
        <v>0</v>
      </c>
      <c r="I60" s="30"/>
    </row>
    <row r="61" spans="1:9">
      <c r="A61" s="11"/>
      <c r="B61" t="str">
        <f>IFERROR(VLOOKUP(A61,'Products Index'!$A:$B,2,FALSE),"")</f>
        <v/>
      </c>
      <c r="C61" s="11"/>
      <c r="D61" s="11"/>
      <c r="E61" s="11"/>
      <c r="F61">
        <f t="shared" si="0"/>
        <v>0</v>
      </c>
      <c r="G61" s="16">
        <f>IFERROR(AVERAGEIF('Production Batches'!$C:$C,A61,'Production Batches'!$L:$L),0)</f>
        <v>0</v>
      </c>
      <c r="H61" s="16">
        <f t="shared" si="1"/>
        <v>0</v>
      </c>
      <c r="I61" s="30"/>
    </row>
    <row r="62" spans="1:9">
      <c r="A62" s="11"/>
      <c r="B62" t="str">
        <f>IFERROR(VLOOKUP(A62,'Products Index'!$A:$B,2,FALSE),"")</f>
        <v/>
      </c>
      <c r="C62" s="11"/>
      <c r="D62" s="11"/>
      <c r="E62" s="11"/>
      <c r="F62">
        <f t="shared" si="0"/>
        <v>0</v>
      </c>
      <c r="G62" s="16">
        <f>IFERROR(AVERAGEIF('Production Batches'!$C:$C,A62,'Production Batches'!$L:$L),0)</f>
        <v>0</v>
      </c>
      <c r="H62" s="16">
        <f t="shared" si="1"/>
        <v>0</v>
      </c>
      <c r="I62" s="30"/>
    </row>
    <row r="63" spans="1:9">
      <c r="A63" s="11"/>
      <c r="B63" t="str">
        <f>IFERROR(VLOOKUP(A63,'Products Index'!$A:$B,2,FALSE),"")</f>
        <v/>
      </c>
      <c r="C63" s="11"/>
      <c r="D63" s="11"/>
      <c r="E63" s="11"/>
      <c r="F63">
        <f t="shared" si="0"/>
        <v>0</v>
      </c>
      <c r="G63" s="16">
        <f>IFERROR(AVERAGEIF('Production Batches'!$C:$C,A63,'Production Batches'!$L:$L),0)</f>
        <v>0</v>
      </c>
      <c r="H63" s="16">
        <f t="shared" si="1"/>
        <v>0</v>
      </c>
      <c r="I63" s="30"/>
    </row>
    <row r="64" spans="1:9">
      <c r="A64" s="11"/>
      <c r="B64" t="str">
        <f>IFERROR(VLOOKUP(A64,'Products Index'!$A:$B,2,FALSE),"")</f>
        <v/>
      </c>
      <c r="C64" s="11"/>
      <c r="D64" s="11"/>
      <c r="E64" s="11"/>
      <c r="F64">
        <f t="shared" si="0"/>
        <v>0</v>
      </c>
      <c r="G64" s="16">
        <f>IFERROR(AVERAGEIF('Production Batches'!$C:$C,A64,'Production Batches'!$L:$L),0)</f>
        <v>0</v>
      </c>
      <c r="H64" s="16">
        <f t="shared" si="1"/>
        <v>0</v>
      </c>
      <c r="I64" s="30"/>
    </row>
    <row r="65" spans="1:9">
      <c r="A65" s="11"/>
      <c r="B65" t="str">
        <f>IFERROR(VLOOKUP(A65,'Products Index'!$A:$B,2,FALSE),"")</f>
        <v/>
      </c>
      <c r="C65" s="11"/>
      <c r="D65" s="11"/>
      <c r="E65" s="11"/>
      <c r="F65">
        <f t="shared" si="0"/>
        <v>0</v>
      </c>
      <c r="G65" s="16">
        <f>IFERROR(AVERAGEIF('Production Batches'!$C:$C,A65,'Production Batches'!$L:$L),0)</f>
        <v>0</v>
      </c>
      <c r="H65" s="16">
        <f t="shared" si="1"/>
        <v>0</v>
      </c>
      <c r="I65" s="30"/>
    </row>
    <row r="66" spans="1:9">
      <c r="A66" s="11"/>
      <c r="B66" t="str">
        <f>IFERROR(VLOOKUP(A66,'Products Index'!$A:$B,2,FALSE),"")</f>
        <v/>
      </c>
      <c r="C66" s="11"/>
      <c r="D66" s="11"/>
      <c r="E66" s="11"/>
      <c r="F66">
        <f t="shared" ref="F66:F129" si="2">MAX(D66-E66,0)</f>
        <v>0</v>
      </c>
      <c r="G66" s="16">
        <f>IFERROR(AVERAGEIF('Production Batches'!$C:$C,A66,'Production Batches'!$L:$L),0)</f>
        <v>0</v>
      </c>
      <c r="H66" s="16">
        <f t="shared" ref="H66:H129" si="3">IFERROR(F66*G66,0)</f>
        <v>0</v>
      </c>
      <c r="I66" s="30"/>
    </row>
    <row r="67" spans="1:9">
      <c r="A67" s="11"/>
      <c r="B67" t="str">
        <f>IFERROR(VLOOKUP(A67,'Products Index'!$A:$B,2,FALSE),"")</f>
        <v/>
      </c>
      <c r="C67" s="11"/>
      <c r="D67" s="11"/>
      <c r="E67" s="11"/>
      <c r="F67">
        <f t="shared" si="2"/>
        <v>0</v>
      </c>
      <c r="G67" s="16">
        <f>IFERROR(AVERAGEIF('Production Batches'!$C:$C,A67,'Production Batches'!$L:$L),0)</f>
        <v>0</v>
      </c>
      <c r="H67" s="16">
        <f t="shared" si="3"/>
        <v>0</v>
      </c>
      <c r="I67" s="30"/>
    </row>
    <row r="68" spans="1:9">
      <c r="A68" s="11"/>
      <c r="B68" t="str">
        <f>IFERROR(VLOOKUP(A68,'Products Index'!$A:$B,2,FALSE),"")</f>
        <v/>
      </c>
      <c r="C68" s="11"/>
      <c r="D68" s="11"/>
      <c r="E68" s="11"/>
      <c r="F68">
        <f t="shared" si="2"/>
        <v>0</v>
      </c>
      <c r="G68" s="16">
        <f>IFERROR(AVERAGEIF('Production Batches'!$C:$C,A68,'Production Batches'!$L:$L),0)</f>
        <v>0</v>
      </c>
      <c r="H68" s="16">
        <f t="shared" si="3"/>
        <v>0</v>
      </c>
      <c r="I68" s="30"/>
    </row>
    <row r="69" spans="1:9">
      <c r="A69" s="11"/>
      <c r="B69" t="str">
        <f>IFERROR(VLOOKUP(A69,'Products Index'!$A:$B,2,FALSE),"")</f>
        <v/>
      </c>
      <c r="C69" s="11"/>
      <c r="D69" s="11"/>
      <c r="E69" s="11"/>
      <c r="F69">
        <f t="shared" si="2"/>
        <v>0</v>
      </c>
      <c r="G69" s="16">
        <f>IFERROR(AVERAGEIF('Production Batches'!$C:$C,A69,'Production Batches'!$L:$L),0)</f>
        <v>0</v>
      </c>
      <c r="H69" s="16">
        <f t="shared" si="3"/>
        <v>0</v>
      </c>
      <c r="I69" s="30"/>
    </row>
    <row r="70" spans="1:9">
      <c r="A70" s="11"/>
      <c r="B70" t="str">
        <f>IFERROR(VLOOKUP(A70,'Products Index'!$A:$B,2,FALSE),"")</f>
        <v/>
      </c>
      <c r="C70" s="11"/>
      <c r="D70" s="11"/>
      <c r="E70" s="11"/>
      <c r="F70">
        <f t="shared" si="2"/>
        <v>0</v>
      </c>
      <c r="G70" s="16">
        <f>IFERROR(AVERAGEIF('Production Batches'!$C:$C,A70,'Production Batches'!$L:$L),0)</f>
        <v>0</v>
      </c>
      <c r="H70" s="16">
        <f t="shared" si="3"/>
        <v>0</v>
      </c>
      <c r="I70" s="30"/>
    </row>
    <row r="71" spans="1:9">
      <c r="A71" s="11"/>
      <c r="B71" t="str">
        <f>IFERROR(VLOOKUP(A71,'Products Index'!$A:$B,2,FALSE),"")</f>
        <v/>
      </c>
      <c r="C71" s="11"/>
      <c r="D71" s="11"/>
      <c r="E71" s="11"/>
      <c r="F71">
        <f t="shared" si="2"/>
        <v>0</v>
      </c>
      <c r="G71" s="16">
        <f>IFERROR(AVERAGEIF('Production Batches'!$C:$C,A71,'Production Batches'!$L:$L),0)</f>
        <v>0</v>
      </c>
      <c r="H71" s="16">
        <f t="shared" si="3"/>
        <v>0</v>
      </c>
      <c r="I71" s="30"/>
    </row>
    <row r="72" spans="1:9">
      <c r="A72" s="11"/>
      <c r="B72" t="str">
        <f>IFERROR(VLOOKUP(A72,'Products Index'!$A:$B,2,FALSE),"")</f>
        <v/>
      </c>
      <c r="C72" s="11"/>
      <c r="D72" s="11"/>
      <c r="E72" s="11"/>
      <c r="F72">
        <f t="shared" si="2"/>
        <v>0</v>
      </c>
      <c r="G72" s="16">
        <f>IFERROR(AVERAGEIF('Production Batches'!$C:$C,A72,'Production Batches'!$L:$L),0)</f>
        <v>0</v>
      </c>
      <c r="H72" s="16">
        <f t="shared" si="3"/>
        <v>0</v>
      </c>
      <c r="I72" s="30"/>
    </row>
    <row r="73" spans="1:9">
      <c r="A73" s="11"/>
      <c r="B73" t="str">
        <f>IFERROR(VLOOKUP(A73,'Products Index'!$A:$B,2,FALSE),"")</f>
        <v/>
      </c>
      <c r="C73" s="11"/>
      <c r="D73" s="11"/>
      <c r="E73" s="11"/>
      <c r="F73">
        <f t="shared" si="2"/>
        <v>0</v>
      </c>
      <c r="G73" s="16">
        <f>IFERROR(AVERAGEIF('Production Batches'!$C:$C,A73,'Production Batches'!$L:$L),0)</f>
        <v>0</v>
      </c>
      <c r="H73" s="16">
        <f t="shared" si="3"/>
        <v>0</v>
      </c>
      <c r="I73" s="30"/>
    </row>
    <row r="74" spans="1:9">
      <c r="A74" s="11"/>
      <c r="B74" t="str">
        <f>IFERROR(VLOOKUP(A74,'Products Index'!$A:$B,2,FALSE),"")</f>
        <v/>
      </c>
      <c r="C74" s="11"/>
      <c r="D74" s="11"/>
      <c r="E74" s="11"/>
      <c r="F74">
        <f t="shared" si="2"/>
        <v>0</v>
      </c>
      <c r="G74" s="16">
        <f>IFERROR(AVERAGEIF('Production Batches'!$C:$C,A74,'Production Batches'!$L:$L),0)</f>
        <v>0</v>
      </c>
      <c r="H74" s="16">
        <f t="shared" si="3"/>
        <v>0</v>
      </c>
      <c r="I74" s="30"/>
    </row>
    <row r="75" spans="1:9">
      <c r="A75" s="11"/>
      <c r="B75" t="str">
        <f>IFERROR(VLOOKUP(A75,'Products Index'!$A:$B,2,FALSE),"")</f>
        <v/>
      </c>
      <c r="C75" s="11"/>
      <c r="D75" s="11"/>
      <c r="E75" s="11"/>
      <c r="F75">
        <f t="shared" si="2"/>
        <v>0</v>
      </c>
      <c r="G75" s="16">
        <f>IFERROR(AVERAGEIF('Production Batches'!$C:$C,A75,'Production Batches'!$L:$L),0)</f>
        <v>0</v>
      </c>
      <c r="H75" s="16">
        <f t="shared" si="3"/>
        <v>0</v>
      </c>
      <c r="I75" s="30"/>
    </row>
    <row r="76" spans="1:9">
      <c r="A76" s="11"/>
      <c r="B76" t="str">
        <f>IFERROR(VLOOKUP(A76,'Products Index'!$A:$B,2,FALSE),"")</f>
        <v/>
      </c>
      <c r="C76" s="11"/>
      <c r="D76" s="11"/>
      <c r="E76" s="11"/>
      <c r="F76">
        <f t="shared" si="2"/>
        <v>0</v>
      </c>
      <c r="G76" s="16">
        <f>IFERROR(AVERAGEIF('Production Batches'!$C:$C,A76,'Production Batches'!$L:$L),0)</f>
        <v>0</v>
      </c>
      <c r="H76" s="16">
        <f t="shared" si="3"/>
        <v>0</v>
      </c>
      <c r="I76" s="30"/>
    </row>
    <row r="77" spans="1:9">
      <c r="A77" s="11"/>
      <c r="B77" t="str">
        <f>IFERROR(VLOOKUP(A77,'Products Index'!$A:$B,2,FALSE),"")</f>
        <v/>
      </c>
      <c r="C77" s="11"/>
      <c r="D77" s="11"/>
      <c r="E77" s="11"/>
      <c r="F77">
        <f t="shared" si="2"/>
        <v>0</v>
      </c>
      <c r="G77" s="16">
        <f>IFERROR(AVERAGEIF('Production Batches'!$C:$C,A77,'Production Batches'!$L:$L),0)</f>
        <v>0</v>
      </c>
      <c r="H77" s="16">
        <f t="shared" si="3"/>
        <v>0</v>
      </c>
      <c r="I77" s="30"/>
    </row>
    <row r="78" spans="1:9">
      <c r="A78" s="11"/>
      <c r="B78" t="str">
        <f>IFERROR(VLOOKUP(A78,'Products Index'!$A:$B,2,FALSE),"")</f>
        <v/>
      </c>
      <c r="C78" s="11"/>
      <c r="D78" s="11"/>
      <c r="E78" s="11"/>
      <c r="F78">
        <f t="shared" si="2"/>
        <v>0</v>
      </c>
      <c r="G78" s="16">
        <f>IFERROR(AVERAGEIF('Production Batches'!$C:$C,A78,'Production Batches'!$L:$L),0)</f>
        <v>0</v>
      </c>
      <c r="H78" s="16">
        <f t="shared" si="3"/>
        <v>0</v>
      </c>
      <c r="I78" s="30"/>
    </row>
    <row r="79" spans="1:9">
      <c r="A79" s="11"/>
      <c r="B79" t="str">
        <f>IFERROR(VLOOKUP(A79,'Products Index'!$A:$B,2,FALSE),"")</f>
        <v/>
      </c>
      <c r="C79" s="11"/>
      <c r="D79" s="11"/>
      <c r="E79" s="11"/>
      <c r="F79">
        <f t="shared" si="2"/>
        <v>0</v>
      </c>
      <c r="G79" s="16">
        <f>IFERROR(AVERAGEIF('Production Batches'!$C:$C,A79,'Production Batches'!$L:$L),0)</f>
        <v>0</v>
      </c>
      <c r="H79" s="16">
        <f t="shared" si="3"/>
        <v>0</v>
      </c>
      <c r="I79" s="30"/>
    </row>
    <row r="80" spans="1:9">
      <c r="A80" s="11"/>
      <c r="B80" t="str">
        <f>IFERROR(VLOOKUP(A80,'Products Index'!$A:$B,2,FALSE),"")</f>
        <v/>
      </c>
      <c r="C80" s="11"/>
      <c r="D80" s="11"/>
      <c r="E80" s="11"/>
      <c r="F80">
        <f t="shared" si="2"/>
        <v>0</v>
      </c>
      <c r="G80" s="16">
        <f>IFERROR(AVERAGEIF('Production Batches'!$C:$C,A80,'Production Batches'!$L:$L),0)</f>
        <v>0</v>
      </c>
      <c r="H80" s="16">
        <f t="shared" si="3"/>
        <v>0</v>
      </c>
      <c r="I80" s="30"/>
    </row>
    <row r="81" spans="1:9">
      <c r="A81" s="11"/>
      <c r="B81" t="str">
        <f>IFERROR(VLOOKUP(A81,'Products Index'!$A:$B,2,FALSE),"")</f>
        <v/>
      </c>
      <c r="C81" s="11"/>
      <c r="D81" s="11"/>
      <c r="E81" s="11"/>
      <c r="F81">
        <f t="shared" si="2"/>
        <v>0</v>
      </c>
      <c r="G81" s="16">
        <f>IFERROR(AVERAGEIF('Production Batches'!$C:$C,A81,'Production Batches'!$L:$L),0)</f>
        <v>0</v>
      </c>
      <c r="H81" s="16">
        <f t="shared" si="3"/>
        <v>0</v>
      </c>
      <c r="I81" s="30"/>
    </row>
    <row r="82" spans="1:9">
      <c r="A82" s="11"/>
      <c r="B82" t="str">
        <f>IFERROR(VLOOKUP(A82,'Products Index'!$A:$B,2,FALSE),"")</f>
        <v/>
      </c>
      <c r="C82" s="11"/>
      <c r="D82" s="11"/>
      <c r="E82" s="11"/>
      <c r="F82">
        <f t="shared" si="2"/>
        <v>0</v>
      </c>
      <c r="G82" s="16">
        <f>IFERROR(AVERAGEIF('Production Batches'!$C:$C,A82,'Production Batches'!$L:$L),0)</f>
        <v>0</v>
      </c>
      <c r="H82" s="16">
        <f t="shared" si="3"/>
        <v>0</v>
      </c>
      <c r="I82" s="30"/>
    </row>
    <row r="83" spans="1:9">
      <c r="A83" s="11"/>
      <c r="B83" t="str">
        <f>IFERROR(VLOOKUP(A83,'Products Index'!$A:$B,2,FALSE),"")</f>
        <v/>
      </c>
      <c r="C83" s="11"/>
      <c r="D83" s="11"/>
      <c r="E83" s="11"/>
      <c r="F83">
        <f t="shared" si="2"/>
        <v>0</v>
      </c>
      <c r="G83" s="16">
        <f>IFERROR(AVERAGEIF('Production Batches'!$C:$C,A83,'Production Batches'!$L:$L),0)</f>
        <v>0</v>
      </c>
      <c r="H83" s="16">
        <f t="shared" si="3"/>
        <v>0</v>
      </c>
      <c r="I83" s="30"/>
    </row>
    <row r="84" spans="1:9">
      <c r="A84" s="11"/>
      <c r="B84" t="str">
        <f>IFERROR(VLOOKUP(A84,'Products Index'!$A:$B,2,FALSE),"")</f>
        <v/>
      </c>
      <c r="C84" s="11"/>
      <c r="D84" s="11"/>
      <c r="E84" s="11"/>
      <c r="F84">
        <f t="shared" si="2"/>
        <v>0</v>
      </c>
      <c r="G84" s="16">
        <f>IFERROR(AVERAGEIF('Production Batches'!$C:$C,A84,'Production Batches'!$L:$L),0)</f>
        <v>0</v>
      </c>
      <c r="H84" s="16">
        <f t="shared" si="3"/>
        <v>0</v>
      </c>
      <c r="I84" s="30"/>
    </row>
    <row r="85" spans="1:9">
      <c r="A85" s="11"/>
      <c r="B85" t="str">
        <f>IFERROR(VLOOKUP(A85,'Products Index'!$A:$B,2,FALSE),"")</f>
        <v/>
      </c>
      <c r="C85" s="11"/>
      <c r="D85" s="11"/>
      <c r="E85" s="11"/>
      <c r="F85">
        <f t="shared" si="2"/>
        <v>0</v>
      </c>
      <c r="G85" s="16">
        <f>IFERROR(AVERAGEIF('Production Batches'!$C:$C,A85,'Production Batches'!$L:$L),0)</f>
        <v>0</v>
      </c>
      <c r="H85" s="16">
        <f t="shared" si="3"/>
        <v>0</v>
      </c>
      <c r="I85" s="30"/>
    </row>
    <row r="86" spans="1:9">
      <c r="A86" s="11"/>
      <c r="B86" t="str">
        <f>IFERROR(VLOOKUP(A86,'Products Index'!$A:$B,2,FALSE),"")</f>
        <v/>
      </c>
      <c r="C86" s="11"/>
      <c r="D86" s="11"/>
      <c r="E86" s="11"/>
      <c r="F86">
        <f t="shared" si="2"/>
        <v>0</v>
      </c>
      <c r="G86" s="16">
        <f>IFERROR(AVERAGEIF('Production Batches'!$C:$C,A86,'Production Batches'!$L:$L),0)</f>
        <v>0</v>
      </c>
      <c r="H86" s="16">
        <f t="shared" si="3"/>
        <v>0</v>
      </c>
      <c r="I86" s="30"/>
    </row>
    <row r="87" spans="1:9">
      <c r="A87" s="11"/>
      <c r="B87" t="str">
        <f>IFERROR(VLOOKUP(A87,'Products Index'!$A:$B,2,FALSE),"")</f>
        <v/>
      </c>
      <c r="C87" s="11"/>
      <c r="D87" s="11"/>
      <c r="E87" s="11"/>
      <c r="F87">
        <f t="shared" si="2"/>
        <v>0</v>
      </c>
      <c r="G87" s="16">
        <f>IFERROR(AVERAGEIF('Production Batches'!$C:$C,A87,'Production Batches'!$L:$L),0)</f>
        <v>0</v>
      </c>
      <c r="H87" s="16">
        <f t="shared" si="3"/>
        <v>0</v>
      </c>
      <c r="I87" s="30"/>
    </row>
    <row r="88" spans="1:9">
      <c r="A88" s="11"/>
      <c r="B88" t="str">
        <f>IFERROR(VLOOKUP(A88,'Products Index'!$A:$B,2,FALSE),"")</f>
        <v/>
      </c>
      <c r="C88" s="11"/>
      <c r="D88" s="11"/>
      <c r="E88" s="11"/>
      <c r="F88">
        <f t="shared" si="2"/>
        <v>0</v>
      </c>
      <c r="G88" s="16">
        <f>IFERROR(AVERAGEIF('Production Batches'!$C:$C,A88,'Production Batches'!$L:$L),0)</f>
        <v>0</v>
      </c>
      <c r="H88" s="16">
        <f t="shared" si="3"/>
        <v>0</v>
      </c>
      <c r="I88" s="30"/>
    </row>
    <row r="89" spans="1:9">
      <c r="A89" s="11"/>
      <c r="B89" t="str">
        <f>IFERROR(VLOOKUP(A89,'Products Index'!$A:$B,2,FALSE),"")</f>
        <v/>
      </c>
      <c r="C89" s="11"/>
      <c r="D89" s="11"/>
      <c r="E89" s="11"/>
      <c r="F89">
        <f t="shared" si="2"/>
        <v>0</v>
      </c>
      <c r="G89" s="16">
        <f>IFERROR(AVERAGEIF('Production Batches'!$C:$C,A89,'Production Batches'!$L:$L),0)</f>
        <v>0</v>
      </c>
      <c r="H89" s="16">
        <f t="shared" si="3"/>
        <v>0</v>
      </c>
      <c r="I89" s="30"/>
    </row>
    <row r="90" spans="1:9">
      <c r="A90" s="11"/>
      <c r="B90" t="str">
        <f>IFERROR(VLOOKUP(A90,'Products Index'!$A:$B,2,FALSE),"")</f>
        <v/>
      </c>
      <c r="C90" s="11"/>
      <c r="D90" s="11"/>
      <c r="E90" s="11"/>
      <c r="F90">
        <f t="shared" si="2"/>
        <v>0</v>
      </c>
      <c r="G90" s="16">
        <f>IFERROR(AVERAGEIF('Production Batches'!$C:$C,A90,'Production Batches'!$L:$L),0)</f>
        <v>0</v>
      </c>
      <c r="H90" s="16">
        <f t="shared" si="3"/>
        <v>0</v>
      </c>
      <c r="I90" s="30"/>
    </row>
    <row r="91" spans="1:9">
      <c r="A91" s="11"/>
      <c r="B91" t="str">
        <f>IFERROR(VLOOKUP(A91,'Products Index'!$A:$B,2,FALSE),"")</f>
        <v/>
      </c>
      <c r="C91" s="11"/>
      <c r="D91" s="11"/>
      <c r="E91" s="11"/>
      <c r="F91">
        <f t="shared" si="2"/>
        <v>0</v>
      </c>
      <c r="G91" s="16">
        <f>IFERROR(AVERAGEIF('Production Batches'!$C:$C,A91,'Production Batches'!$L:$L),0)</f>
        <v>0</v>
      </c>
      <c r="H91" s="16">
        <f t="shared" si="3"/>
        <v>0</v>
      </c>
      <c r="I91" s="30"/>
    </row>
    <row r="92" spans="1:9">
      <c r="A92" s="11"/>
      <c r="B92" t="str">
        <f>IFERROR(VLOOKUP(A92,'Products Index'!$A:$B,2,FALSE),"")</f>
        <v/>
      </c>
      <c r="C92" s="11"/>
      <c r="D92" s="11"/>
      <c r="E92" s="11"/>
      <c r="F92">
        <f t="shared" si="2"/>
        <v>0</v>
      </c>
      <c r="G92" s="16">
        <f>IFERROR(AVERAGEIF('Production Batches'!$C:$C,A92,'Production Batches'!$L:$L),0)</f>
        <v>0</v>
      </c>
      <c r="H92" s="16">
        <f t="shared" si="3"/>
        <v>0</v>
      </c>
      <c r="I92" s="30"/>
    </row>
    <row r="93" spans="1:9">
      <c r="A93" s="11"/>
      <c r="B93" t="str">
        <f>IFERROR(VLOOKUP(A93,'Products Index'!$A:$B,2,FALSE),"")</f>
        <v/>
      </c>
      <c r="C93" s="11"/>
      <c r="D93" s="11"/>
      <c r="E93" s="11"/>
      <c r="F93">
        <f t="shared" si="2"/>
        <v>0</v>
      </c>
      <c r="G93" s="16">
        <f>IFERROR(AVERAGEIF('Production Batches'!$C:$C,A93,'Production Batches'!$L:$L),0)</f>
        <v>0</v>
      </c>
      <c r="H93" s="16">
        <f t="shared" si="3"/>
        <v>0</v>
      </c>
      <c r="I93" s="30"/>
    </row>
    <row r="94" spans="1:9">
      <c r="A94" s="11"/>
      <c r="B94" t="str">
        <f>IFERROR(VLOOKUP(A94,'Products Index'!$A:$B,2,FALSE),"")</f>
        <v/>
      </c>
      <c r="C94" s="11"/>
      <c r="D94" s="11"/>
      <c r="E94" s="11"/>
      <c r="F94">
        <f t="shared" si="2"/>
        <v>0</v>
      </c>
      <c r="G94" s="16">
        <f>IFERROR(AVERAGEIF('Production Batches'!$C:$C,A94,'Production Batches'!$L:$L),0)</f>
        <v>0</v>
      </c>
      <c r="H94" s="16">
        <f t="shared" si="3"/>
        <v>0</v>
      </c>
      <c r="I94" s="30"/>
    </row>
    <row r="95" spans="1:9">
      <c r="A95" s="11"/>
      <c r="B95" t="str">
        <f>IFERROR(VLOOKUP(A95,'Products Index'!$A:$B,2,FALSE),"")</f>
        <v/>
      </c>
      <c r="C95" s="11"/>
      <c r="D95" s="11"/>
      <c r="E95" s="11"/>
      <c r="F95">
        <f t="shared" si="2"/>
        <v>0</v>
      </c>
      <c r="G95" s="16">
        <f>IFERROR(AVERAGEIF('Production Batches'!$C:$C,A95,'Production Batches'!$L:$L),0)</f>
        <v>0</v>
      </c>
      <c r="H95" s="16">
        <f t="shared" si="3"/>
        <v>0</v>
      </c>
      <c r="I95" s="30"/>
    </row>
    <row r="96" spans="1:9">
      <c r="A96" s="11"/>
      <c r="B96" t="str">
        <f>IFERROR(VLOOKUP(A96,'Products Index'!$A:$B,2,FALSE),"")</f>
        <v/>
      </c>
      <c r="C96" s="11"/>
      <c r="D96" s="11"/>
      <c r="E96" s="11"/>
      <c r="F96">
        <f t="shared" si="2"/>
        <v>0</v>
      </c>
      <c r="G96" s="16">
        <f>IFERROR(AVERAGEIF('Production Batches'!$C:$C,A96,'Production Batches'!$L:$L),0)</f>
        <v>0</v>
      </c>
      <c r="H96" s="16">
        <f t="shared" si="3"/>
        <v>0</v>
      </c>
      <c r="I96" s="30"/>
    </row>
    <row r="97" spans="1:9">
      <c r="A97" s="11"/>
      <c r="B97" t="str">
        <f>IFERROR(VLOOKUP(A97,'Products Index'!$A:$B,2,FALSE),"")</f>
        <v/>
      </c>
      <c r="C97" s="11"/>
      <c r="D97" s="11"/>
      <c r="E97" s="11"/>
      <c r="F97">
        <f t="shared" si="2"/>
        <v>0</v>
      </c>
      <c r="G97" s="16">
        <f>IFERROR(AVERAGEIF('Production Batches'!$C:$C,A97,'Production Batches'!$L:$L),0)</f>
        <v>0</v>
      </c>
      <c r="H97" s="16">
        <f t="shared" si="3"/>
        <v>0</v>
      </c>
      <c r="I97" s="30"/>
    </row>
    <row r="98" spans="1:9">
      <c r="A98" s="11"/>
      <c r="B98" t="str">
        <f>IFERROR(VLOOKUP(A98,'Products Index'!$A:$B,2,FALSE),"")</f>
        <v/>
      </c>
      <c r="C98" s="11"/>
      <c r="D98" s="11"/>
      <c r="E98" s="11"/>
      <c r="F98">
        <f t="shared" si="2"/>
        <v>0</v>
      </c>
      <c r="G98" s="16">
        <f>IFERROR(AVERAGEIF('Production Batches'!$C:$C,A98,'Production Batches'!$L:$L),0)</f>
        <v>0</v>
      </c>
      <c r="H98" s="16">
        <f t="shared" si="3"/>
        <v>0</v>
      </c>
      <c r="I98" s="30"/>
    </row>
    <row r="99" spans="1:9">
      <c r="A99" s="11"/>
      <c r="B99" t="str">
        <f>IFERROR(VLOOKUP(A99,'Products Index'!$A:$B,2,FALSE),"")</f>
        <v/>
      </c>
      <c r="C99" s="11"/>
      <c r="D99" s="11"/>
      <c r="E99" s="11"/>
      <c r="F99">
        <f t="shared" si="2"/>
        <v>0</v>
      </c>
      <c r="G99" s="16">
        <f>IFERROR(AVERAGEIF('Production Batches'!$C:$C,A99,'Production Batches'!$L:$L),0)</f>
        <v>0</v>
      </c>
      <c r="H99" s="16">
        <f t="shared" si="3"/>
        <v>0</v>
      </c>
      <c r="I99" s="30"/>
    </row>
    <row r="100" spans="1:9">
      <c r="A100" s="11"/>
      <c r="B100" t="str">
        <f>IFERROR(VLOOKUP(A100,'Products Index'!$A:$B,2,FALSE),"")</f>
        <v/>
      </c>
      <c r="C100" s="11"/>
      <c r="D100" s="11"/>
      <c r="E100" s="11"/>
      <c r="F100">
        <f t="shared" si="2"/>
        <v>0</v>
      </c>
      <c r="G100" s="16">
        <f>IFERROR(AVERAGEIF('Production Batches'!$C:$C,A100,'Production Batches'!$L:$L),0)</f>
        <v>0</v>
      </c>
      <c r="H100" s="16">
        <f t="shared" si="3"/>
        <v>0</v>
      </c>
      <c r="I100" s="30"/>
    </row>
    <row r="101" spans="1:9">
      <c r="A101" s="11"/>
      <c r="B101" t="str">
        <f>IFERROR(VLOOKUP(A101,'Products Index'!$A:$B,2,FALSE),"")</f>
        <v/>
      </c>
      <c r="C101" s="11"/>
      <c r="D101" s="11"/>
      <c r="E101" s="11"/>
      <c r="F101">
        <f t="shared" si="2"/>
        <v>0</v>
      </c>
      <c r="G101" s="16">
        <f>IFERROR(AVERAGEIF('Production Batches'!$C:$C,A101,'Production Batches'!$L:$L),0)</f>
        <v>0</v>
      </c>
      <c r="H101" s="16">
        <f t="shared" si="3"/>
        <v>0</v>
      </c>
      <c r="I101" s="30"/>
    </row>
    <row r="102" spans="1:9">
      <c r="A102" s="11"/>
      <c r="B102" t="str">
        <f>IFERROR(VLOOKUP(A102,'Products Index'!$A:$B,2,FALSE),"")</f>
        <v/>
      </c>
      <c r="C102" s="11"/>
      <c r="D102" s="11"/>
      <c r="E102" s="11"/>
      <c r="F102">
        <f t="shared" si="2"/>
        <v>0</v>
      </c>
      <c r="G102" s="16">
        <f>IFERROR(AVERAGEIF('Production Batches'!$C:$C,A102,'Production Batches'!$L:$L),0)</f>
        <v>0</v>
      </c>
      <c r="H102" s="16">
        <f t="shared" si="3"/>
        <v>0</v>
      </c>
      <c r="I102" s="30"/>
    </row>
    <row r="103" spans="1:9">
      <c r="A103" s="11"/>
      <c r="B103" t="str">
        <f>IFERROR(VLOOKUP(A103,'Products Index'!$A:$B,2,FALSE),"")</f>
        <v/>
      </c>
      <c r="C103" s="11"/>
      <c r="D103" s="11"/>
      <c r="E103" s="11"/>
      <c r="F103">
        <f t="shared" si="2"/>
        <v>0</v>
      </c>
      <c r="G103" s="16">
        <f>IFERROR(AVERAGEIF('Production Batches'!$C:$C,A103,'Production Batches'!$L:$L),0)</f>
        <v>0</v>
      </c>
      <c r="H103" s="16">
        <f t="shared" si="3"/>
        <v>0</v>
      </c>
      <c r="I103" s="30"/>
    </row>
    <row r="104" spans="1:9">
      <c r="A104" s="11"/>
      <c r="B104" t="str">
        <f>IFERROR(VLOOKUP(A104,'Products Index'!$A:$B,2,FALSE),"")</f>
        <v/>
      </c>
      <c r="C104" s="11"/>
      <c r="D104" s="11"/>
      <c r="E104" s="11"/>
      <c r="F104">
        <f t="shared" si="2"/>
        <v>0</v>
      </c>
      <c r="G104" s="16">
        <f>IFERROR(AVERAGEIF('Production Batches'!$C:$C,A104,'Production Batches'!$L:$L),0)</f>
        <v>0</v>
      </c>
      <c r="H104" s="16">
        <f t="shared" si="3"/>
        <v>0</v>
      </c>
      <c r="I104" s="30"/>
    </row>
    <row r="105" spans="1:9">
      <c r="A105" s="11"/>
      <c r="B105" t="str">
        <f>IFERROR(VLOOKUP(A105,'Products Index'!$A:$B,2,FALSE),"")</f>
        <v/>
      </c>
      <c r="C105" s="11"/>
      <c r="D105" s="11"/>
      <c r="E105" s="11"/>
      <c r="F105">
        <f t="shared" si="2"/>
        <v>0</v>
      </c>
      <c r="G105" s="16">
        <f>IFERROR(AVERAGEIF('Production Batches'!$C:$C,A105,'Production Batches'!$L:$L),0)</f>
        <v>0</v>
      </c>
      <c r="H105" s="16">
        <f t="shared" si="3"/>
        <v>0</v>
      </c>
      <c r="I105" s="30"/>
    </row>
    <row r="106" spans="1:9">
      <c r="A106" s="11"/>
      <c r="B106" t="str">
        <f>IFERROR(VLOOKUP(A106,'Products Index'!$A:$B,2,FALSE),"")</f>
        <v/>
      </c>
      <c r="C106" s="11"/>
      <c r="D106" s="11"/>
      <c r="E106" s="11"/>
      <c r="F106">
        <f t="shared" si="2"/>
        <v>0</v>
      </c>
      <c r="G106" s="16">
        <f>IFERROR(AVERAGEIF('Production Batches'!$C:$C,A106,'Production Batches'!$L:$L),0)</f>
        <v>0</v>
      </c>
      <c r="H106" s="16">
        <f t="shared" si="3"/>
        <v>0</v>
      </c>
      <c r="I106" s="30"/>
    </row>
    <row r="107" spans="1:9">
      <c r="A107" s="11"/>
      <c r="B107" t="str">
        <f>IFERROR(VLOOKUP(A107,'Products Index'!$A:$B,2,FALSE),"")</f>
        <v/>
      </c>
      <c r="C107" s="11"/>
      <c r="D107" s="11"/>
      <c r="E107" s="11"/>
      <c r="F107">
        <f t="shared" si="2"/>
        <v>0</v>
      </c>
      <c r="G107" s="16">
        <f>IFERROR(AVERAGEIF('Production Batches'!$C:$C,A107,'Production Batches'!$L:$L),0)</f>
        <v>0</v>
      </c>
      <c r="H107" s="16">
        <f t="shared" si="3"/>
        <v>0</v>
      </c>
      <c r="I107" s="30"/>
    </row>
    <row r="108" spans="1:9">
      <c r="A108" s="11"/>
      <c r="B108" t="str">
        <f>IFERROR(VLOOKUP(A108,'Products Index'!$A:$B,2,FALSE),"")</f>
        <v/>
      </c>
      <c r="C108" s="11"/>
      <c r="D108" s="11"/>
      <c r="E108" s="11"/>
      <c r="F108">
        <f t="shared" si="2"/>
        <v>0</v>
      </c>
      <c r="G108" s="16">
        <f>IFERROR(AVERAGEIF('Production Batches'!$C:$C,A108,'Production Batches'!$L:$L),0)</f>
        <v>0</v>
      </c>
      <c r="H108" s="16">
        <f t="shared" si="3"/>
        <v>0</v>
      </c>
      <c r="I108" s="30"/>
    </row>
    <row r="109" spans="1:9">
      <c r="A109" s="11"/>
      <c r="B109" t="str">
        <f>IFERROR(VLOOKUP(A109,'Products Index'!$A:$B,2,FALSE),"")</f>
        <v/>
      </c>
      <c r="C109" s="11"/>
      <c r="D109" s="11"/>
      <c r="E109" s="11"/>
      <c r="F109">
        <f t="shared" si="2"/>
        <v>0</v>
      </c>
      <c r="G109" s="16">
        <f>IFERROR(AVERAGEIF('Production Batches'!$C:$C,A109,'Production Batches'!$L:$L),0)</f>
        <v>0</v>
      </c>
      <c r="H109" s="16">
        <f t="shared" si="3"/>
        <v>0</v>
      </c>
      <c r="I109" s="30"/>
    </row>
    <row r="110" spans="1:9">
      <c r="A110" s="11"/>
      <c r="B110" t="str">
        <f>IFERROR(VLOOKUP(A110,'Products Index'!$A:$B,2,FALSE),"")</f>
        <v/>
      </c>
      <c r="C110" s="11"/>
      <c r="D110" s="11"/>
      <c r="E110" s="11"/>
      <c r="F110">
        <f t="shared" si="2"/>
        <v>0</v>
      </c>
      <c r="G110" s="16">
        <f>IFERROR(AVERAGEIF('Production Batches'!$C:$C,A110,'Production Batches'!$L:$L),0)</f>
        <v>0</v>
      </c>
      <c r="H110" s="16">
        <f t="shared" si="3"/>
        <v>0</v>
      </c>
      <c r="I110" s="30"/>
    </row>
    <row r="111" spans="1:9">
      <c r="A111" s="11"/>
      <c r="B111" t="str">
        <f>IFERROR(VLOOKUP(A111,'Products Index'!$A:$B,2,FALSE),"")</f>
        <v/>
      </c>
      <c r="C111" s="11"/>
      <c r="D111" s="11"/>
      <c r="E111" s="11"/>
      <c r="F111">
        <f t="shared" si="2"/>
        <v>0</v>
      </c>
      <c r="G111" s="16">
        <f>IFERROR(AVERAGEIF('Production Batches'!$C:$C,A111,'Production Batches'!$L:$L),0)</f>
        <v>0</v>
      </c>
      <c r="H111" s="16">
        <f t="shared" si="3"/>
        <v>0</v>
      </c>
      <c r="I111" s="30"/>
    </row>
    <row r="112" spans="1:9">
      <c r="A112" s="11"/>
      <c r="B112" t="str">
        <f>IFERROR(VLOOKUP(A112,'Products Index'!$A:$B,2,FALSE),"")</f>
        <v/>
      </c>
      <c r="C112" s="11"/>
      <c r="D112" s="11"/>
      <c r="E112" s="11"/>
      <c r="F112">
        <f t="shared" si="2"/>
        <v>0</v>
      </c>
      <c r="G112" s="16">
        <f>IFERROR(AVERAGEIF('Production Batches'!$C:$C,A112,'Production Batches'!$L:$L),0)</f>
        <v>0</v>
      </c>
      <c r="H112" s="16">
        <f t="shared" si="3"/>
        <v>0</v>
      </c>
      <c r="I112" s="30"/>
    </row>
    <row r="113" spans="1:9">
      <c r="A113" s="11"/>
      <c r="B113" t="str">
        <f>IFERROR(VLOOKUP(A113,'Products Index'!$A:$B,2,FALSE),"")</f>
        <v/>
      </c>
      <c r="C113" s="11"/>
      <c r="D113" s="11"/>
      <c r="E113" s="11"/>
      <c r="F113">
        <f t="shared" si="2"/>
        <v>0</v>
      </c>
      <c r="G113" s="16">
        <f>IFERROR(AVERAGEIF('Production Batches'!$C:$C,A113,'Production Batches'!$L:$L),0)</f>
        <v>0</v>
      </c>
      <c r="H113" s="16">
        <f t="shared" si="3"/>
        <v>0</v>
      </c>
      <c r="I113" s="30"/>
    </row>
    <row r="114" spans="1:9">
      <c r="A114" s="11"/>
      <c r="B114" t="str">
        <f>IFERROR(VLOOKUP(A114,'Products Index'!$A:$B,2,FALSE),"")</f>
        <v/>
      </c>
      <c r="C114" s="11"/>
      <c r="D114" s="11"/>
      <c r="E114" s="11"/>
      <c r="F114">
        <f t="shared" si="2"/>
        <v>0</v>
      </c>
      <c r="G114" s="16">
        <f>IFERROR(AVERAGEIF('Production Batches'!$C:$C,A114,'Production Batches'!$L:$L),0)</f>
        <v>0</v>
      </c>
      <c r="H114" s="16">
        <f t="shared" si="3"/>
        <v>0</v>
      </c>
      <c r="I114" s="30"/>
    </row>
    <row r="115" spans="1:9">
      <c r="A115" s="11"/>
      <c r="B115" t="str">
        <f>IFERROR(VLOOKUP(A115,'Products Index'!$A:$B,2,FALSE),"")</f>
        <v/>
      </c>
      <c r="C115" s="11"/>
      <c r="D115" s="11"/>
      <c r="E115" s="11"/>
      <c r="F115">
        <f t="shared" si="2"/>
        <v>0</v>
      </c>
      <c r="G115" s="16">
        <f>IFERROR(AVERAGEIF('Production Batches'!$C:$C,A115,'Production Batches'!$L:$L),0)</f>
        <v>0</v>
      </c>
      <c r="H115" s="16">
        <f t="shared" si="3"/>
        <v>0</v>
      </c>
      <c r="I115" s="30"/>
    </row>
    <row r="116" spans="1:9">
      <c r="A116" s="11"/>
      <c r="B116" t="str">
        <f>IFERROR(VLOOKUP(A116,'Products Index'!$A:$B,2,FALSE),"")</f>
        <v/>
      </c>
      <c r="C116" s="11"/>
      <c r="D116" s="11"/>
      <c r="E116" s="11"/>
      <c r="F116">
        <f t="shared" si="2"/>
        <v>0</v>
      </c>
      <c r="G116" s="16">
        <f>IFERROR(AVERAGEIF('Production Batches'!$C:$C,A116,'Production Batches'!$L:$L),0)</f>
        <v>0</v>
      </c>
      <c r="H116" s="16">
        <f t="shared" si="3"/>
        <v>0</v>
      </c>
      <c r="I116" s="30"/>
    </row>
    <row r="117" spans="1:9">
      <c r="A117" s="11"/>
      <c r="B117" t="str">
        <f>IFERROR(VLOOKUP(A117,'Products Index'!$A:$B,2,FALSE),"")</f>
        <v/>
      </c>
      <c r="C117" s="11"/>
      <c r="D117" s="11"/>
      <c r="E117" s="11"/>
      <c r="F117">
        <f t="shared" si="2"/>
        <v>0</v>
      </c>
      <c r="G117" s="16">
        <f>IFERROR(AVERAGEIF('Production Batches'!$C:$C,A117,'Production Batches'!$L:$L),0)</f>
        <v>0</v>
      </c>
      <c r="H117" s="16">
        <f t="shared" si="3"/>
        <v>0</v>
      </c>
      <c r="I117" s="30"/>
    </row>
    <row r="118" spans="1:9">
      <c r="A118" s="11"/>
      <c r="B118" t="str">
        <f>IFERROR(VLOOKUP(A118,'Products Index'!$A:$B,2,FALSE),"")</f>
        <v/>
      </c>
      <c r="C118" s="11"/>
      <c r="D118" s="11"/>
      <c r="E118" s="11"/>
      <c r="F118">
        <f t="shared" si="2"/>
        <v>0</v>
      </c>
      <c r="G118" s="16">
        <f>IFERROR(AVERAGEIF('Production Batches'!$C:$C,A118,'Production Batches'!$L:$L),0)</f>
        <v>0</v>
      </c>
      <c r="H118" s="16">
        <f t="shared" si="3"/>
        <v>0</v>
      </c>
      <c r="I118" s="30"/>
    </row>
    <row r="119" spans="1:9">
      <c r="A119" s="11"/>
      <c r="B119" t="str">
        <f>IFERROR(VLOOKUP(A119,'Products Index'!$A:$B,2,FALSE),"")</f>
        <v/>
      </c>
      <c r="C119" s="11"/>
      <c r="D119" s="11"/>
      <c r="E119" s="11"/>
      <c r="F119">
        <f t="shared" si="2"/>
        <v>0</v>
      </c>
      <c r="G119" s="16">
        <f>IFERROR(AVERAGEIF('Production Batches'!$C:$C,A119,'Production Batches'!$L:$L),0)</f>
        <v>0</v>
      </c>
      <c r="H119" s="16">
        <f t="shared" si="3"/>
        <v>0</v>
      </c>
      <c r="I119" s="30"/>
    </row>
    <row r="120" spans="1:9">
      <c r="A120" s="11"/>
      <c r="B120" t="str">
        <f>IFERROR(VLOOKUP(A120,'Products Index'!$A:$B,2,FALSE),"")</f>
        <v/>
      </c>
      <c r="C120" s="11"/>
      <c r="D120" s="11"/>
      <c r="E120" s="11"/>
      <c r="F120">
        <f t="shared" si="2"/>
        <v>0</v>
      </c>
      <c r="G120" s="16">
        <f>IFERROR(AVERAGEIF('Production Batches'!$C:$C,A120,'Production Batches'!$L:$L),0)</f>
        <v>0</v>
      </c>
      <c r="H120" s="16">
        <f t="shared" si="3"/>
        <v>0</v>
      </c>
      <c r="I120" s="30"/>
    </row>
    <row r="121" spans="1:9">
      <c r="A121" s="11"/>
      <c r="B121" t="str">
        <f>IFERROR(VLOOKUP(A121,'Products Index'!$A:$B,2,FALSE),"")</f>
        <v/>
      </c>
      <c r="C121" s="11"/>
      <c r="D121" s="11"/>
      <c r="E121" s="11"/>
      <c r="F121">
        <f t="shared" si="2"/>
        <v>0</v>
      </c>
      <c r="G121" s="16">
        <f>IFERROR(AVERAGEIF('Production Batches'!$C:$C,A121,'Production Batches'!$L:$L),0)</f>
        <v>0</v>
      </c>
      <c r="H121" s="16">
        <f t="shared" si="3"/>
        <v>0</v>
      </c>
      <c r="I121" s="30"/>
    </row>
    <row r="122" spans="1:9">
      <c r="A122" s="11"/>
      <c r="B122" t="str">
        <f>IFERROR(VLOOKUP(A122,'Products Index'!$A:$B,2,FALSE),"")</f>
        <v/>
      </c>
      <c r="C122" s="11"/>
      <c r="D122" s="11"/>
      <c r="E122" s="11"/>
      <c r="F122">
        <f t="shared" si="2"/>
        <v>0</v>
      </c>
      <c r="G122" s="16">
        <f>IFERROR(AVERAGEIF('Production Batches'!$C:$C,A122,'Production Batches'!$L:$L),0)</f>
        <v>0</v>
      </c>
      <c r="H122" s="16">
        <f t="shared" si="3"/>
        <v>0</v>
      </c>
      <c r="I122" s="30"/>
    </row>
    <row r="123" spans="1:9">
      <c r="A123" s="11"/>
      <c r="B123" t="str">
        <f>IFERROR(VLOOKUP(A123,'Products Index'!$A:$B,2,FALSE),"")</f>
        <v/>
      </c>
      <c r="C123" s="11"/>
      <c r="D123" s="11"/>
      <c r="E123" s="11"/>
      <c r="F123">
        <f t="shared" si="2"/>
        <v>0</v>
      </c>
      <c r="G123" s="16">
        <f>IFERROR(AVERAGEIF('Production Batches'!$C:$C,A123,'Production Batches'!$L:$L),0)</f>
        <v>0</v>
      </c>
      <c r="H123" s="16">
        <f t="shared" si="3"/>
        <v>0</v>
      </c>
      <c r="I123" s="30"/>
    </row>
    <row r="124" spans="1:9">
      <c r="A124" s="11"/>
      <c r="B124" t="str">
        <f>IFERROR(VLOOKUP(A124,'Products Index'!$A:$B,2,FALSE),"")</f>
        <v/>
      </c>
      <c r="C124" s="11"/>
      <c r="D124" s="11"/>
      <c r="E124" s="11"/>
      <c r="F124">
        <f t="shared" si="2"/>
        <v>0</v>
      </c>
      <c r="G124" s="16">
        <f>IFERROR(AVERAGEIF('Production Batches'!$C:$C,A124,'Production Batches'!$L:$L),0)</f>
        <v>0</v>
      </c>
      <c r="H124" s="16">
        <f t="shared" si="3"/>
        <v>0</v>
      </c>
      <c r="I124" s="30"/>
    </row>
    <row r="125" spans="1:9">
      <c r="A125" s="11"/>
      <c r="B125" t="str">
        <f>IFERROR(VLOOKUP(A125,'Products Index'!$A:$B,2,FALSE),"")</f>
        <v/>
      </c>
      <c r="C125" s="11"/>
      <c r="D125" s="11"/>
      <c r="E125" s="11"/>
      <c r="F125">
        <f t="shared" si="2"/>
        <v>0</v>
      </c>
      <c r="G125" s="16">
        <f>IFERROR(AVERAGEIF('Production Batches'!$C:$C,A125,'Production Batches'!$L:$L),0)</f>
        <v>0</v>
      </c>
      <c r="H125" s="16">
        <f t="shared" si="3"/>
        <v>0</v>
      </c>
      <c r="I125" s="30"/>
    </row>
    <row r="126" spans="1:9">
      <c r="A126" s="11"/>
      <c r="B126" t="str">
        <f>IFERROR(VLOOKUP(A126,'Products Index'!$A:$B,2,FALSE),"")</f>
        <v/>
      </c>
      <c r="C126" s="11"/>
      <c r="D126" s="11"/>
      <c r="E126" s="11"/>
      <c r="F126">
        <f t="shared" si="2"/>
        <v>0</v>
      </c>
      <c r="G126" s="16">
        <f>IFERROR(AVERAGEIF('Production Batches'!$C:$C,A126,'Production Batches'!$L:$L),0)</f>
        <v>0</v>
      </c>
      <c r="H126" s="16">
        <f t="shared" si="3"/>
        <v>0</v>
      </c>
      <c r="I126" s="30"/>
    </row>
    <row r="127" spans="1:9">
      <c r="A127" s="11"/>
      <c r="B127" t="str">
        <f>IFERROR(VLOOKUP(A127,'Products Index'!$A:$B,2,FALSE),"")</f>
        <v/>
      </c>
      <c r="C127" s="11"/>
      <c r="D127" s="11"/>
      <c r="E127" s="11"/>
      <c r="F127">
        <f t="shared" si="2"/>
        <v>0</v>
      </c>
      <c r="G127" s="16">
        <f>IFERROR(AVERAGEIF('Production Batches'!$C:$C,A127,'Production Batches'!$L:$L),0)</f>
        <v>0</v>
      </c>
      <c r="H127" s="16">
        <f t="shared" si="3"/>
        <v>0</v>
      </c>
      <c r="I127" s="30"/>
    </row>
    <row r="128" spans="1:9">
      <c r="A128" s="11"/>
      <c r="B128" t="str">
        <f>IFERROR(VLOOKUP(A128,'Products Index'!$A:$B,2,FALSE),"")</f>
        <v/>
      </c>
      <c r="C128" s="11"/>
      <c r="D128" s="11"/>
      <c r="E128" s="11"/>
      <c r="F128">
        <f t="shared" si="2"/>
        <v>0</v>
      </c>
      <c r="G128" s="16">
        <f>IFERROR(AVERAGEIF('Production Batches'!$C:$C,A128,'Production Batches'!$L:$L),0)</f>
        <v>0</v>
      </c>
      <c r="H128" s="16">
        <f t="shared" si="3"/>
        <v>0</v>
      </c>
      <c r="I128" s="30"/>
    </row>
    <row r="129" spans="1:9">
      <c r="A129" s="11"/>
      <c r="B129" t="str">
        <f>IFERROR(VLOOKUP(A129,'Products Index'!$A:$B,2,FALSE),"")</f>
        <v/>
      </c>
      <c r="C129" s="11"/>
      <c r="D129" s="11"/>
      <c r="E129" s="11"/>
      <c r="F129">
        <f t="shared" si="2"/>
        <v>0</v>
      </c>
      <c r="G129" s="16">
        <f>IFERROR(AVERAGEIF('Production Batches'!$C:$C,A129,'Production Batches'!$L:$L),0)</f>
        <v>0</v>
      </c>
      <c r="H129" s="16">
        <f t="shared" si="3"/>
        <v>0</v>
      </c>
      <c r="I129" s="30"/>
    </row>
    <row r="130" spans="1:9">
      <c r="A130" s="11"/>
      <c r="B130" t="str">
        <f>IFERROR(VLOOKUP(A130,'Products Index'!$A:$B,2,FALSE),"")</f>
        <v/>
      </c>
      <c r="C130" s="11"/>
      <c r="D130" s="11"/>
      <c r="E130" s="11"/>
      <c r="F130">
        <f t="shared" ref="F130:F193" si="4">MAX(D130-E130,0)</f>
        <v>0</v>
      </c>
      <c r="G130" s="16">
        <f>IFERROR(AVERAGEIF('Production Batches'!$C:$C,A130,'Production Batches'!$L:$L),0)</f>
        <v>0</v>
      </c>
      <c r="H130" s="16">
        <f t="shared" ref="H130:H193" si="5">IFERROR(F130*G130,0)</f>
        <v>0</v>
      </c>
      <c r="I130" s="30"/>
    </row>
    <row r="131" spans="1:9">
      <c r="A131" s="11"/>
      <c r="B131" t="str">
        <f>IFERROR(VLOOKUP(A131,'Products Index'!$A:$B,2,FALSE),"")</f>
        <v/>
      </c>
      <c r="C131" s="11"/>
      <c r="D131" s="11"/>
      <c r="E131" s="11"/>
      <c r="F131">
        <f t="shared" si="4"/>
        <v>0</v>
      </c>
      <c r="G131" s="16">
        <f>IFERROR(AVERAGEIF('Production Batches'!$C:$C,A131,'Production Batches'!$L:$L),0)</f>
        <v>0</v>
      </c>
      <c r="H131" s="16">
        <f t="shared" si="5"/>
        <v>0</v>
      </c>
      <c r="I131" s="30"/>
    </row>
    <row r="132" spans="1:9">
      <c r="A132" s="11"/>
      <c r="B132" t="str">
        <f>IFERROR(VLOOKUP(A132,'Products Index'!$A:$B,2,FALSE),"")</f>
        <v/>
      </c>
      <c r="C132" s="11"/>
      <c r="D132" s="11"/>
      <c r="E132" s="11"/>
      <c r="F132">
        <f t="shared" si="4"/>
        <v>0</v>
      </c>
      <c r="G132" s="16">
        <f>IFERROR(AVERAGEIF('Production Batches'!$C:$C,A132,'Production Batches'!$L:$L),0)</f>
        <v>0</v>
      </c>
      <c r="H132" s="16">
        <f t="shared" si="5"/>
        <v>0</v>
      </c>
      <c r="I132" s="30"/>
    </row>
    <row r="133" spans="1:9">
      <c r="A133" s="11"/>
      <c r="B133" t="str">
        <f>IFERROR(VLOOKUP(A133,'Products Index'!$A:$B,2,FALSE),"")</f>
        <v/>
      </c>
      <c r="C133" s="11"/>
      <c r="D133" s="11"/>
      <c r="E133" s="11"/>
      <c r="F133">
        <f t="shared" si="4"/>
        <v>0</v>
      </c>
      <c r="G133" s="16">
        <f>IFERROR(AVERAGEIF('Production Batches'!$C:$C,A133,'Production Batches'!$L:$L),0)</f>
        <v>0</v>
      </c>
      <c r="H133" s="16">
        <f t="shared" si="5"/>
        <v>0</v>
      </c>
      <c r="I133" s="30"/>
    </row>
    <row r="134" spans="1:9">
      <c r="A134" s="11"/>
      <c r="B134" t="str">
        <f>IFERROR(VLOOKUP(A134,'Products Index'!$A:$B,2,FALSE),"")</f>
        <v/>
      </c>
      <c r="C134" s="11"/>
      <c r="D134" s="11"/>
      <c r="E134" s="11"/>
      <c r="F134">
        <f t="shared" si="4"/>
        <v>0</v>
      </c>
      <c r="G134" s="16">
        <f>IFERROR(AVERAGEIF('Production Batches'!$C:$C,A134,'Production Batches'!$L:$L),0)</f>
        <v>0</v>
      </c>
      <c r="H134" s="16">
        <f t="shared" si="5"/>
        <v>0</v>
      </c>
      <c r="I134" s="30"/>
    </row>
    <row r="135" spans="1:9">
      <c r="A135" s="11"/>
      <c r="B135" t="str">
        <f>IFERROR(VLOOKUP(A135,'Products Index'!$A:$B,2,FALSE),"")</f>
        <v/>
      </c>
      <c r="C135" s="11"/>
      <c r="D135" s="11"/>
      <c r="E135" s="11"/>
      <c r="F135">
        <f t="shared" si="4"/>
        <v>0</v>
      </c>
      <c r="G135" s="16">
        <f>IFERROR(AVERAGEIF('Production Batches'!$C:$C,A135,'Production Batches'!$L:$L),0)</f>
        <v>0</v>
      </c>
      <c r="H135" s="16">
        <f t="shared" si="5"/>
        <v>0</v>
      </c>
      <c r="I135" s="30"/>
    </row>
    <row r="136" spans="1:9">
      <c r="A136" s="11"/>
      <c r="B136" t="str">
        <f>IFERROR(VLOOKUP(A136,'Products Index'!$A:$B,2,FALSE),"")</f>
        <v/>
      </c>
      <c r="C136" s="11"/>
      <c r="D136" s="11"/>
      <c r="E136" s="11"/>
      <c r="F136">
        <f t="shared" si="4"/>
        <v>0</v>
      </c>
      <c r="G136" s="16">
        <f>IFERROR(AVERAGEIF('Production Batches'!$C:$C,A136,'Production Batches'!$L:$L),0)</f>
        <v>0</v>
      </c>
      <c r="H136" s="16">
        <f t="shared" si="5"/>
        <v>0</v>
      </c>
      <c r="I136" s="30"/>
    </row>
    <row r="137" spans="1:9">
      <c r="A137" s="11"/>
      <c r="B137" t="str">
        <f>IFERROR(VLOOKUP(A137,'Products Index'!$A:$B,2,FALSE),"")</f>
        <v/>
      </c>
      <c r="C137" s="11"/>
      <c r="D137" s="11"/>
      <c r="E137" s="11"/>
      <c r="F137">
        <f t="shared" si="4"/>
        <v>0</v>
      </c>
      <c r="G137" s="16">
        <f>IFERROR(AVERAGEIF('Production Batches'!$C:$C,A137,'Production Batches'!$L:$L),0)</f>
        <v>0</v>
      </c>
      <c r="H137" s="16">
        <f t="shared" si="5"/>
        <v>0</v>
      </c>
      <c r="I137" s="30"/>
    </row>
    <row r="138" spans="1:9">
      <c r="A138" s="11"/>
      <c r="B138" t="str">
        <f>IFERROR(VLOOKUP(A138,'Products Index'!$A:$B,2,FALSE),"")</f>
        <v/>
      </c>
      <c r="C138" s="11"/>
      <c r="D138" s="11"/>
      <c r="E138" s="11"/>
      <c r="F138">
        <f t="shared" si="4"/>
        <v>0</v>
      </c>
      <c r="G138" s="16">
        <f>IFERROR(AVERAGEIF('Production Batches'!$C:$C,A138,'Production Batches'!$L:$L),0)</f>
        <v>0</v>
      </c>
      <c r="H138" s="16">
        <f t="shared" si="5"/>
        <v>0</v>
      </c>
      <c r="I138" s="30"/>
    </row>
    <row r="139" spans="1:9">
      <c r="A139" s="11"/>
      <c r="B139" t="str">
        <f>IFERROR(VLOOKUP(A139,'Products Index'!$A:$B,2,FALSE),"")</f>
        <v/>
      </c>
      <c r="C139" s="11"/>
      <c r="D139" s="11"/>
      <c r="E139" s="11"/>
      <c r="F139">
        <f t="shared" si="4"/>
        <v>0</v>
      </c>
      <c r="G139" s="16">
        <f>IFERROR(AVERAGEIF('Production Batches'!$C:$C,A139,'Production Batches'!$L:$L),0)</f>
        <v>0</v>
      </c>
      <c r="H139" s="16">
        <f t="shared" si="5"/>
        <v>0</v>
      </c>
      <c r="I139" s="30"/>
    </row>
    <row r="140" spans="1:9">
      <c r="A140" s="11"/>
      <c r="B140" t="str">
        <f>IFERROR(VLOOKUP(A140,'Products Index'!$A:$B,2,FALSE),"")</f>
        <v/>
      </c>
      <c r="C140" s="11"/>
      <c r="D140" s="11"/>
      <c r="E140" s="11"/>
      <c r="F140">
        <f t="shared" si="4"/>
        <v>0</v>
      </c>
      <c r="G140" s="16">
        <f>IFERROR(AVERAGEIF('Production Batches'!$C:$C,A140,'Production Batches'!$L:$L),0)</f>
        <v>0</v>
      </c>
      <c r="H140" s="16">
        <f t="shared" si="5"/>
        <v>0</v>
      </c>
      <c r="I140" s="30"/>
    </row>
    <row r="141" spans="1:9">
      <c r="A141" s="11"/>
      <c r="B141" t="str">
        <f>IFERROR(VLOOKUP(A141,'Products Index'!$A:$B,2,FALSE),"")</f>
        <v/>
      </c>
      <c r="C141" s="11"/>
      <c r="D141" s="11"/>
      <c r="E141" s="11"/>
      <c r="F141">
        <f t="shared" si="4"/>
        <v>0</v>
      </c>
      <c r="G141" s="16">
        <f>IFERROR(AVERAGEIF('Production Batches'!$C:$C,A141,'Production Batches'!$L:$L),0)</f>
        <v>0</v>
      </c>
      <c r="H141" s="16">
        <f t="shared" si="5"/>
        <v>0</v>
      </c>
      <c r="I141" s="30"/>
    </row>
    <row r="142" spans="1:9">
      <c r="A142" s="11"/>
      <c r="B142" t="str">
        <f>IFERROR(VLOOKUP(A142,'Products Index'!$A:$B,2,FALSE),"")</f>
        <v/>
      </c>
      <c r="C142" s="11"/>
      <c r="D142" s="11"/>
      <c r="E142" s="11"/>
      <c r="F142">
        <f t="shared" si="4"/>
        <v>0</v>
      </c>
      <c r="G142" s="16">
        <f>IFERROR(AVERAGEIF('Production Batches'!$C:$C,A142,'Production Batches'!$L:$L),0)</f>
        <v>0</v>
      </c>
      <c r="H142" s="16">
        <f t="shared" si="5"/>
        <v>0</v>
      </c>
      <c r="I142" s="30"/>
    </row>
    <row r="143" spans="1:9">
      <c r="A143" s="11"/>
      <c r="B143" t="str">
        <f>IFERROR(VLOOKUP(A143,'Products Index'!$A:$B,2,FALSE),"")</f>
        <v/>
      </c>
      <c r="C143" s="11"/>
      <c r="D143" s="11"/>
      <c r="E143" s="11"/>
      <c r="F143">
        <f t="shared" si="4"/>
        <v>0</v>
      </c>
      <c r="G143" s="16">
        <f>IFERROR(AVERAGEIF('Production Batches'!$C:$C,A143,'Production Batches'!$L:$L),0)</f>
        <v>0</v>
      </c>
      <c r="H143" s="16">
        <f t="shared" si="5"/>
        <v>0</v>
      </c>
      <c r="I143" s="30"/>
    </row>
    <row r="144" spans="1:9">
      <c r="A144" s="11"/>
      <c r="B144" t="str">
        <f>IFERROR(VLOOKUP(A144,'Products Index'!$A:$B,2,FALSE),"")</f>
        <v/>
      </c>
      <c r="C144" s="11"/>
      <c r="D144" s="11"/>
      <c r="E144" s="11"/>
      <c r="F144">
        <f t="shared" si="4"/>
        <v>0</v>
      </c>
      <c r="G144" s="16">
        <f>IFERROR(AVERAGEIF('Production Batches'!$C:$C,A144,'Production Batches'!$L:$L),0)</f>
        <v>0</v>
      </c>
      <c r="H144" s="16">
        <f t="shared" si="5"/>
        <v>0</v>
      </c>
      <c r="I144" s="30"/>
    </row>
    <row r="145" spans="1:9">
      <c r="A145" s="11"/>
      <c r="B145" t="str">
        <f>IFERROR(VLOOKUP(A145,'Products Index'!$A:$B,2,FALSE),"")</f>
        <v/>
      </c>
      <c r="C145" s="11"/>
      <c r="D145" s="11"/>
      <c r="E145" s="11"/>
      <c r="F145">
        <f t="shared" si="4"/>
        <v>0</v>
      </c>
      <c r="G145" s="16">
        <f>IFERROR(AVERAGEIF('Production Batches'!$C:$C,A145,'Production Batches'!$L:$L),0)</f>
        <v>0</v>
      </c>
      <c r="H145" s="16">
        <f t="shared" si="5"/>
        <v>0</v>
      </c>
      <c r="I145" s="30"/>
    </row>
    <row r="146" spans="1:9">
      <c r="A146" s="11"/>
      <c r="B146" t="str">
        <f>IFERROR(VLOOKUP(A146,'Products Index'!$A:$B,2,FALSE),"")</f>
        <v/>
      </c>
      <c r="C146" s="11"/>
      <c r="D146" s="11"/>
      <c r="E146" s="11"/>
      <c r="F146">
        <f t="shared" si="4"/>
        <v>0</v>
      </c>
      <c r="G146" s="16">
        <f>IFERROR(AVERAGEIF('Production Batches'!$C:$C,A146,'Production Batches'!$L:$L),0)</f>
        <v>0</v>
      </c>
      <c r="H146" s="16">
        <f t="shared" si="5"/>
        <v>0</v>
      </c>
      <c r="I146" s="30"/>
    </row>
    <row r="147" spans="1:9">
      <c r="A147" s="11"/>
      <c r="B147" t="str">
        <f>IFERROR(VLOOKUP(A147,'Products Index'!$A:$B,2,FALSE),"")</f>
        <v/>
      </c>
      <c r="C147" s="11"/>
      <c r="D147" s="11"/>
      <c r="E147" s="11"/>
      <c r="F147">
        <f t="shared" si="4"/>
        <v>0</v>
      </c>
      <c r="G147" s="16">
        <f>IFERROR(AVERAGEIF('Production Batches'!$C:$C,A147,'Production Batches'!$L:$L),0)</f>
        <v>0</v>
      </c>
      <c r="H147" s="16">
        <f t="shared" si="5"/>
        <v>0</v>
      </c>
      <c r="I147" s="30"/>
    </row>
    <row r="148" spans="1:9">
      <c r="A148" s="11"/>
      <c r="B148" t="str">
        <f>IFERROR(VLOOKUP(A148,'Products Index'!$A:$B,2,FALSE),"")</f>
        <v/>
      </c>
      <c r="C148" s="11"/>
      <c r="D148" s="11"/>
      <c r="E148" s="11"/>
      <c r="F148">
        <f t="shared" si="4"/>
        <v>0</v>
      </c>
      <c r="G148" s="16">
        <f>IFERROR(AVERAGEIF('Production Batches'!$C:$C,A148,'Production Batches'!$L:$L),0)</f>
        <v>0</v>
      </c>
      <c r="H148" s="16">
        <f t="shared" si="5"/>
        <v>0</v>
      </c>
      <c r="I148" s="30"/>
    </row>
    <row r="149" spans="1:9">
      <c r="A149" s="11"/>
      <c r="B149" t="str">
        <f>IFERROR(VLOOKUP(A149,'Products Index'!$A:$B,2,FALSE),"")</f>
        <v/>
      </c>
      <c r="C149" s="11"/>
      <c r="D149" s="11"/>
      <c r="E149" s="11"/>
      <c r="F149">
        <f t="shared" si="4"/>
        <v>0</v>
      </c>
      <c r="G149" s="16">
        <f>IFERROR(AVERAGEIF('Production Batches'!$C:$C,A149,'Production Batches'!$L:$L),0)</f>
        <v>0</v>
      </c>
      <c r="H149" s="16">
        <f t="shared" si="5"/>
        <v>0</v>
      </c>
      <c r="I149" s="30"/>
    </row>
    <row r="150" spans="1:9">
      <c r="A150" s="11"/>
      <c r="B150" t="str">
        <f>IFERROR(VLOOKUP(A150,'Products Index'!$A:$B,2,FALSE),"")</f>
        <v/>
      </c>
      <c r="C150" s="11"/>
      <c r="D150" s="11"/>
      <c r="E150" s="11"/>
      <c r="F150">
        <f t="shared" si="4"/>
        <v>0</v>
      </c>
      <c r="G150" s="16">
        <f>IFERROR(AVERAGEIF('Production Batches'!$C:$C,A150,'Production Batches'!$L:$L),0)</f>
        <v>0</v>
      </c>
      <c r="H150" s="16">
        <f t="shared" si="5"/>
        <v>0</v>
      </c>
      <c r="I150" s="30"/>
    </row>
    <row r="151" spans="1:9">
      <c r="A151" s="11"/>
      <c r="B151" t="str">
        <f>IFERROR(VLOOKUP(A151,'Products Index'!$A:$B,2,FALSE),"")</f>
        <v/>
      </c>
      <c r="C151" s="11"/>
      <c r="D151" s="11"/>
      <c r="E151" s="11"/>
      <c r="F151">
        <f t="shared" si="4"/>
        <v>0</v>
      </c>
      <c r="G151" s="16">
        <f>IFERROR(AVERAGEIF('Production Batches'!$C:$C,A151,'Production Batches'!$L:$L),0)</f>
        <v>0</v>
      </c>
      <c r="H151" s="16">
        <f t="shared" si="5"/>
        <v>0</v>
      </c>
      <c r="I151" s="30"/>
    </row>
    <row r="152" spans="1:9">
      <c r="A152" s="11"/>
      <c r="B152" t="str">
        <f>IFERROR(VLOOKUP(A152,'Products Index'!$A:$B,2,FALSE),"")</f>
        <v/>
      </c>
      <c r="C152" s="11"/>
      <c r="D152" s="11"/>
      <c r="E152" s="11"/>
      <c r="F152">
        <f t="shared" si="4"/>
        <v>0</v>
      </c>
      <c r="G152" s="16">
        <f>IFERROR(AVERAGEIF('Production Batches'!$C:$C,A152,'Production Batches'!$L:$L),0)</f>
        <v>0</v>
      </c>
      <c r="H152" s="16">
        <f t="shared" si="5"/>
        <v>0</v>
      </c>
      <c r="I152" s="30"/>
    </row>
    <row r="153" spans="1:9">
      <c r="A153" s="11"/>
      <c r="B153" t="str">
        <f>IFERROR(VLOOKUP(A153,'Products Index'!$A:$B,2,FALSE),"")</f>
        <v/>
      </c>
      <c r="C153" s="11"/>
      <c r="D153" s="11"/>
      <c r="E153" s="11"/>
      <c r="F153">
        <f t="shared" si="4"/>
        <v>0</v>
      </c>
      <c r="G153" s="16">
        <f>IFERROR(AVERAGEIF('Production Batches'!$C:$C,A153,'Production Batches'!$L:$L),0)</f>
        <v>0</v>
      </c>
      <c r="H153" s="16">
        <f t="shared" si="5"/>
        <v>0</v>
      </c>
      <c r="I153" s="30"/>
    </row>
    <row r="154" spans="1:9">
      <c r="A154" s="11"/>
      <c r="B154" t="str">
        <f>IFERROR(VLOOKUP(A154,'Products Index'!$A:$B,2,FALSE),"")</f>
        <v/>
      </c>
      <c r="C154" s="11"/>
      <c r="D154" s="11"/>
      <c r="E154" s="11"/>
      <c r="F154">
        <f t="shared" si="4"/>
        <v>0</v>
      </c>
      <c r="G154" s="16">
        <f>IFERROR(AVERAGEIF('Production Batches'!$C:$C,A154,'Production Batches'!$L:$L),0)</f>
        <v>0</v>
      </c>
      <c r="H154" s="16">
        <f t="shared" si="5"/>
        <v>0</v>
      </c>
      <c r="I154" s="30"/>
    </row>
    <row r="155" spans="1:9">
      <c r="A155" s="11"/>
      <c r="B155" t="str">
        <f>IFERROR(VLOOKUP(A155,'Products Index'!$A:$B,2,FALSE),"")</f>
        <v/>
      </c>
      <c r="C155" s="11"/>
      <c r="D155" s="11"/>
      <c r="E155" s="11"/>
      <c r="F155">
        <f t="shared" si="4"/>
        <v>0</v>
      </c>
      <c r="G155" s="16">
        <f>IFERROR(AVERAGEIF('Production Batches'!$C:$C,A155,'Production Batches'!$L:$L),0)</f>
        <v>0</v>
      </c>
      <c r="H155" s="16">
        <f t="shared" si="5"/>
        <v>0</v>
      </c>
      <c r="I155" s="30"/>
    </row>
    <row r="156" spans="1:9">
      <c r="A156" s="11"/>
      <c r="B156" t="str">
        <f>IFERROR(VLOOKUP(A156,'Products Index'!$A:$B,2,FALSE),"")</f>
        <v/>
      </c>
      <c r="C156" s="11"/>
      <c r="D156" s="11"/>
      <c r="E156" s="11"/>
      <c r="F156">
        <f t="shared" si="4"/>
        <v>0</v>
      </c>
      <c r="G156" s="16">
        <f>IFERROR(AVERAGEIF('Production Batches'!$C:$C,A156,'Production Batches'!$L:$L),0)</f>
        <v>0</v>
      </c>
      <c r="H156" s="16">
        <f t="shared" si="5"/>
        <v>0</v>
      </c>
      <c r="I156" s="30"/>
    </row>
    <row r="157" spans="1:9">
      <c r="A157" s="11"/>
      <c r="B157" t="str">
        <f>IFERROR(VLOOKUP(A157,'Products Index'!$A:$B,2,FALSE),"")</f>
        <v/>
      </c>
      <c r="C157" s="11"/>
      <c r="D157" s="11"/>
      <c r="E157" s="11"/>
      <c r="F157">
        <f t="shared" si="4"/>
        <v>0</v>
      </c>
      <c r="G157" s="16">
        <f>IFERROR(AVERAGEIF('Production Batches'!$C:$C,A157,'Production Batches'!$L:$L),0)</f>
        <v>0</v>
      </c>
      <c r="H157" s="16">
        <f t="shared" si="5"/>
        <v>0</v>
      </c>
      <c r="I157" s="30"/>
    </row>
    <row r="158" spans="1:9">
      <c r="A158" s="11"/>
      <c r="B158" t="str">
        <f>IFERROR(VLOOKUP(A158,'Products Index'!$A:$B,2,FALSE),"")</f>
        <v/>
      </c>
      <c r="C158" s="11"/>
      <c r="D158" s="11"/>
      <c r="E158" s="11"/>
      <c r="F158">
        <f t="shared" si="4"/>
        <v>0</v>
      </c>
      <c r="G158" s="16">
        <f>IFERROR(AVERAGEIF('Production Batches'!$C:$C,A158,'Production Batches'!$L:$L),0)</f>
        <v>0</v>
      </c>
      <c r="H158" s="16">
        <f t="shared" si="5"/>
        <v>0</v>
      </c>
      <c r="I158" s="30"/>
    </row>
    <row r="159" spans="1:9">
      <c r="A159" s="11"/>
      <c r="B159" t="str">
        <f>IFERROR(VLOOKUP(A159,'Products Index'!$A:$B,2,FALSE),"")</f>
        <v/>
      </c>
      <c r="C159" s="11"/>
      <c r="D159" s="11"/>
      <c r="E159" s="11"/>
      <c r="F159">
        <f t="shared" si="4"/>
        <v>0</v>
      </c>
      <c r="G159" s="16">
        <f>IFERROR(AVERAGEIF('Production Batches'!$C:$C,A159,'Production Batches'!$L:$L),0)</f>
        <v>0</v>
      </c>
      <c r="H159" s="16">
        <f t="shared" si="5"/>
        <v>0</v>
      </c>
      <c r="I159" s="30"/>
    </row>
    <row r="160" spans="1:9">
      <c r="A160" s="11"/>
      <c r="B160" t="str">
        <f>IFERROR(VLOOKUP(A160,'Products Index'!$A:$B,2,FALSE),"")</f>
        <v/>
      </c>
      <c r="C160" s="11"/>
      <c r="D160" s="11"/>
      <c r="E160" s="11"/>
      <c r="F160">
        <f t="shared" si="4"/>
        <v>0</v>
      </c>
      <c r="G160" s="16">
        <f>IFERROR(AVERAGEIF('Production Batches'!$C:$C,A160,'Production Batches'!$L:$L),0)</f>
        <v>0</v>
      </c>
      <c r="H160" s="16">
        <f t="shared" si="5"/>
        <v>0</v>
      </c>
      <c r="I160" s="30"/>
    </row>
    <row r="161" spans="1:9">
      <c r="A161" s="11"/>
      <c r="B161" t="str">
        <f>IFERROR(VLOOKUP(A161,'Products Index'!$A:$B,2,FALSE),"")</f>
        <v/>
      </c>
      <c r="C161" s="11"/>
      <c r="D161" s="11"/>
      <c r="E161" s="11"/>
      <c r="F161">
        <f t="shared" si="4"/>
        <v>0</v>
      </c>
      <c r="G161" s="16">
        <f>IFERROR(AVERAGEIF('Production Batches'!$C:$C,A161,'Production Batches'!$L:$L),0)</f>
        <v>0</v>
      </c>
      <c r="H161" s="16">
        <f t="shared" si="5"/>
        <v>0</v>
      </c>
      <c r="I161" s="30"/>
    </row>
    <row r="162" spans="1:9">
      <c r="A162" s="11"/>
      <c r="B162" t="str">
        <f>IFERROR(VLOOKUP(A162,'Products Index'!$A:$B,2,FALSE),"")</f>
        <v/>
      </c>
      <c r="C162" s="11"/>
      <c r="D162" s="11"/>
      <c r="E162" s="11"/>
      <c r="F162">
        <f t="shared" si="4"/>
        <v>0</v>
      </c>
      <c r="G162" s="16">
        <f>IFERROR(AVERAGEIF('Production Batches'!$C:$C,A162,'Production Batches'!$L:$L),0)</f>
        <v>0</v>
      </c>
      <c r="H162" s="16">
        <f t="shared" si="5"/>
        <v>0</v>
      </c>
      <c r="I162" s="30"/>
    </row>
    <row r="163" spans="1:9">
      <c r="A163" s="11"/>
      <c r="B163" t="str">
        <f>IFERROR(VLOOKUP(A163,'Products Index'!$A:$B,2,FALSE),"")</f>
        <v/>
      </c>
      <c r="C163" s="11"/>
      <c r="D163" s="11"/>
      <c r="E163" s="11"/>
      <c r="F163">
        <f t="shared" si="4"/>
        <v>0</v>
      </c>
      <c r="G163" s="16">
        <f>IFERROR(AVERAGEIF('Production Batches'!$C:$C,A163,'Production Batches'!$L:$L),0)</f>
        <v>0</v>
      </c>
      <c r="H163" s="16">
        <f t="shared" si="5"/>
        <v>0</v>
      </c>
      <c r="I163" s="30"/>
    </row>
    <row r="164" spans="1:9">
      <c r="A164" s="11"/>
      <c r="B164" t="str">
        <f>IFERROR(VLOOKUP(A164,'Products Index'!$A:$B,2,FALSE),"")</f>
        <v/>
      </c>
      <c r="C164" s="11"/>
      <c r="D164" s="11"/>
      <c r="E164" s="11"/>
      <c r="F164">
        <f t="shared" si="4"/>
        <v>0</v>
      </c>
      <c r="G164" s="16">
        <f>IFERROR(AVERAGEIF('Production Batches'!$C:$C,A164,'Production Batches'!$L:$L),0)</f>
        <v>0</v>
      </c>
      <c r="H164" s="16">
        <f t="shared" si="5"/>
        <v>0</v>
      </c>
      <c r="I164" s="30"/>
    </row>
    <row r="165" spans="1:9">
      <c r="A165" s="11"/>
      <c r="B165" t="str">
        <f>IFERROR(VLOOKUP(A165,'Products Index'!$A:$B,2,FALSE),"")</f>
        <v/>
      </c>
      <c r="C165" s="11"/>
      <c r="D165" s="11"/>
      <c r="E165" s="11"/>
      <c r="F165">
        <f t="shared" si="4"/>
        <v>0</v>
      </c>
      <c r="G165" s="16">
        <f>IFERROR(AVERAGEIF('Production Batches'!$C:$C,A165,'Production Batches'!$L:$L),0)</f>
        <v>0</v>
      </c>
      <c r="H165" s="16">
        <f t="shared" si="5"/>
        <v>0</v>
      </c>
      <c r="I165" s="30"/>
    </row>
    <row r="166" spans="1:9">
      <c r="A166" s="11"/>
      <c r="B166" t="str">
        <f>IFERROR(VLOOKUP(A166,'Products Index'!$A:$B,2,FALSE),"")</f>
        <v/>
      </c>
      <c r="C166" s="11"/>
      <c r="D166" s="11"/>
      <c r="E166" s="11"/>
      <c r="F166">
        <f t="shared" si="4"/>
        <v>0</v>
      </c>
      <c r="G166" s="16">
        <f>IFERROR(AVERAGEIF('Production Batches'!$C:$C,A166,'Production Batches'!$L:$L),0)</f>
        <v>0</v>
      </c>
      <c r="H166" s="16">
        <f t="shared" si="5"/>
        <v>0</v>
      </c>
      <c r="I166" s="30"/>
    </row>
    <row r="167" spans="1:9">
      <c r="A167" s="11"/>
      <c r="B167" t="str">
        <f>IFERROR(VLOOKUP(A167,'Products Index'!$A:$B,2,FALSE),"")</f>
        <v/>
      </c>
      <c r="C167" s="11"/>
      <c r="D167" s="11"/>
      <c r="E167" s="11"/>
      <c r="F167">
        <f t="shared" si="4"/>
        <v>0</v>
      </c>
      <c r="G167" s="16">
        <f>IFERROR(AVERAGEIF('Production Batches'!$C:$C,A167,'Production Batches'!$L:$L),0)</f>
        <v>0</v>
      </c>
      <c r="H167" s="16">
        <f t="shared" si="5"/>
        <v>0</v>
      </c>
      <c r="I167" s="30"/>
    </row>
    <row r="168" spans="1:9">
      <c r="A168" s="11"/>
      <c r="B168" t="str">
        <f>IFERROR(VLOOKUP(A168,'Products Index'!$A:$B,2,FALSE),"")</f>
        <v/>
      </c>
      <c r="C168" s="11"/>
      <c r="D168" s="11"/>
      <c r="E168" s="11"/>
      <c r="F168">
        <f t="shared" si="4"/>
        <v>0</v>
      </c>
      <c r="G168" s="16">
        <f>IFERROR(AVERAGEIF('Production Batches'!$C:$C,A168,'Production Batches'!$L:$L),0)</f>
        <v>0</v>
      </c>
      <c r="H168" s="16">
        <f t="shared" si="5"/>
        <v>0</v>
      </c>
      <c r="I168" s="30"/>
    </row>
    <row r="169" spans="1:9">
      <c r="A169" s="11"/>
      <c r="B169" t="str">
        <f>IFERROR(VLOOKUP(A169,'Products Index'!$A:$B,2,FALSE),"")</f>
        <v/>
      </c>
      <c r="C169" s="11"/>
      <c r="D169" s="11"/>
      <c r="E169" s="11"/>
      <c r="F169">
        <f t="shared" si="4"/>
        <v>0</v>
      </c>
      <c r="G169" s="16">
        <f>IFERROR(AVERAGEIF('Production Batches'!$C:$C,A169,'Production Batches'!$L:$L),0)</f>
        <v>0</v>
      </c>
      <c r="H169" s="16">
        <f t="shared" si="5"/>
        <v>0</v>
      </c>
      <c r="I169" s="30"/>
    </row>
    <row r="170" spans="1:9">
      <c r="A170" s="11"/>
      <c r="B170" t="str">
        <f>IFERROR(VLOOKUP(A170,'Products Index'!$A:$B,2,FALSE),"")</f>
        <v/>
      </c>
      <c r="C170" s="11"/>
      <c r="D170" s="11"/>
      <c r="E170" s="11"/>
      <c r="F170">
        <f t="shared" si="4"/>
        <v>0</v>
      </c>
      <c r="G170" s="16">
        <f>IFERROR(AVERAGEIF('Production Batches'!$C:$C,A170,'Production Batches'!$L:$L),0)</f>
        <v>0</v>
      </c>
      <c r="H170" s="16">
        <f t="shared" si="5"/>
        <v>0</v>
      </c>
      <c r="I170" s="30"/>
    </row>
    <row r="171" spans="1:9">
      <c r="A171" s="11"/>
      <c r="B171" t="str">
        <f>IFERROR(VLOOKUP(A171,'Products Index'!$A:$B,2,FALSE),"")</f>
        <v/>
      </c>
      <c r="C171" s="11"/>
      <c r="D171" s="11"/>
      <c r="E171" s="11"/>
      <c r="F171">
        <f t="shared" si="4"/>
        <v>0</v>
      </c>
      <c r="G171" s="16">
        <f>IFERROR(AVERAGEIF('Production Batches'!$C:$C,A171,'Production Batches'!$L:$L),0)</f>
        <v>0</v>
      </c>
      <c r="H171" s="16">
        <f t="shared" si="5"/>
        <v>0</v>
      </c>
      <c r="I171" s="30"/>
    </row>
    <row r="172" spans="1:9">
      <c r="A172" s="11"/>
      <c r="B172" t="str">
        <f>IFERROR(VLOOKUP(A172,'Products Index'!$A:$B,2,FALSE),"")</f>
        <v/>
      </c>
      <c r="C172" s="11"/>
      <c r="D172" s="11"/>
      <c r="E172" s="11"/>
      <c r="F172">
        <f t="shared" si="4"/>
        <v>0</v>
      </c>
      <c r="G172" s="16">
        <f>IFERROR(AVERAGEIF('Production Batches'!$C:$C,A172,'Production Batches'!$L:$L),0)</f>
        <v>0</v>
      </c>
      <c r="H172" s="16">
        <f t="shared" si="5"/>
        <v>0</v>
      </c>
      <c r="I172" s="30"/>
    </row>
    <row r="173" spans="1:9">
      <c r="A173" s="11"/>
      <c r="B173" t="str">
        <f>IFERROR(VLOOKUP(A173,'Products Index'!$A:$B,2,FALSE),"")</f>
        <v/>
      </c>
      <c r="C173" s="11"/>
      <c r="D173" s="11"/>
      <c r="E173" s="11"/>
      <c r="F173">
        <f t="shared" si="4"/>
        <v>0</v>
      </c>
      <c r="G173" s="16">
        <f>IFERROR(AVERAGEIF('Production Batches'!$C:$C,A173,'Production Batches'!$L:$L),0)</f>
        <v>0</v>
      </c>
      <c r="H173" s="16">
        <f t="shared" si="5"/>
        <v>0</v>
      </c>
      <c r="I173" s="30"/>
    </row>
    <row r="174" spans="1:9">
      <c r="A174" s="11"/>
      <c r="B174" t="str">
        <f>IFERROR(VLOOKUP(A174,'Products Index'!$A:$B,2,FALSE),"")</f>
        <v/>
      </c>
      <c r="C174" s="11"/>
      <c r="D174" s="11"/>
      <c r="E174" s="11"/>
      <c r="F174">
        <f t="shared" si="4"/>
        <v>0</v>
      </c>
      <c r="G174" s="16">
        <f>IFERROR(AVERAGEIF('Production Batches'!$C:$C,A174,'Production Batches'!$L:$L),0)</f>
        <v>0</v>
      </c>
      <c r="H174" s="16">
        <f t="shared" si="5"/>
        <v>0</v>
      </c>
      <c r="I174" s="30"/>
    </row>
    <row r="175" spans="1:9">
      <c r="A175" s="11"/>
      <c r="B175" t="str">
        <f>IFERROR(VLOOKUP(A175,'Products Index'!$A:$B,2,FALSE),"")</f>
        <v/>
      </c>
      <c r="C175" s="11"/>
      <c r="D175" s="11"/>
      <c r="E175" s="11"/>
      <c r="F175">
        <f t="shared" si="4"/>
        <v>0</v>
      </c>
      <c r="G175" s="16">
        <f>IFERROR(AVERAGEIF('Production Batches'!$C:$C,A175,'Production Batches'!$L:$L),0)</f>
        <v>0</v>
      </c>
      <c r="H175" s="16">
        <f t="shared" si="5"/>
        <v>0</v>
      </c>
      <c r="I175" s="30"/>
    </row>
    <row r="176" spans="1:9">
      <c r="A176" s="11"/>
      <c r="B176" t="str">
        <f>IFERROR(VLOOKUP(A176,'Products Index'!$A:$B,2,FALSE),"")</f>
        <v/>
      </c>
      <c r="C176" s="11"/>
      <c r="D176" s="11"/>
      <c r="E176" s="11"/>
      <c r="F176">
        <f t="shared" si="4"/>
        <v>0</v>
      </c>
      <c r="G176" s="16">
        <f>IFERROR(AVERAGEIF('Production Batches'!$C:$C,A176,'Production Batches'!$L:$L),0)</f>
        <v>0</v>
      </c>
      <c r="H176" s="16">
        <f t="shared" si="5"/>
        <v>0</v>
      </c>
      <c r="I176" s="30"/>
    </row>
    <row r="177" spans="1:9">
      <c r="A177" s="11"/>
      <c r="B177" t="str">
        <f>IFERROR(VLOOKUP(A177,'Products Index'!$A:$B,2,FALSE),"")</f>
        <v/>
      </c>
      <c r="C177" s="11"/>
      <c r="D177" s="11"/>
      <c r="E177" s="11"/>
      <c r="F177">
        <f t="shared" si="4"/>
        <v>0</v>
      </c>
      <c r="G177" s="16">
        <f>IFERROR(AVERAGEIF('Production Batches'!$C:$C,A177,'Production Batches'!$L:$L),0)</f>
        <v>0</v>
      </c>
      <c r="H177" s="16">
        <f t="shared" si="5"/>
        <v>0</v>
      </c>
      <c r="I177" s="30"/>
    </row>
    <row r="178" spans="1:9">
      <c r="A178" s="11"/>
      <c r="B178" t="str">
        <f>IFERROR(VLOOKUP(A178,'Products Index'!$A:$B,2,FALSE),"")</f>
        <v/>
      </c>
      <c r="C178" s="11"/>
      <c r="D178" s="11"/>
      <c r="E178" s="11"/>
      <c r="F178">
        <f t="shared" si="4"/>
        <v>0</v>
      </c>
      <c r="G178" s="16">
        <f>IFERROR(AVERAGEIF('Production Batches'!$C:$C,A178,'Production Batches'!$L:$L),0)</f>
        <v>0</v>
      </c>
      <c r="H178" s="16">
        <f t="shared" si="5"/>
        <v>0</v>
      </c>
      <c r="I178" s="30"/>
    </row>
    <row r="179" spans="1:9">
      <c r="A179" s="11"/>
      <c r="B179" t="str">
        <f>IFERROR(VLOOKUP(A179,'Products Index'!$A:$B,2,FALSE),"")</f>
        <v/>
      </c>
      <c r="C179" s="11"/>
      <c r="D179" s="11"/>
      <c r="E179" s="11"/>
      <c r="F179">
        <f t="shared" si="4"/>
        <v>0</v>
      </c>
      <c r="G179" s="16">
        <f>IFERROR(AVERAGEIF('Production Batches'!$C:$C,A179,'Production Batches'!$L:$L),0)</f>
        <v>0</v>
      </c>
      <c r="H179" s="16">
        <f t="shared" si="5"/>
        <v>0</v>
      </c>
      <c r="I179" s="30"/>
    </row>
    <row r="180" spans="1:9">
      <c r="A180" s="11"/>
      <c r="B180" t="str">
        <f>IFERROR(VLOOKUP(A180,'Products Index'!$A:$B,2,FALSE),"")</f>
        <v/>
      </c>
      <c r="C180" s="11"/>
      <c r="D180" s="11"/>
      <c r="E180" s="11"/>
      <c r="F180">
        <f t="shared" si="4"/>
        <v>0</v>
      </c>
      <c r="G180" s="16">
        <f>IFERROR(AVERAGEIF('Production Batches'!$C:$C,A180,'Production Batches'!$L:$L),0)</f>
        <v>0</v>
      </c>
      <c r="H180" s="16">
        <f t="shared" si="5"/>
        <v>0</v>
      </c>
      <c r="I180" s="30"/>
    </row>
    <row r="181" spans="1:9">
      <c r="A181" s="11"/>
      <c r="B181" t="str">
        <f>IFERROR(VLOOKUP(A181,'Products Index'!$A:$B,2,FALSE),"")</f>
        <v/>
      </c>
      <c r="C181" s="11"/>
      <c r="D181" s="11"/>
      <c r="E181" s="11"/>
      <c r="F181">
        <f t="shared" si="4"/>
        <v>0</v>
      </c>
      <c r="G181" s="16">
        <f>IFERROR(AVERAGEIF('Production Batches'!$C:$C,A181,'Production Batches'!$L:$L),0)</f>
        <v>0</v>
      </c>
      <c r="H181" s="16">
        <f t="shared" si="5"/>
        <v>0</v>
      </c>
      <c r="I181" s="30"/>
    </row>
    <row r="182" spans="1:9">
      <c r="A182" s="11"/>
      <c r="B182" t="str">
        <f>IFERROR(VLOOKUP(A182,'Products Index'!$A:$B,2,FALSE),"")</f>
        <v/>
      </c>
      <c r="C182" s="11"/>
      <c r="D182" s="11"/>
      <c r="E182" s="11"/>
      <c r="F182">
        <f t="shared" si="4"/>
        <v>0</v>
      </c>
      <c r="G182" s="16">
        <f>IFERROR(AVERAGEIF('Production Batches'!$C:$C,A182,'Production Batches'!$L:$L),0)</f>
        <v>0</v>
      </c>
      <c r="H182" s="16">
        <f t="shared" si="5"/>
        <v>0</v>
      </c>
      <c r="I182" s="30"/>
    </row>
    <row r="183" spans="1:9">
      <c r="A183" s="11"/>
      <c r="B183" t="str">
        <f>IFERROR(VLOOKUP(A183,'Products Index'!$A:$B,2,FALSE),"")</f>
        <v/>
      </c>
      <c r="C183" s="11"/>
      <c r="D183" s="11"/>
      <c r="E183" s="11"/>
      <c r="F183">
        <f t="shared" si="4"/>
        <v>0</v>
      </c>
      <c r="G183" s="16">
        <f>IFERROR(AVERAGEIF('Production Batches'!$C:$C,A183,'Production Batches'!$L:$L),0)</f>
        <v>0</v>
      </c>
      <c r="H183" s="16">
        <f t="shared" si="5"/>
        <v>0</v>
      </c>
      <c r="I183" s="30"/>
    </row>
    <row r="184" spans="1:9">
      <c r="A184" s="11"/>
      <c r="B184" t="str">
        <f>IFERROR(VLOOKUP(A184,'Products Index'!$A:$B,2,FALSE),"")</f>
        <v/>
      </c>
      <c r="C184" s="11"/>
      <c r="D184" s="11"/>
      <c r="E184" s="11"/>
      <c r="F184">
        <f t="shared" si="4"/>
        <v>0</v>
      </c>
      <c r="G184" s="16">
        <f>IFERROR(AVERAGEIF('Production Batches'!$C:$C,A184,'Production Batches'!$L:$L),0)</f>
        <v>0</v>
      </c>
      <c r="H184" s="16">
        <f t="shared" si="5"/>
        <v>0</v>
      </c>
      <c r="I184" s="30"/>
    </row>
    <row r="185" spans="1:9">
      <c r="A185" s="11"/>
      <c r="B185" t="str">
        <f>IFERROR(VLOOKUP(A185,'Products Index'!$A:$B,2,FALSE),"")</f>
        <v/>
      </c>
      <c r="C185" s="11"/>
      <c r="D185" s="11"/>
      <c r="E185" s="11"/>
      <c r="F185">
        <f t="shared" si="4"/>
        <v>0</v>
      </c>
      <c r="G185" s="16">
        <f>IFERROR(AVERAGEIF('Production Batches'!$C:$C,A185,'Production Batches'!$L:$L),0)</f>
        <v>0</v>
      </c>
      <c r="H185" s="16">
        <f t="shared" si="5"/>
        <v>0</v>
      </c>
      <c r="I185" s="30"/>
    </row>
    <row r="186" spans="1:9">
      <c r="A186" s="11"/>
      <c r="B186" t="str">
        <f>IFERROR(VLOOKUP(A186,'Products Index'!$A:$B,2,FALSE),"")</f>
        <v/>
      </c>
      <c r="C186" s="11"/>
      <c r="D186" s="11"/>
      <c r="E186" s="11"/>
      <c r="F186">
        <f t="shared" si="4"/>
        <v>0</v>
      </c>
      <c r="G186" s="16">
        <f>IFERROR(AVERAGEIF('Production Batches'!$C:$C,A186,'Production Batches'!$L:$L),0)</f>
        <v>0</v>
      </c>
      <c r="H186" s="16">
        <f t="shared" si="5"/>
        <v>0</v>
      </c>
      <c r="I186" s="30"/>
    </row>
    <row r="187" spans="1:9">
      <c r="A187" s="11"/>
      <c r="B187" t="str">
        <f>IFERROR(VLOOKUP(A187,'Products Index'!$A:$B,2,FALSE),"")</f>
        <v/>
      </c>
      <c r="C187" s="11"/>
      <c r="D187" s="11"/>
      <c r="E187" s="11"/>
      <c r="F187">
        <f t="shared" si="4"/>
        <v>0</v>
      </c>
      <c r="G187" s="16">
        <f>IFERROR(AVERAGEIF('Production Batches'!$C:$C,A187,'Production Batches'!$L:$L),0)</f>
        <v>0</v>
      </c>
      <c r="H187" s="16">
        <f t="shared" si="5"/>
        <v>0</v>
      </c>
      <c r="I187" s="30"/>
    </row>
    <row r="188" spans="1:9">
      <c r="A188" s="11"/>
      <c r="B188" t="str">
        <f>IFERROR(VLOOKUP(A188,'Products Index'!$A:$B,2,FALSE),"")</f>
        <v/>
      </c>
      <c r="C188" s="11"/>
      <c r="D188" s="11"/>
      <c r="E188" s="11"/>
      <c r="F188">
        <f t="shared" si="4"/>
        <v>0</v>
      </c>
      <c r="G188" s="16">
        <f>IFERROR(AVERAGEIF('Production Batches'!$C:$C,A188,'Production Batches'!$L:$L),0)</f>
        <v>0</v>
      </c>
      <c r="H188" s="16">
        <f t="shared" si="5"/>
        <v>0</v>
      </c>
      <c r="I188" s="30"/>
    </row>
    <row r="189" spans="1:9">
      <c r="A189" s="11"/>
      <c r="B189" t="str">
        <f>IFERROR(VLOOKUP(A189,'Products Index'!$A:$B,2,FALSE),"")</f>
        <v/>
      </c>
      <c r="C189" s="11"/>
      <c r="D189" s="11"/>
      <c r="E189" s="11"/>
      <c r="F189">
        <f t="shared" si="4"/>
        <v>0</v>
      </c>
      <c r="G189" s="16">
        <f>IFERROR(AVERAGEIF('Production Batches'!$C:$C,A189,'Production Batches'!$L:$L),0)</f>
        <v>0</v>
      </c>
      <c r="H189" s="16">
        <f t="shared" si="5"/>
        <v>0</v>
      </c>
      <c r="I189" s="30"/>
    </row>
    <row r="190" spans="1:9">
      <c r="A190" s="11"/>
      <c r="B190" t="str">
        <f>IFERROR(VLOOKUP(A190,'Products Index'!$A:$B,2,FALSE),"")</f>
        <v/>
      </c>
      <c r="C190" s="11"/>
      <c r="D190" s="11"/>
      <c r="E190" s="11"/>
      <c r="F190">
        <f t="shared" si="4"/>
        <v>0</v>
      </c>
      <c r="G190" s="16">
        <f>IFERROR(AVERAGEIF('Production Batches'!$C:$C,A190,'Production Batches'!$L:$L),0)</f>
        <v>0</v>
      </c>
      <c r="H190" s="16">
        <f t="shared" si="5"/>
        <v>0</v>
      </c>
      <c r="I190" s="30"/>
    </row>
    <row r="191" spans="1:9">
      <c r="A191" s="11"/>
      <c r="B191" t="str">
        <f>IFERROR(VLOOKUP(A191,'Products Index'!$A:$B,2,FALSE),"")</f>
        <v/>
      </c>
      <c r="C191" s="11"/>
      <c r="D191" s="11"/>
      <c r="E191" s="11"/>
      <c r="F191">
        <f t="shared" si="4"/>
        <v>0</v>
      </c>
      <c r="G191" s="16">
        <f>IFERROR(AVERAGEIF('Production Batches'!$C:$C,A191,'Production Batches'!$L:$L),0)</f>
        <v>0</v>
      </c>
      <c r="H191" s="16">
        <f t="shared" si="5"/>
        <v>0</v>
      </c>
      <c r="I191" s="30"/>
    </row>
    <row r="192" spans="1:9">
      <c r="A192" s="11"/>
      <c r="B192" t="str">
        <f>IFERROR(VLOOKUP(A192,'Products Index'!$A:$B,2,FALSE),"")</f>
        <v/>
      </c>
      <c r="C192" s="11"/>
      <c r="D192" s="11"/>
      <c r="E192" s="11"/>
      <c r="F192">
        <f t="shared" si="4"/>
        <v>0</v>
      </c>
      <c r="G192" s="16">
        <f>IFERROR(AVERAGEIF('Production Batches'!$C:$C,A192,'Production Batches'!$L:$L),0)</f>
        <v>0</v>
      </c>
      <c r="H192" s="16">
        <f t="shared" si="5"/>
        <v>0</v>
      </c>
      <c r="I192" s="30"/>
    </row>
    <row r="193" spans="1:9">
      <c r="A193" s="11"/>
      <c r="B193" t="str">
        <f>IFERROR(VLOOKUP(A193,'Products Index'!$A:$B,2,FALSE),"")</f>
        <v/>
      </c>
      <c r="C193" s="11"/>
      <c r="D193" s="11"/>
      <c r="E193" s="11"/>
      <c r="F193">
        <f t="shared" si="4"/>
        <v>0</v>
      </c>
      <c r="G193" s="16">
        <f>IFERROR(AVERAGEIF('Production Batches'!$C:$C,A193,'Production Batches'!$L:$L),0)</f>
        <v>0</v>
      </c>
      <c r="H193" s="16">
        <f t="shared" si="5"/>
        <v>0</v>
      </c>
      <c r="I193" s="30"/>
    </row>
    <row r="194" spans="1:9">
      <c r="A194" s="11"/>
      <c r="B194" t="str">
        <f>IFERROR(VLOOKUP(A194,'Products Index'!$A:$B,2,FALSE),"")</f>
        <v/>
      </c>
      <c r="C194" s="11"/>
      <c r="D194" s="11"/>
      <c r="E194" s="11"/>
      <c r="F194">
        <f t="shared" ref="F194:F257" si="6">MAX(D194-E194,0)</f>
        <v>0</v>
      </c>
      <c r="G194" s="16">
        <f>IFERROR(AVERAGEIF('Production Batches'!$C:$C,A194,'Production Batches'!$L:$L),0)</f>
        <v>0</v>
      </c>
      <c r="H194" s="16">
        <f t="shared" ref="H194:H257" si="7">IFERROR(F194*G194,0)</f>
        <v>0</v>
      </c>
      <c r="I194" s="30"/>
    </row>
    <row r="195" spans="1:9">
      <c r="A195" s="11"/>
      <c r="B195" t="str">
        <f>IFERROR(VLOOKUP(A195,'Products Index'!$A:$B,2,FALSE),"")</f>
        <v/>
      </c>
      <c r="C195" s="11"/>
      <c r="D195" s="11"/>
      <c r="E195" s="11"/>
      <c r="F195">
        <f t="shared" si="6"/>
        <v>0</v>
      </c>
      <c r="G195" s="16">
        <f>IFERROR(AVERAGEIF('Production Batches'!$C:$C,A195,'Production Batches'!$L:$L),0)</f>
        <v>0</v>
      </c>
      <c r="H195" s="16">
        <f t="shared" si="7"/>
        <v>0</v>
      </c>
      <c r="I195" s="30"/>
    </row>
    <row r="196" spans="1:9">
      <c r="A196" s="11"/>
      <c r="B196" t="str">
        <f>IFERROR(VLOOKUP(A196,'Products Index'!$A:$B,2,FALSE),"")</f>
        <v/>
      </c>
      <c r="C196" s="11"/>
      <c r="D196" s="11"/>
      <c r="E196" s="11"/>
      <c r="F196">
        <f t="shared" si="6"/>
        <v>0</v>
      </c>
      <c r="G196" s="16">
        <f>IFERROR(AVERAGEIF('Production Batches'!$C:$C,A196,'Production Batches'!$L:$L),0)</f>
        <v>0</v>
      </c>
      <c r="H196" s="16">
        <f t="shared" si="7"/>
        <v>0</v>
      </c>
      <c r="I196" s="30"/>
    </row>
    <row r="197" spans="1:9">
      <c r="A197" s="11"/>
      <c r="B197" t="str">
        <f>IFERROR(VLOOKUP(A197,'Products Index'!$A:$B,2,FALSE),"")</f>
        <v/>
      </c>
      <c r="C197" s="11"/>
      <c r="D197" s="11"/>
      <c r="E197" s="11"/>
      <c r="F197">
        <f t="shared" si="6"/>
        <v>0</v>
      </c>
      <c r="G197" s="16">
        <f>IFERROR(AVERAGEIF('Production Batches'!$C:$C,A197,'Production Batches'!$L:$L),0)</f>
        <v>0</v>
      </c>
      <c r="H197" s="16">
        <f t="shared" si="7"/>
        <v>0</v>
      </c>
      <c r="I197" s="30"/>
    </row>
    <row r="198" spans="1:9">
      <c r="A198" s="11"/>
      <c r="B198" t="str">
        <f>IFERROR(VLOOKUP(A198,'Products Index'!$A:$B,2,FALSE),"")</f>
        <v/>
      </c>
      <c r="C198" s="11"/>
      <c r="D198" s="11"/>
      <c r="E198" s="11"/>
      <c r="F198">
        <f t="shared" si="6"/>
        <v>0</v>
      </c>
      <c r="G198" s="16">
        <f>IFERROR(AVERAGEIF('Production Batches'!$C:$C,A198,'Production Batches'!$L:$L),0)</f>
        <v>0</v>
      </c>
      <c r="H198" s="16">
        <f t="shared" si="7"/>
        <v>0</v>
      </c>
      <c r="I198" s="30"/>
    </row>
    <row r="199" spans="1:9">
      <c r="A199" s="11"/>
      <c r="B199" t="str">
        <f>IFERROR(VLOOKUP(A199,'Products Index'!$A:$B,2,FALSE),"")</f>
        <v/>
      </c>
      <c r="C199" s="11"/>
      <c r="D199" s="11"/>
      <c r="E199" s="11"/>
      <c r="F199">
        <f t="shared" si="6"/>
        <v>0</v>
      </c>
      <c r="G199" s="16">
        <f>IFERROR(AVERAGEIF('Production Batches'!$C:$C,A199,'Production Batches'!$L:$L),0)</f>
        <v>0</v>
      </c>
      <c r="H199" s="16">
        <f t="shared" si="7"/>
        <v>0</v>
      </c>
      <c r="I199" s="30"/>
    </row>
    <row r="200" spans="1:9">
      <c r="A200" s="11"/>
      <c r="B200" t="str">
        <f>IFERROR(VLOOKUP(A200,'Products Index'!$A:$B,2,FALSE),"")</f>
        <v/>
      </c>
      <c r="C200" s="11"/>
      <c r="D200" s="11"/>
      <c r="E200" s="11"/>
      <c r="F200">
        <f t="shared" si="6"/>
        <v>0</v>
      </c>
      <c r="G200" s="16">
        <f>IFERROR(AVERAGEIF('Production Batches'!$C:$C,A200,'Production Batches'!$L:$L),0)</f>
        <v>0</v>
      </c>
      <c r="H200" s="16">
        <f t="shared" si="7"/>
        <v>0</v>
      </c>
      <c r="I200" s="30"/>
    </row>
    <row r="201" spans="1:9">
      <c r="A201" s="11"/>
      <c r="B201" t="str">
        <f>IFERROR(VLOOKUP(A201,'Products Index'!$A:$B,2,FALSE),"")</f>
        <v/>
      </c>
      <c r="C201" s="11"/>
      <c r="D201" s="11"/>
      <c r="E201" s="11"/>
      <c r="F201">
        <f t="shared" si="6"/>
        <v>0</v>
      </c>
      <c r="G201" s="16">
        <f>IFERROR(AVERAGEIF('Production Batches'!$C:$C,A201,'Production Batches'!$L:$L),0)</f>
        <v>0</v>
      </c>
      <c r="H201" s="16">
        <f t="shared" si="7"/>
        <v>0</v>
      </c>
      <c r="I201" s="30"/>
    </row>
    <row r="202" spans="1:9">
      <c r="A202" s="11"/>
      <c r="B202" t="str">
        <f>IFERROR(VLOOKUP(A202,'Products Index'!$A:$B,2,FALSE),"")</f>
        <v/>
      </c>
      <c r="C202" s="11"/>
      <c r="D202" s="11"/>
      <c r="E202" s="11"/>
      <c r="F202">
        <f t="shared" si="6"/>
        <v>0</v>
      </c>
      <c r="G202" s="16">
        <f>IFERROR(AVERAGEIF('Production Batches'!$C:$C,A202,'Production Batches'!$L:$L),0)</f>
        <v>0</v>
      </c>
      <c r="H202" s="16">
        <f t="shared" si="7"/>
        <v>0</v>
      </c>
      <c r="I202" s="30"/>
    </row>
    <row r="203" spans="1:9">
      <c r="A203" s="11"/>
      <c r="B203" t="str">
        <f>IFERROR(VLOOKUP(A203,'Products Index'!$A:$B,2,FALSE),"")</f>
        <v/>
      </c>
      <c r="C203" s="11"/>
      <c r="D203" s="11"/>
      <c r="E203" s="11"/>
      <c r="F203">
        <f t="shared" si="6"/>
        <v>0</v>
      </c>
      <c r="G203" s="16">
        <f>IFERROR(AVERAGEIF('Production Batches'!$C:$C,A203,'Production Batches'!$L:$L),0)</f>
        <v>0</v>
      </c>
      <c r="H203" s="16">
        <f t="shared" si="7"/>
        <v>0</v>
      </c>
      <c r="I203" s="30"/>
    </row>
    <row r="204" spans="1:9">
      <c r="A204" s="11"/>
      <c r="B204" t="str">
        <f>IFERROR(VLOOKUP(A204,'Products Index'!$A:$B,2,FALSE),"")</f>
        <v/>
      </c>
      <c r="C204" s="11"/>
      <c r="D204" s="11"/>
      <c r="E204" s="11"/>
      <c r="F204">
        <f t="shared" si="6"/>
        <v>0</v>
      </c>
      <c r="G204" s="16">
        <f>IFERROR(AVERAGEIF('Production Batches'!$C:$C,A204,'Production Batches'!$L:$L),0)</f>
        <v>0</v>
      </c>
      <c r="H204" s="16">
        <f t="shared" si="7"/>
        <v>0</v>
      </c>
      <c r="I204" s="30"/>
    </row>
    <row r="205" spans="1:9">
      <c r="A205" s="11"/>
      <c r="B205" t="str">
        <f>IFERROR(VLOOKUP(A205,'Products Index'!$A:$B,2,FALSE),"")</f>
        <v/>
      </c>
      <c r="C205" s="11"/>
      <c r="D205" s="11"/>
      <c r="E205" s="11"/>
      <c r="F205">
        <f t="shared" si="6"/>
        <v>0</v>
      </c>
      <c r="G205" s="16">
        <f>IFERROR(AVERAGEIF('Production Batches'!$C:$C,A205,'Production Batches'!$L:$L),0)</f>
        <v>0</v>
      </c>
      <c r="H205" s="16">
        <f t="shared" si="7"/>
        <v>0</v>
      </c>
      <c r="I205" s="30"/>
    </row>
    <row r="206" spans="1:9">
      <c r="A206" s="11"/>
      <c r="B206" t="str">
        <f>IFERROR(VLOOKUP(A206,'Products Index'!$A:$B,2,FALSE),"")</f>
        <v/>
      </c>
      <c r="C206" s="11"/>
      <c r="D206" s="11"/>
      <c r="E206" s="11"/>
      <c r="F206">
        <f t="shared" si="6"/>
        <v>0</v>
      </c>
      <c r="G206" s="16">
        <f>IFERROR(AVERAGEIF('Production Batches'!$C:$C,A206,'Production Batches'!$L:$L),0)</f>
        <v>0</v>
      </c>
      <c r="H206" s="16">
        <f t="shared" si="7"/>
        <v>0</v>
      </c>
      <c r="I206" s="30"/>
    </row>
    <row r="207" spans="1:9">
      <c r="A207" s="11"/>
      <c r="B207" t="str">
        <f>IFERROR(VLOOKUP(A207,'Products Index'!$A:$B,2,FALSE),"")</f>
        <v/>
      </c>
      <c r="C207" s="11"/>
      <c r="D207" s="11"/>
      <c r="E207" s="11"/>
      <c r="F207">
        <f t="shared" si="6"/>
        <v>0</v>
      </c>
      <c r="G207" s="16">
        <f>IFERROR(AVERAGEIF('Production Batches'!$C:$C,A207,'Production Batches'!$L:$L),0)</f>
        <v>0</v>
      </c>
      <c r="H207" s="16">
        <f t="shared" si="7"/>
        <v>0</v>
      </c>
      <c r="I207" s="30"/>
    </row>
    <row r="208" spans="1:9">
      <c r="A208" s="11"/>
      <c r="B208" t="str">
        <f>IFERROR(VLOOKUP(A208,'Products Index'!$A:$B,2,FALSE),"")</f>
        <v/>
      </c>
      <c r="C208" s="11"/>
      <c r="D208" s="11"/>
      <c r="E208" s="11"/>
      <c r="F208">
        <f t="shared" si="6"/>
        <v>0</v>
      </c>
      <c r="G208" s="16">
        <f>IFERROR(AVERAGEIF('Production Batches'!$C:$C,A208,'Production Batches'!$L:$L),0)</f>
        <v>0</v>
      </c>
      <c r="H208" s="16">
        <f t="shared" si="7"/>
        <v>0</v>
      </c>
      <c r="I208" s="30"/>
    </row>
    <row r="209" spans="1:9">
      <c r="A209" s="11"/>
      <c r="B209" t="str">
        <f>IFERROR(VLOOKUP(A209,'Products Index'!$A:$B,2,FALSE),"")</f>
        <v/>
      </c>
      <c r="C209" s="11"/>
      <c r="D209" s="11"/>
      <c r="E209" s="11"/>
      <c r="F209">
        <f t="shared" si="6"/>
        <v>0</v>
      </c>
      <c r="G209" s="16">
        <f>IFERROR(AVERAGEIF('Production Batches'!$C:$C,A209,'Production Batches'!$L:$L),0)</f>
        <v>0</v>
      </c>
      <c r="H209" s="16">
        <f t="shared" si="7"/>
        <v>0</v>
      </c>
      <c r="I209" s="30"/>
    </row>
    <row r="210" spans="1:9">
      <c r="A210" s="11"/>
      <c r="B210" t="str">
        <f>IFERROR(VLOOKUP(A210,'Products Index'!$A:$B,2,FALSE),"")</f>
        <v/>
      </c>
      <c r="C210" s="11"/>
      <c r="D210" s="11"/>
      <c r="E210" s="11"/>
      <c r="F210">
        <f t="shared" si="6"/>
        <v>0</v>
      </c>
      <c r="G210" s="16">
        <f>IFERROR(AVERAGEIF('Production Batches'!$C:$C,A210,'Production Batches'!$L:$L),0)</f>
        <v>0</v>
      </c>
      <c r="H210" s="16">
        <f t="shared" si="7"/>
        <v>0</v>
      </c>
      <c r="I210" s="30"/>
    </row>
    <row r="211" spans="1:9">
      <c r="A211" s="11"/>
      <c r="B211" t="str">
        <f>IFERROR(VLOOKUP(A211,'Products Index'!$A:$B,2,FALSE),"")</f>
        <v/>
      </c>
      <c r="C211" s="11"/>
      <c r="D211" s="11"/>
      <c r="E211" s="11"/>
      <c r="F211">
        <f t="shared" si="6"/>
        <v>0</v>
      </c>
      <c r="G211" s="16">
        <f>IFERROR(AVERAGEIF('Production Batches'!$C:$C,A211,'Production Batches'!$L:$L),0)</f>
        <v>0</v>
      </c>
      <c r="H211" s="16">
        <f t="shared" si="7"/>
        <v>0</v>
      </c>
      <c r="I211" s="30"/>
    </row>
    <row r="212" spans="1:9">
      <c r="A212" s="11"/>
      <c r="B212" t="str">
        <f>IFERROR(VLOOKUP(A212,'Products Index'!$A:$B,2,FALSE),"")</f>
        <v/>
      </c>
      <c r="C212" s="11"/>
      <c r="D212" s="11"/>
      <c r="E212" s="11"/>
      <c r="F212">
        <f t="shared" si="6"/>
        <v>0</v>
      </c>
      <c r="G212" s="16">
        <f>IFERROR(AVERAGEIF('Production Batches'!$C:$C,A212,'Production Batches'!$L:$L),0)</f>
        <v>0</v>
      </c>
      <c r="H212" s="16">
        <f t="shared" si="7"/>
        <v>0</v>
      </c>
      <c r="I212" s="30"/>
    </row>
    <row r="213" spans="1:9">
      <c r="A213" s="11"/>
      <c r="B213" t="str">
        <f>IFERROR(VLOOKUP(A213,'Products Index'!$A:$B,2,FALSE),"")</f>
        <v/>
      </c>
      <c r="C213" s="11"/>
      <c r="D213" s="11"/>
      <c r="E213" s="11"/>
      <c r="F213">
        <f t="shared" si="6"/>
        <v>0</v>
      </c>
      <c r="G213" s="16">
        <f>IFERROR(AVERAGEIF('Production Batches'!$C:$C,A213,'Production Batches'!$L:$L),0)</f>
        <v>0</v>
      </c>
      <c r="H213" s="16">
        <f t="shared" si="7"/>
        <v>0</v>
      </c>
      <c r="I213" s="30"/>
    </row>
    <row r="214" spans="1:9">
      <c r="A214" s="11"/>
      <c r="B214" t="str">
        <f>IFERROR(VLOOKUP(A214,'Products Index'!$A:$B,2,FALSE),"")</f>
        <v/>
      </c>
      <c r="C214" s="11"/>
      <c r="D214" s="11"/>
      <c r="E214" s="11"/>
      <c r="F214">
        <f t="shared" si="6"/>
        <v>0</v>
      </c>
      <c r="G214" s="16">
        <f>IFERROR(AVERAGEIF('Production Batches'!$C:$C,A214,'Production Batches'!$L:$L),0)</f>
        <v>0</v>
      </c>
      <c r="H214" s="16">
        <f t="shared" si="7"/>
        <v>0</v>
      </c>
      <c r="I214" s="30"/>
    </row>
    <row r="215" spans="1:9">
      <c r="A215" s="11"/>
      <c r="B215" t="str">
        <f>IFERROR(VLOOKUP(A215,'Products Index'!$A:$B,2,FALSE),"")</f>
        <v/>
      </c>
      <c r="C215" s="11"/>
      <c r="D215" s="11"/>
      <c r="E215" s="11"/>
      <c r="F215">
        <f t="shared" si="6"/>
        <v>0</v>
      </c>
      <c r="G215" s="16">
        <f>IFERROR(AVERAGEIF('Production Batches'!$C:$C,A215,'Production Batches'!$L:$L),0)</f>
        <v>0</v>
      </c>
      <c r="H215" s="16">
        <f t="shared" si="7"/>
        <v>0</v>
      </c>
      <c r="I215" s="30"/>
    </row>
    <row r="216" spans="1:9">
      <c r="A216" s="11"/>
      <c r="B216" t="str">
        <f>IFERROR(VLOOKUP(A216,'Products Index'!$A:$B,2,FALSE),"")</f>
        <v/>
      </c>
      <c r="C216" s="11"/>
      <c r="D216" s="11"/>
      <c r="E216" s="11"/>
      <c r="F216">
        <f t="shared" si="6"/>
        <v>0</v>
      </c>
      <c r="G216" s="16">
        <f>IFERROR(AVERAGEIF('Production Batches'!$C:$C,A216,'Production Batches'!$L:$L),0)</f>
        <v>0</v>
      </c>
      <c r="H216" s="16">
        <f t="shared" si="7"/>
        <v>0</v>
      </c>
      <c r="I216" s="30"/>
    </row>
    <row r="217" spans="1:9">
      <c r="A217" s="11"/>
      <c r="B217" t="str">
        <f>IFERROR(VLOOKUP(A217,'Products Index'!$A:$B,2,FALSE),"")</f>
        <v/>
      </c>
      <c r="C217" s="11"/>
      <c r="D217" s="11"/>
      <c r="E217" s="11"/>
      <c r="F217">
        <f t="shared" si="6"/>
        <v>0</v>
      </c>
      <c r="G217" s="16">
        <f>IFERROR(AVERAGEIF('Production Batches'!$C:$C,A217,'Production Batches'!$L:$L),0)</f>
        <v>0</v>
      </c>
      <c r="H217" s="16">
        <f t="shared" si="7"/>
        <v>0</v>
      </c>
      <c r="I217" s="30"/>
    </row>
    <row r="218" spans="1:9">
      <c r="A218" s="11"/>
      <c r="B218" t="str">
        <f>IFERROR(VLOOKUP(A218,'Products Index'!$A:$B,2,FALSE),"")</f>
        <v/>
      </c>
      <c r="C218" s="11"/>
      <c r="D218" s="11"/>
      <c r="E218" s="11"/>
      <c r="F218">
        <f t="shared" si="6"/>
        <v>0</v>
      </c>
      <c r="G218" s="16">
        <f>IFERROR(AVERAGEIF('Production Batches'!$C:$C,A218,'Production Batches'!$L:$L),0)</f>
        <v>0</v>
      </c>
      <c r="H218" s="16">
        <f t="shared" si="7"/>
        <v>0</v>
      </c>
      <c r="I218" s="30"/>
    </row>
    <row r="219" spans="1:9">
      <c r="A219" s="11"/>
      <c r="B219" t="str">
        <f>IFERROR(VLOOKUP(A219,'Products Index'!$A:$B,2,FALSE),"")</f>
        <v/>
      </c>
      <c r="C219" s="11"/>
      <c r="D219" s="11"/>
      <c r="E219" s="11"/>
      <c r="F219">
        <f t="shared" si="6"/>
        <v>0</v>
      </c>
      <c r="G219" s="16">
        <f>IFERROR(AVERAGEIF('Production Batches'!$C:$C,A219,'Production Batches'!$L:$L),0)</f>
        <v>0</v>
      </c>
      <c r="H219" s="16">
        <f t="shared" si="7"/>
        <v>0</v>
      </c>
      <c r="I219" s="30"/>
    </row>
    <row r="220" spans="1:9">
      <c r="A220" s="11"/>
      <c r="B220" t="str">
        <f>IFERROR(VLOOKUP(A220,'Products Index'!$A:$B,2,FALSE),"")</f>
        <v/>
      </c>
      <c r="C220" s="11"/>
      <c r="D220" s="11"/>
      <c r="E220" s="11"/>
      <c r="F220">
        <f t="shared" si="6"/>
        <v>0</v>
      </c>
      <c r="G220" s="16">
        <f>IFERROR(AVERAGEIF('Production Batches'!$C:$C,A220,'Production Batches'!$L:$L),0)</f>
        <v>0</v>
      </c>
      <c r="H220" s="16">
        <f t="shared" si="7"/>
        <v>0</v>
      </c>
      <c r="I220" s="30"/>
    </row>
    <row r="221" spans="1:9">
      <c r="A221" s="11"/>
      <c r="B221" t="str">
        <f>IFERROR(VLOOKUP(A221,'Products Index'!$A:$B,2,FALSE),"")</f>
        <v/>
      </c>
      <c r="C221" s="11"/>
      <c r="D221" s="11"/>
      <c r="E221" s="11"/>
      <c r="F221">
        <f t="shared" si="6"/>
        <v>0</v>
      </c>
      <c r="G221" s="16">
        <f>IFERROR(AVERAGEIF('Production Batches'!$C:$C,A221,'Production Batches'!$L:$L),0)</f>
        <v>0</v>
      </c>
      <c r="H221" s="16">
        <f t="shared" si="7"/>
        <v>0</v>
      </c>
      <c r="I221" s="30"/>
    </row>
    <row r="222" spans="1:9">
      <c r="A222" s="11"/>
      <c r="B222" t="str">
        <f>IFERROR(VLOOKUP(A222,'Products Index'!$A:$B,2,FALSE),"")</f>
        <v/>
      </c>
      <c r="C222" s="11"/>
      <c r="D222" s="11"/>
      <c r="E222" s="11"/>
      <c r="F222">
        <f t="shared" si="6"/>
        <v>0</v>
      </c>
      <c r="G222" s="16">
        <f>IFERROR(AVERAGEIF('Production Batches'!$C:$C,A222,'Production Batches'!$L:$L),0)</f>
        <v>0</v>
      </c>
      <c r="H222" s="16">
        <f t="shared" si="7"/>
        <v>0</v>
      </c>
      <c r="I222" s="30"/>
    </row>
    <row r="223" spans="1:9">
      <c r="A223" s="11"/>
      <c r="B223" t="str">
        <f>IFERROR(VLOOKUP(A223,'Products Index'!$A:$B,2,FALSE),"")</f>
        <v/>
      </c>
      <c r="C223" s="11"/>
      <c r="D223" s="11"/>
      <c r="E223" s="11"/>
      <c r="F223">
        <f t="shared" si="6"/>
        <v>0</v>
      </c>
      <c r="G223" s="16">
        <f>IFERROR(AVERAGEIF('Production Batches'!$C:$C,A223,'Production Batches'!$L:$L),0)</f>
        <v>0</v>
      </c>
      <c r="H223" s="16">
        <f t="shared" si="7"/>
        <v>0</v>
      </c>
      <c r="I223" s="30"/>
    </row>
    <row r="224" spans="1:9">
      <c r="A224" s="11"/>
      <c r="B224" t="str">
        <f>IFERROR(VLOOKUP(A224,'Products Index'!$A:$B,2,FALSE),"")</f>
        <v/>
      </c>
      <c r="C224" s="11"/>
      <c r="D224" s="11"/>
      <c r="E224" s="11"/>
      <c r="F224">
        <f t="shared" si="6"/>
        <v>0</v>
      </c>
      <c r="G224" s="16">
        <f>IFERROR(AVERAGEIF('Production Batches'!$C:$C,A224,'Production Batches'!$L:$L),0)</f>
        <v>0</v>
      </c>
      <c r="H224" s="16">
        <f t="shared" si="7"/>
        <v>0</v>
      </c>
      <c r="I224" s="30"/>
    </row>
    <row r="225" spans="1:9">
      <c r="A225" s="11"/>
      <c r="B225" t="str">
        <f>IFERROR(VLOOKUP(A225,'Products Index'!$A:$B,2,FALSE),"")</f>
        <v/>
      </c>
      <c r="C225" s="11"/>
      <c r="D225" s="11"/>
      <c r="E225" s="11"/>
      <c r="F225">
        <f t="shared" si="6"/>
        <v>0</v>
      </c>
      <c r="G225" s="16">
        <f>IFERROR(AVERAGEIF('Production Batches'!$C:$C,A225,'Production Batches'!$L:$L),0)</f>
        <v>0</v>
      </c>
      <c r="H225" s="16">
        <f t="shared" si="7"/>
        <v>0</v>
      </c>
      <c r="I225" s="30"/>
    </row>
    <row r="226" spans="1:9">
      <c r="A226" s="11"/>
      <c r="B226" t="str">
        <f>IFERROR(VLOOKUP(A226,'Products Index'!$A:$B,2,FALSE),"")</f>
        <v/>
      </c>
      <c r="C226" s="11"/>
      <c r="D226" s="11"/>
      <c r="E226" s="11"/>
      <c r="F226">
        <f t="shared" si="6"/>
        <v>0</v>
      </c>
      <c r="G226" s="16">
        <f>IFERROR(AVERAGEIF('Production Batches'!$C:$C,A226,'Production Batches'!$L:$L),0)</f>
        <v>0</v>
      </c>
      <c r="H226" s="16">
        <f t="shared" si="7"/>
        <v>0</v>
      </c>
      <c r="I226" s="30"/>
    </row>
    <row r="227" spans="1:9">
      <c r="A227" s="11"/>
      <c r="B227" t="str">
        <f>IFERROR(VLOOKUP(A227,'Products Index'!$A:$B,2,FALSE),"")</f>
        <v/>
      </c>
      <c r="C227" s="11"/>
      <c r="D227" s="11"/>
      <c r="E227" s="11"/>
      <c r="F227">
        <f t="shared" si="6"/>
        <v>0</v>
      </c>
      <c r="G227" s="16">
        <f>IFERROR(AVERAGEIF('Production Batches'!$C:$C,A227,'Production Batches'!$L:$L),0)</f>
        <v>0</v>
      </c>
      <c r="H227" s="16">
        <f t="shared" si="7"/>
        <v>0</v>
      </c>
      <c r="I227" s="30"/>
    </row>
    <row r="228" spans="1:9">
      <c r="A228" s="11"/>
      <c r="B228" t="str">
        <f>IFERROR(VLOOKUP(A228,'Products Index'!$A:$B,2,FALSE),"")</f>
        <v/>
      </c>
      <c r="C228" s="11"/>
      <c r="D228" s="11"/>
      <c r="E228" s="11"/>
      <c r="F228">
        <f t="shared" si="6"/>
        <v>0</v>
      </c>
      <c r="G228" s="16">
        <f>IFERROR(AVERAGEIF('Production Batches'!$C:$C,A228,'Production Batches'!$L:$L),0)</f>
        <v>0</v>
      </c>
      <c r="H228" s="16">
        <f t="shared" si="7"/>
        <v>0</v>
      </c>
      <c r="I228" s="30"/>
    </row>
    <row r="229" spans="1:9">
      <c r="A229" s="11"/>
      <c r="B229" t="str">
        <f>IFERROR(VLOOKUP(A229,'Products Index'!$A:$B,2,FALSE),"")</f>
        <v/>
      </c>
      <c r="C229" s="11"/>
      <c r="D229" s="11"/>
      <c r="E229" s="11"/>
      <c r="F229">
        <f t="shared" si="6"/>
        <v>0</v>
      </c>
      <c r="G229" s="16">
        <f>IFERROR(AVERAGEIF('Production Batches'!$C:$C,A229,'Production Batches'!$L:$L),0)</f>
        <v>0</v>
      </c>
      <c r="H229" s="16">
        <f t="shared" si="7"/>
        <v>0</v>
      </c>
      <c r="I229" s="30"/>
    </row>
    <row r="230" spans="1:9">
      <c r="A230" s="11"/>
      <c r="B230" t="str">
        <f>IFERROR(VLOOKUP(A230,'Products Index'!$A:$B,2,FALSE),"")</f>
        <v/>
      </c>
      <c r="C230" s="11"/>
      <c r="D230" s="11"/>
      <c r="E230" s="11"/>
      <c r="F230">
        <f t="shared" si="6"/>
        <v>0</v>
      </c>
      <c r="G230" s="16">
        <f>IFERROR(AVERAGEIF('Production Batches'!$C:$C,A230,'Production Batches'!$L:$L),0)</f>
        <v>0</v>
      </c>
      <c r="H230" s="16">
        <f t="shared" si="7"/>
        <v>0</v>
      </c>
      <c r="I230" s="30"/>
    </row>
    <row r="231" spans="1:9">
      <c r="A231" s="11"/>
      <c r="B231" t="str">
        <f>IFERROR(VLOOKUP(A231,'Products Index'!$A:$B,2,FALSE),"")</f>
        <v/>
      </c>
      <c r="C231" s="11"/>
      <c r="D231" s="11"/>
      <c r="E231" s="11"/>
      <c r="F231">
        <f t="shared" si="6"/>
        <v>0</v>
      </c>
      <c r="G231" s="16">
        <f>IFERROR(AVERAGEIF('Production Batches'!$C:$C,A231,'Production Batches'!$L:$L),0)</f>
        <v>0</v>
      </c>
      <c r="H231" s="16">
        <f t="shared" si="7"/>
        <v>0</v>
      </c>
      <c r="I231" s="30"/>
    </row>
    <row r="232" spans="1:9">
      <c r="A232" s="11"/>
      <c r="B232" t="str">
        <f>IFERROR(VLOOKUP(A232,'Products Index'!$A:$B,2,FALSE),"")</f>
        <v/>
      </c>
      <c r="C232" s="11"/>
      <c r="D232" s="11"/>
      <c r="E232" s="11"/>
      <c r="F232">
        <f t="shared" si="6"/>
        <v>0</v>
      </c>
      <c r="G232" s="16">
        <f>IFERROR(AVERAGEIF('Production Batches'!$C:$C,A232,'Production Batches'!$L:$L),0)</f>
        <v>0</v>
      </c>
      <c r="H232" s="16">
        <f t="shared" si="7"/>
        <v>0</v>
      </c>
      <c r="I232" s="30"/>
    </row>
    <row r="233" spans="1:9">
      <c r="A233" s="11"/>
      <c r="B233" t="str">
        <f>IFERROR(VLOOKUP(A233,'Products Index'!$A:$B,2,FALSE),"")</f>
        <v/>
      </c>
      <c r="C233" s="11"/>
      <c r="D233" s="11"/>
      <c r="E233" s="11"/>
      <c r="F233">
        <f t="shared" si="6"/>
        <v>0</v>
      </c>
      <c r="G233" s="16">
        <f>IFERROR(AVERAGEIF('Production Batches'!$C:$C,A233,'Production Batches'!$L:$L),0)</f>
        <v>0</v>
      </c>
      <c r="H233" s="16">
        <f t="shared" si="7"/>
        <v>0</v>
      </c>
      <c r="I233" s="30"/>
    </row>
    <row r="234" spans="1:9">
      <c r="A234" s="11"/>
      <c r="B234" t="str">
        <f>IFERROR(VLOOKUP(A234,'Products Index'!$A:$B,2,FALSE),"")</f>
        <v/>
      </c>
      <c r="C234" s="11"/>
      <c r="D234" s="11"/>
      <c r="E234" s="11"/>
      <c r="F234">
        <f t="shared" si="6"/>
        <v>0</v>
      </c>
      <c r="G234" s="16">
        <f>IFERROR(AVERAGEIF('Production Batches'!$C:$C,A234,'Production Batches'!$L:$L),0)</f>
        <v>0</v>
      </c>
      <c r="H234" s="16">
        <f t="shared" si="7"/>
        <v>0</v>
      </c>
      <c r="I234" s="30"/>
    </row>
    <row r="235" spans="1:9">
      <c r="A235" s="11"/>
      <c r="B235" t="str">
        <f>IFERROR(VLOOKUP(A235,'Products Index'!$A:$B,2,FALSE),"")</f>
        <v/>
      </c>
      <c r="C235" s="11"/>
      <c r="D235" s="11"/>
      <c r="E235" s="11"/>
      <c r="F235">
        <f t="shared" si="6"/>
        <v>0</v>
      </c>
      <c r="G235" s="16">
        <f>IFERROR(AVERAGEIF('Production Batches'!$C:$C,A235,'Production Batches'!$L:$L),0)</f>
        <v>0</v>
      </c>
      <c r="H235" s="16">
        <f t="shared" si="7"/>
        <v>0</v>
      </c>
      <c r="I235" s="30"/>
    </row>
    <row r="236" spans="1:9">
      <c r="A236" s="11"/>
      <c r="B236" t="str">
        <f>IFERROR(VLOOKUP(A236,'Products Index'!$A:$B,2,FALSE),"")</f>
        <v/>
      </c>
      <c r="C236" s="11"/>
      <c r="D236" s="11"/>
      <c r="E236" s="11"/>
      <c r="F236">
        <f t="shared" si="6"/>
        <v>0</v>
      </c>
      <c r="G236" s="16">
        <f>IFERROR(AVERAGEIF('Production Batches'!$C:$C,A236,'Production Batches'!$L:$L),0)</f>
        <v>0</v>
      </c>
      <c r="H236" s="16">
        <f t="shared" si="7"/>
        <v>0</v>
      </c>
      <c r="I236" s="30"/>
    </row>
    <row r="237" spans="1:9">
      <c r="A237" s="11"/>
      <c r="B237" t="str">
        <f>IFERROR(VLOOKUP(A237,'Products Index'!$A:$B,2,FALSE),"")</f>
        <v/>
      </c>
      <c r="C237" s="11"/>
      <c r="D237" s="11"/>
      <c r="E237" s="11"/>
      <c r="F237">
        <f t="shared" si="6"/>
        <v>0</v>
      </c>
      <c r="G237" s="16">
        <f>IFERROR(AVERAGEIF('Production Batches'!$C:$C,A237,'Production Batches'!$L:$L),0)</f>
        <v>0</v>
      </c>
      <c r="H237" s="16">
        <f t="shared" si="7"/>
        <v>0</v>
      </c>
      <c r="I237" s="30"/>
    </row>
    <row r="238" spans="1:9">
      <c r="A238" s="11"/>
      <c r="B238" t="str">
        <f>IFERROR(VLOOKUP(A238,'Products Index'!$A:$B,2,FALSE),"")</f>
        <v/>
      </c>
      <c r="C238" s="11"/>
      <c r="D238" s="11"/>
      <c r="E238" s="11"/>
      <c r="F238">
        <f t="shared" si="6"/>
        <v>0</v>
      </c>
      <c r="G238" s="16">
        <f>IFERROR(AVERAGEIF('Production Batches'!$C:$C,A238,'Production Batches'!$L:$L),0)</f>
        <v>0</v>
      </c>
      <c r="H238" s="16">
        <f t="shared" si="7"/>
        <v>0</v>
      </c>
      <c r="I238" s="30"/>
    </row>
    <row r="239" spans="1:9">
      <c r="A239" s="11"/>
      <c r="B239" t="str">
        <f>IFERROR(VLOOKUP(A239,'Products Index'!$A:$B,2,FALSE),"")</f>
        <v/>
      </c>
      <c r="C239" s="11"/>
      <c r="D239" s="11"/>
      <c r="E239" s="11"/>
      <c r="F239">
        <f t="shared" si="6"/>
        <v>0</v>
      </c>
      <c r="G239" s="16">
        <f>IFERROR(AVERAGEIF('Production Batches'!$C:$C,A239,'Production Batches'!$L:$L),0)</f>
        <v>0</v>
      </c>
      <c r="H239" s="16">
        <f t="shared" si="7"/>
        <v>0</v>
      </c>
      <c r="I239" s="30"/>
    </row>
    <row r="240" spans="1:9">
      <c r="A240" s="11"/>
      <c r="B240" t="str">
        <f>IFERROR(VLOOKUP(A240,'Products Index'!$A:$B,2,FALSE),"")</f>
        <v/>
      </c>
      <c r="C240" s="11"/>
      <c r="D240" s="11"/>
      <c r="E240" s="11"/>
      <c r="F240">
        <f t="shared" si="6"/>
        <v>0</v>
      </c>
      <c r="G240" s="16">
        <f>IFERROR(AVERAGEIF('Production Batches'!$C:$C,A240,'Production Batches'!$L:$L),0)</f>
        <v>0</v>
      </c>
      <c r="H240" s="16">
        <f t="shared" si="7"/>
        <v>0</v>
      </c>
      <c r="I240" s="30"/>
    </row>
    <row r="241" spans="1:9">
      <c r="A241" s="11"/>
      <c r="B241" t="str">
        <f>IFERROR(VLOOKUP(A241,'Products Index'!$A:$B,2,FALSE),"")</f>
        <v/>
      </c>
      <c r="C241" s="11"/>
      <c r="D241" s="11"/>
      <c r="E241" s="11"/>
      <c r="F241">
        <f t="shared" si="6"/>
        <v>0</v>
      </c>
      <c r="G241" s="16">
        <f>IFERROR(AVERAGEIF('Production Batches'!$C:$C,A241,'Production Batches'!$L:$L),0)</f>
        <v>0</v>
      </c>
      <c r="H241" s="16">
        <f t="shared" si="7"/>
        <v>0</v>
      </c>
      <c r="I241" s="30"/>
    </row>
    <row r="242" spans="1:9">
      <c r="A242" s="11"/>
      <c r="B242" t="str">
        <f>IFERROR(VLOOKUP(A242,'Products Index'!$A:$B,2,FALSE),"")</f>
        <v/>
      </c>
      <c r="C242" s="11"/>
      <c r="D242" s="11"/>
      <c r="E242" s="11"/>
      <c r="F242">
        <f t="shared" si="6"/>
        <v>0</v>
      </c>
      <c r="G242" s="16">
        <f>IFERROR(AVERAGEIF('Production Batches'!$C:$C,A242,'Production Batches'!$L:$L),0)</f>
        <v>0</v>
      </c>
      <c r="H242" s="16">
        <f t="shared" si="7"/>
        <v>0</v>
      </c>
      <c r="I242" s="30"/>
    </row>
    <row r="243" spans="1:9">
      <c r="A243" s="11"/>
      <c r="B243" t="str">
        <f>IFERROR(VLOOKUP(A243,'Products Index'!$A:$B,2,FALSE),"")</f>
        <v/>
      </c>
      <c r="C243" s="11"/>
      <c r="D243" s="11"/>
      <c r="E243" s="11"/>
      <c r="F243">
        <f t="shared" si="6"/>
        <v>0</v>
      </c>
      <c r="G243" s="16">
        <f>IFERROR(AVERAGEIF('Production Batches'!$C:$C,A243,'Production Batches'!$L:$L),0)</f>
        <v>0</v>
      </c>
      <c r="H243" s="16">
        <f t="shared" si="7"/>
        <v>0</v>
      </c>
      <c r="I243" s="30"/>
    </row>
    <row r="244" spans="1:9">
      <c r="A244" s="11"/>
      <c r="B244" t="str">
        <f>IFERROR(VLOOKUP(A244,'Products Index'!$A:$B,2,FALSE),"")</f>
        <v/>
      </c>
      <c r="C244" s="11"/>
      <c r="D244" s="11"/>
      <c r="E244" s="11"/>
      <c r="F244">
        <f t="shared" si="6"/>
        <v>0</v>
      </c>
      <c r="G244" s="16">
        <f>IFERROR(AVERAGEIF('Production Batches'!$C:$C,A244,'Production Batches'!$L:$L),0)</f>
        <v>0</v>
      </c>
      <c r="H244" s="16">
        <f t="shared" si="7"/>
        <v>0</v>
      </c>
      <c r="I244" s="30"/>
    </row>
    <row r="245" spans="1:9">
      <c r="A245" s="11"/>
      <c r="B245" t="str">
        <f>IFERROR(VLOOKUP(A245,'Products Index'!$A:$B,2,FALSE),"")</f>
        <v/>
      </c>
      <c r="C245" s="11"/>
      <c r="D245" s="11"/>
      <c r="E245" s="11"/>
      <c r="F245">
        <f t="shared" si="6"/>
        <v>0</v>
      </c>
      <c r="G245" s="16">
        <f>IFERROR(AVERAGEIF('Production Batches'!$C:$C,A245,'Production Batches'!$L:$L),0)</f>
        <v>0</v>
      </c>
      <c r="H245" s="16">
        <f t="shared" si="7"/>
        <v>0</v>
      </c>
      <c r="I245" s="30"/>
    </row>
    <row r="246" spans="1:9">
      <c r="A246" s="11"/>
      <c r="B246" t="str">
        <f>IFERROR(VLOOKUP(A246,'Products Index'!$A:$B,2,FALSE),"")</f>
        <v/>
      </c>
      <c r="C246" s="11"/>
      <c r="D246" s="11"/>
      <c r="E246" s="11"/>
      <c r="F246">
        <f t="shared" si="6"/>
        <v>0</v>
      </c>
      <c r="G246" s="16">
        <f>IFERROR(AVERAGEIF('Production Batches'!$C:$C,A246,'Production Batches'!$L:$L),0)</f>
        <v>0</v>
      </c>
      <c r="H246" s="16">
        <f t="shared" si="7"/>
        <v>0</v>
      </c>
      <c r="I246" s="30"/>
    </row>
    <row r="247" spans="1:9">
      <c r="A247" s="11"/>
      <c r="B247" t="str">
        <f>IFERROR(VLOOKUP(A247,'Products Index'!$A:$B,2,FALSE),"")</f>
        <v/>
      </c>
      <c r="C247" s="11"/>
      <c r="D247" s="11"/>
      <c r="E247" s="11"/>
      <c r="F247">
        <f t="shared" si="6"/>
        <v>0</v>
      </c>
      <c r="G247" s="16">
        <f>IFERROR(AVERAGEIF('Production Batches'!$C:$C,A247,'Production Batches'!$L:$L),0)</f>
        <v>0</v>
      </c>
      <c r="H247" s="16">
        <f t="shared" si="7"/>
        <v>0</v>
      </c>
      <c r="I247" s="30"/>
    </row>
    <row r="248" spans="1:9">
      <c r="A248" s="11"/>
      <c r="B248" t="str">
        <f>IFERROR(VLOOKUP(A248,'Products Index'!$A:$B,2,FALSE),"")</f>
        <v/>
      </c>
      <c r="C248" s="11"/>
      <c r="D248" s="11"/>
      <c r="E248" s="11"/>
      <c r="F248">
        <f t="shared" si="6"/>
        <v>0</v>
      </c>
      <c r="G248" s="16">
        <f>IFERROR(AVERAGEIF('Production Batches'!$C:$C,A248,'Production Batches'!$L:$L),0)</f>
        <v>0</v>
      </c>
      <c r="H248" s="16">
        <f t="shared" si="7"/>
        <v>0</v>
      </c>
      <c r="I248" s="30"/>
    </row>
    <row r="249" spans="1:9">
      <c r="A249" s="11"/>
      <c r="B249" t="str">
        <f>IFERROR(VLOOKUP(A249,'Products Index'!$A:$B,2,FALSE),"")</f>
        <v/>
      </c>
      <c r="C249" s="11"/>
      <c r="D249" s="11"/>
      <c r="E249" s="11"/>
      <c r="F249">
        <f t="shared" si="6"/>
        <v>0</v>
      </c>
      <c r="G249" s="16">
        <f>IFERROR(AVERAGEIF('Production Batches'!$C:$C,A249,'Production Batches'!$L:$L),0)</f>
        <v>0</v>
      </c>
      <c r="H249" s="16">
        <f t="shared" si="7"/>
        <v>0</v>
      </c>
      <c r="I249" s="30"/>
    </row>
    <row r="250" spans="1:9">
      <c r="A250" s="11"/>
      <c r="B250" t="str">
        <f>IFERROR(VLOOKUP(A250,'Products Index'!$A:$B,2,FALSE),"")</f>
        <v/>
      </c>
      <c r="C250" s="11"/>
      <c r="D250" s="11"/>
      <c r="E250" s="11"/>
      <c r="F250">
        <f t="shared" si="6"/>
        <v>0</v>
      </c>
      <c r="G250" s="16">
        <f>IFERROR(AVERAGEIF('Production Batches'!$C:$C,A250,'Production Batches'!$L:$L),0)</f>
        <v>0</v>
      </c>
      <c r="H250" s="16">
        <f t="shared" si="7"/>
        <v>0</v>
      </c>
      <c r="I250" s="30"/>
    </row>
    <row r="251" spans="1:9">
      <c r="A251" s="11"/>
      <c r="B251" t="str">
        <f>IFERROR(VLOOKUP(A251,'Products Index'!$A:$B,2,FALSE),"")</f>
        <v/>
      </c>
      <c r="C251" s="11"/>
      <c r="D251" s="11"/>
      <c r="E251" s="11"/>
      <c r="F251">
        <f t="shared" si="6"/>
        <v>0</v>
      </c>
      <c r="G251" s="16">
        <f>IFERROR(AVERAGEIF('Production Batches'!$C:$C,A251,'Production Batches'!$L:$L),0)</f>
        <v>0</v>
      </c>
      <c r="H251" s="16">
        <f t="shared" si="7"/>
        <v>0</v>
      </c>
      <c r="I251" s="30"/>
    </row>
    <row r="252" spans="1:9">
      <c r="A252" s="11"/>
      <c r="B252" t="str">
        <f>IFERROR(VLOOKUP(A252,'Products Index'!$A:$B,2,FALSE),"")</f>
        <v/>
      </c>
      <c r="C252" s="11"/>
      <c r="D252" s="11"/>
      <c r="E252" s="11"/>
      <c r="F252">
        <f t="shared" si="6"/>
        <v>0</v>
      </c>
      <c r="G252" s="16">
        <f>IFERROR(AVERAGEIF('Production Batches'!$C:$C,A252,'Production Batches'!$L:$L),0)</f>
        <v>0</v>
      </c>
      <c r="H252" s="16">
        <f t="shared" si="7"/>
        <v>0</v>
      </c>
      <c r="I252" s="30"/>
    </row>
    <row r="253" spans="1:9">
      <c r="A253" s="11"/>
      <c r="B253" t="str">
        <f>IFERROR(VLOOKUP(A253,'Products Index'!$A:$B,2,FALSE),"")</f>
        <v/>
      </c>
      <c r="C253" s="11"/>
      <c r="D253" s="11"/>
      <c r="E253" s="11"/>
      <c r="F253">
        <f t="shared" si="6"/>
        <v>0</v>
      </c>
      <c r="G253" s="16">
        <f>IFERROR(AVERAGEIF('Production Batches'!$C:$C,A253,'Production Batches'!$L:$L),0)</f>
        <v>0</v>
      </c>
      <c r="H253" s="16">
        <f t="shared" si="7"/>
        <v>0</v>
      </c>
      <c r="I253" s="30"/>
    </row>
    <row r="254" spans="1:9">
      <c r="A254" s="11"/>
      <c r="B254" t="str">
        <f>IFERROR(VLOOKUP(A254,'Products Index'!$A:$B,2,FALSE),"")</f>
        <v/>
      </c>
      <c r="C254" s="11"/>
      <c r="D254" s="11"/>
      <c r="E254" s="11"/>
      <c r="F254">
        <f t="shared" si="6"/>
        <v>0</v>
      </c>
      <c r="G254" s="16">
        <f>IFERROR(AVERAGEIF('Production Batches'!$C:$C,A254,'Production Batches'!$L:$L),0)</f>
        <v>0</v>
      </c>
      <c r="H254" s="16">
        <f t="shared" si="7"/>
        <v>0</v>
      </c>
      <c r="I254" s="30"/>
    </row>
    <row r="255" spans="1:9">
      <c r="A255" s="11"/>
      <c r="B255" t="str">
        <f>IFERROR(VLOOKUP(A255,'Products Index'!$A:$B,2,FALSE),"")</f>
        <v/>
      </c>
      <c r="C255" s="11"/>
      <c r="D255" s="11"/>
      <c r="E255" s="11"/>
      <c r="F255">
        <f t="shared" si="6"/>
        <v>0</v>
      </c>
      <c r="G255" s="16">
        <f>IFERROR(AVERAGEIF('Production Batches'!$C:$C,A255,'Production Batches'!$L:$L),0)</f>
        <v>0</v>
      </c>
      <c r="H255" s="16">
        <f t="shared" si="7"/>
        <v>0</v>
      </c>
      <c r="I255" s="30"/>
    </row>
    <row r="256" spans="1:9">
      <c r="A256" s="11"/>
      <c r="B256" t="str">
        <f>IFERROR(VLOOKUP(A256,'Products Index'!$A:$B,2,FALSE),"")</f>
        <v/>
      </c>
      <c r="C256" s="11"/>
      <c r="D256" s="11"/>
      <c r="E256" s="11"/>
      <c r="F256">
        <f t="shared" si="6"/>
        <v>0</v>
      </c>
      <c r="G256" s="16">
        <f>IFERROR(AVERAGEIF('Production Batches'!$C:$C,A256,'Production Batches'!$L:$L),0)</f>
        <v>0</v>
      </c>
      <c r="H256" s="16">
        <f t="shared" si="7"/>
        <v>0</v>
      </c>
      <c r="I256" s="30"/>
    </row>
    <row r="257" spans="1:9">
      <c r="A257" s="11"/>
      <c r="B257" t="str">
        <f>IFERROR(VLOOKUP(A257,'Products Index'!$A:$B,2,FALSE),"")</f>
        <v/>
      </c>
      <c r="C257" s="11"/>
      <c r="D257" s="11"/>
      <c r="E257" s="11"/>
      <c r="F257">
        <f t="shared" si="6"/>
        <v>0</v>
      </c>
      <c r="G257" s="16">
        <f>IFERROR(AVERAGEIF('Production Batches'!$C:$C,A257,'Production Batches'!$L:$L),0)</f>
        <v>0</v>
      </c>
      <c r="H257" s="16">
        <f t="shared" si="7"/>
        <v>0</v>
      </c>
      <c r="I257" s="30"/>
    </row>
    <row r="258" spans="1:9">
      <c r="A258" s="11"/>
      <c r="B258" t="str">
        <f>IFERROR(VLOOKUP(A258,'Products Index'!$A:$B,2,FALSE),"")</f>
        <v/>
      </c>
      <c r="C258" s="11"/>
      <c r="D258" s="11"/>
      <c r="E258" s="11"/>
      <c r="F258">
        <f t="shared" ref="F258:F301" si="8">MAX(D258-E258,0)</f>
        <v>0</v>
      </c>
      <c r="G258" s="16">
        <f>IFERROR(AVERAGEIF('Production Batches'!$C:$C,A258,'Production Batches'!$L:$L),0)</f>
        <v>0</v>
      </c>
      <c r="H258" s="16">
        <f t="shared" ref="H258:H301" si="9">IFERROR(F258*G258,0)</f>
        <v>0</v>
      </c>
      <c r="I258" s="30"/>
    </row>
    <row r="259" spans="1:9">
      <c r="A259" s="11"/>
      <c r="B259" t="str">
        <f>IFERROR(VLOOKUP(A259,'Products Index'!$A:$B,2,FALSE),"")</f>
        <v/>
      </c>
      <c r="C259" s="11"/>
      <c r="D259" s="11"/>
      <c r="E259" s="11"/>
      <c r="F259">
        <f t="shared" si="8"/>
        <v>0</v>
      </c>
      <c r="G259" s="16">
        <f>IFERROR(AVERAGEIF('Production Batches'!$C:$C,A259,'Production Batches'!$L:$L),0)</f>
        <v>0</v>
      </c>
      <c r="H259" s="16">
        <f t="shared" si="9"/>
        <v>0</v>
      </c>
      <c r="I259" s="30"/>
    </row>
    <row r="260" spans="1:9">
      <c r="A260" s="11"/>
      <c r="B260" t="str">
        <f>IFERROR(VLOOKUP(A260,'Products Index'!$A:$B,2,FALSE),"")</f>
        <v/>
      </c>
      <c r="C260" s="11"/>
      <c r="D260" s="11"/>
      <c r="E260" s="11"/>
      <c r="F260">
        <f t="shared" si="8"/>
        <v>0</v>
      </c>
      <c r="G260" s="16">
        <f>IFERROR(AVERAGEIF('Production Batches'!$C:$C,A260,'Production Batches'!$L:$L),0)</f>
        <v>0</v>
      </c>
      <c r="H260" s="16">
        <f t="shared" si="9"/>
        <v>0</v>
      </c>
      <c r="I260" s="30"/>
    </row>
    <row r="261" spans="1:9">
      <c r="A261" s="11"/>
      <c r="B261" t="str">
        <f>IFERROR(VLOOKUP(A261,'Products Index'!$A:$B,2,FALSE),"")</f>
        <v/>
      </c>
      <c r="C261" s="11"/>
      <c r="D261" s="11"/>
      <c r="E261" s="11"/>
      <c r="F261">
        <f t="shared" si="8"/>
        <v>0</v>
      </c>
      <c r="G261" s="16">
        <f>IFERROR(AVERAGEIF('Production Batches'!$C:$C,A261,'Production Batches'!$L:$L),0)</f>
        <v>0</v>
      </c>
      <c r="H261" s="16">
        <f t="shared" si="9"/>
        <v>0</v>
      </c>
      <c r="I261" s="30"/>
    </row>
    <row r="262" spans="1:9">
      <c r="A262" s="11"/>
      <c r="B262" t="str">
        <f>IFERROR(VLOOKUP(A262,'Products Index'!$A:$B,2,FALSE),"")</f>
        <v/>
      </c>
      <c r="C262" s="11"/>
      <c r="D262" s="11"/>
      <c r="E262" s="11"/>
      <c r="F262">
        <f t="shared" si="8"/>
        <v>0</v>
      </c>
      <c r="G262" s="16">
        <f>IFERROR(AVERAGEIF('Production Batches'!$C:$C,A262,'Production Batches'!$L:$L),0)</f>
        <v>0</v>
      </c>
      <c r="H262" s="16">
        <f t="shared" si="9"/>
        <v>0</v>
      </c>
      <c r="I262" s="30"/>
    </row>
    <row r="263" spans="1:9">
      <c r="A263" s="11"/>
      <c r="B263" t="str">
        <f>IFERROR(VLOOKUP(A263,'Products Index'!$A:$B,2,FALSE),"")</f>
        <v/>
      </c>
      <c r="C263" s="11"/>
      <c r="D263" s="11"/>
      <c r="E263" s="11"/>
      <c r="F263">
        <f t="shared" si="8"/>
        <v>0</v>
      </c>
      <c r="G263" s="16">
        <f>IFERROR(AVERAGEIF('Production Batches'!$C:$C,A263,'Production Batches'!$L:$L),0)</f>
        <v>0</v>
      </c>
      <c r="H263" s="16">
        <f t="shared" si="9"/>
        <v>0</v>
      </c>
      <c r="I263" s="30"/>
    </row>
    <row r="264" spans="1:9">
      <c r="A264" s="11"/>
      <c r="B264" t="str">
        <f>IFERROR(VLOOKUP(A264,'Products Index'!$A:$B,2,FALSE),"")</f>
        <v/>
      </c>
      <c r="C264" s="11"/>
      <c r="D264" s="11"/>
      <c r="E264" s="11"/>
      <c r="F264">
        <f t="shared" si="8"/>
        <v>0</v>
      </c>
      <c r="G264" s="16">
        <f>IFERROR(AVERAGEIF('Production Batches'!$C:$C,A264,'Production Batches'!$L:$L),0)</f>
        <v>0</v>
      </c>
      <c r="H264" s="16">
        <f t="shared" si="9"/>
        <v>0</v>
      </c>
      <c r="I264" s="30"/>
    </row>
    <row r="265" spans="1:9">
      <c r="A265" s="11"/>
      <c r="B265" t="str">
        <f>IFERROR(VLOOKUP(A265,'Products Index'!$A:$B,2,FALSE),"")</f>
        <v/>
      </c>
      <c r="C265" s="11"/>
      <c r="D265" s="11"/>
      <c r="E265" s="11"/>
      <c r="F265">
        <f t="shared" si="8"/>
        <v>0</v>
      </c>
      <c r="G265" s="16">
        <f>IFERROR(AVERAGEIF('Production Batches'!$C:$C,A265,'Production Batches'!$L:$L),0)</f>
        <v>0</v>
      </c>
      <c r="H265" s="16">
        <f t="shared" si="9"/>
        <v>0</v>
      </c>
      <c r="I265" s="30"/>
    </row>
    <row r="266" spans="1:9">
      <c r="A266" s="11"/>
      <c r="B266" t="str">
        <f>IFERROR(VLOOKUP(A266,'Products Index'!$A:$B,2,FALSE),"")</f>
        <v/>
      </c>
      <c r="C266" s="11"/>
      <c r="D266" s="11"/>
      <c r="E266" s="11"/>
      <c r="F266">
        <f t="shared" si="8"/>
        <v>0</v>
      </c>
      <c r="G266" s="16">
        <f>IFERROR(AVERAGEIF('Production Batches'!$C:$C,A266,'Production Batches'!$L:$L),0)</f>
        <v>0</v>
      </c>
      <c r="H266" s="16">
        <f t="shared" si="9"/>
        <v>0</v>
      </c>
      <c r="I266" s="30"/>
    </row>
    <row r="267" spans="1:9">
      <c r="A267" s="11"/>
      <c r="B267" t="str">
        <f>IFERROR(VLOOKUP(A267,'Products Index'!$A:$B,2,FALSE),"")</f>
        <v/>
      </c>
      <c r="C267" s="11"/>
      <c r="D267" s="11"/>
      <c r="E267" s="11"/>
      <c r="F267">
        <f t="shared" si="8"/>
        <v>0</v>
      </c>
      <c r="G267" s="16">
        <f>IFERROR(AVERAGEIF('Production Batches'!$C:$C,A267,'Production Batches'!$L:$L),0)</f>
        <v>0</v>
      </c>
      <c r="H267" s="16">
        <f t="shared" si="9"/>
        <v>0</v>
      </c>
      <c r="I267" s="30"/>
    </row>
    <row r="268" spans="1:9">
      <c r="A268" s="11"/>
      <c r="B268" t="str">
        <f>IFERROR(VLOOKUP(A268,'Products Index'!$A:$B,2,FALSE),"")</f>
        <v/>
      </c>
      <c r="C268" s="11"/>
      <c r="D268" s="11"/>
      <c r="E268" s="11"/>
      <c r="F268">
        <f t="shared" si="8"/>
        <v>0</v>
      </c>
      <c r="G268" s="16">
        <f>IFERROR(AVERAGEIF('Production Batches'!$C:$C,A268,'Production Batches'!$L:$L),0)</f>
        <v>0</v>
      </c>
      <c r="H268" s="16">
        <f t="shared" si="9"/>
        <v>0</v>
      </c>
      <c r="I268" s="30"/>
    </row>
    <row r="269" spans="1:9">
      <c r="A269" s="11"/>
      <c r="B269" t="str">
        <f>IFERROR(VLOOKUP(A269,'Products Index'!$A:$B,2,FALSE),"")</f>
        <v/>
      </c>
      <c r="C269" s="11"/>
      <c r="D269" s="11"/>
      <c r="E269" s="11"/>
      <c r="F269">
        <f t="shared" si="8"/>
        <v>0</v>
      </c>
      <c r="G269" s="16">
        <f>IFERROR(AVERAGEIF('Production Batches'!$C:$C,A269,'Production Batches'!$L:$L),0)</f>
        <v>0</v>
      </c>
      <c r="H269" s="16">
        <f t="shared" si="9"/>
        <v>0</v>
      </c>
      <c r="I269" s="30"/>
    </row>
    <row r="270" spans="1:9">
      <c r="A270" s="11"/>
      <c r="B270" t="str">
        <f>IFERROR(VLOOKUP(A270,'Products Index'!$A:$B,2,FALSE),"")</f>
        <v/>
      </c>
      <c r="C270" s="11"/>
      <c r="D270" s="11"/>
      <c r="E270" s="11"/>
      <c r="F270">
        <f t="shared" si="8"/>
        <v>0</v>
      </c>
      <c r="G270" s="16">
        <f>IFERROR(AVERAGEIF('Production Batches'!$C:$C,A270,'Production Batches'!$L:$L),0)</f>
        <v>0</v>
      </c>
      <c r="H270" s="16">
        <f t="shared" si="9"/>
        <v>0</v>
      </c>
      <c r="I270" s="30"/>
    </row>
    <row r="271" spans="1:9">
      <c r="A271" s="11"/>
      <c r="B271" t="str">
        <f>IFERROR(VLOOKUP(A271,'Products Index'!$A:$B,2,FALSE),"")</f>
        <v/>
      </c>
      <c r="C271" s="11"/>
      <c r="D271" s="11"/>
      <c r="E271" s="11"/>
      <c r="F271">
        <f t="shared" si="8"/>
        <v>0</v>
      </c>
      <c r="G271" s="16">
        <f>IFERROR(AVERAGEIF('Production Batches'!$C:$C,A271,'Production Batches'!$L:$L),0)</f>
        <v>0</v>
      </c>
      <c r="H271" s="16">
        <f t="shared" si="9"/>
        <v>0</v>
      </c>
      <c r="I271" s="30"/>
    </row>
    <row r="272" spans="1:9">
      <c r="A272" s="11"/>
      <c r="B272" t="str">
        <f>IFERROR(VLOOKUP(A272,'Products Index'!$A:$B,2,FALSE),"")</f>
        <v/>
      </c>
      <c r="C272" s="11"/>
      <c r="D272" s="11"/>
      <c r="E272" s="11"/>
      <c r="F272">
        <f t="shared" si="8"/>
        <v>0</v>
      </c>
      <c r="G272" s="16">
        <f>IFERROR(AVERAGEIF('Production Batches'!$C:$C,A272,'Production Batches'!$L:$L),0)</f>
        <v>0</v>
      </c>
      <c r="H272" s="16">
        <f t="shared" si="9"/>
        <v>0</v>
      </c>
      <c r="I272" s="30"/>
    </row>
    <row r="273" spans="1:9">
      <c r="A273" s="11"/>
      <c r="B273" t="str">
        <f>IFERROR(VLOOKUP(A273,'Products Index'!$A:$B,2,FALSE),"")</f>
        <v/>
      </c>
      <c r="C273" s="11"/>
      <c r="D273" s="11"/>
      <c r="E273" s="11"/>
      <c r="F273">
        <f t="shared" si="8"/>
        <v>0</v>
      </c>
      <c r="G273" s="16">
        <f>IFERROR(AVERAGEIF('Production Batches'!$C:$C,A273,'Production Batches'!$L:$L),0)</f>
        <v>0</v>
      </c>
      <c r="H273" s="16">
        <f t="shared" si="9"/>
        <v>0</v>
      </c>
      <c r="I273" s="30"/>
    </row>
    <row r="274" spans="1:9">
      <c r="A274" s="11"/>
      <c r="B274" t="str">
        <f>IFERROR(VLOOKUP(A274,'Products Index'!$A:$B,2,FALSE),"")</f>
        <v/>
      </c>
      <c r="C274" s="11"/>
      <c r="D274" s="11"/>
      <c r="E274" s="11"/>
      <c r="F274">
        <f t="shared" si="8"/>
        <v>0</v>
      </c>
      <c r="G274" s="16">
        <f>IFERROR(AVERAGEIF('Production Batches'!$C:$C,A274,'Production Batches'!$L:$L),0)</f>
        <v>0</v>
      </c>
      <c r="H274" s="16">
        <f t="shared" si="9"/>
        <v>0</v>
      </c>
      <c r="I274" s="30"/>
    </row>
    <row r="275" spans="1:9">
      <c r="A275" s="11"/>
      <c r="B275" t="str">
        <f>IFERROR(VLOOKUP(A275,'Products Index'!$A:$B,2,FALSE),"")</f>
        <v/>
      </c>
      <c r="C275" s="11"/>
      <c r="D275" s="11"/>
      <c r="E275" s="11"/>
      <c r="F275">
        <f t="shared" si="8"/>
        <v>0</v>
      </c>
      <c r="G275" s="16">
        <f>IFERROR(AVERAGEIF('Production Batches'!$C:$C,A275,'Production Batches'!$L:$L),0)</f>
        <v>0</v>
      </c>
      <c r="H275" s="16">
        <f t="shared" si="9"/>
        <v>0</v>
      </c>
      <c r="I275" s="30"/>
    </row>
    <row r="276" spans="1:9">
      <c r="A276" s="11"/>
      <c r="B276" t="str">
        <f>IFERROR(VLOOKUP(A276,'Products Index'!$A:$B,2,FALSE),"")</f>
        <v/>
      </c>
      <c r="C276" s="11"/>
      <c r="D276" s="11"/>
      <c r="E276" s="11"/>
      <c r="F276">
        <f t="shared" si="8"/>
        <v>0</v>
      </c>
      <c r="G276" s="16">
        <f>IFERROR(AVERAGEIF('Production Batches'!$C:$C,A276,'Production Batches'!$L:$L),0)</f>
        <v>0</v>
      </c>
      <c r="H276" s="16">
        <f t="shared" si="9"/>
        <v>0</v>
      </c>
      <c r="I276" s="30"/>
    </row>
    <row r="277" spans="1:9">
      <c r="A277" s="11"/>
      <c r="B277" t="str">
        <f>IFERROR(VLOOKUP(A277,'Products Index'!$A:$B,2,FALSE),"")</f>
        <v/>
      </c>
      <c r="C277" s="11"/>
      <c r="D277" s="11"/>
      <c r="E277" s="11"/>
      <c r="F277">
        <f t="shared" si="8"/>
        <v>0</v>
      </c>
      <c r="G277" s="16">
        <f>IFERROR(AVERAGEIF('Production Batches'!$C:$C,A277,'Production Batches'!$L:$L),0)</f>
        <v>0</v>
      </c>
      <c r="H277" s="16">
        <f t="shared" si="9"/>
        <v>0</v>
      </c>
      <c r="I277" s="30"/>
    </row>
    <row r="278" spans="1:9">
      <c r="A278" s="11"/>
      <c r="B278" t="str">
        <f>IFERROR(VLOOKUP(A278,'Products Index'!$A:$B,2,FALSE),"")</f>
        <v/>
      </c>
      <c r="C278" s="11"/>
      <c r="D278" s="11"/>
      <c r="E278" s="11"/>
      <c r="F278">
        <f t="shared" si="8"/>
        <v>0</v>
      </c>
      <c r="G278" s="16">
        <f>IFERROR(AVERAGEIF('Production Batches'!$C:$C,A278,'Production Batches'!$L:$L),0)</f>
        <v>0</v>
      </c>
      <c r="H278" s="16">
        <f t="shared" si="9"/>
        <v>0</v>
      </c>
      <c r="I278" s="30"/>
    </row>
    <row r="279" spans="1:9">
      <c r="A279" s="11"/>
      <c r="B279" t="str">
        <f>IFERROR(VLOOKUP(A279,'Products Index'!$A:$B,2,FALSE),"")</f>
        <v/>
      </c>
      <c r="C279" s="11"/>
      <c r="D279" s="11"/>
      <c r="E279" s="11"/>
      <c r="F279">
        <f t="shared" si="8"/>
        <v>0</v>
      </c>
      <c r="G279" s="16">
        <f>IFERROR(AVERAGEIF('Production Batches'!$C:$C,A279,'Production Batches'!$L:$L),0)</f>
        <v>0</v>
      </c>
      <c r="H279" s="16">
        <f t="shared" si="9"/>
        <v>0</v>
      </c>
      <c r="I279" s="30"/>
    </row>
    <row r="280" spans="1:9">
      <c r="A280" s="11"/>
      <c r="B280" t="str">
        <f>IFERROR(VLOOKUP(A280,'Products Index'!$A:$B,2,FALSE),"")</f>
        <v/>
      </c>
      <c r="C280" s="11"/>
      <c r="D280" s="11"/>
      <c r="E280" s="11"/>
      <c r="F280">
        <f t="shared" si="8"/>
        <v>0</v>
      </c>
      <c r="G280" s="16">
        <f>IFERROR(AVERAGEIF('Production Batches'!$C:$C,A280,'Production Batches'!$L:$L),0)</f>
        <v>0</v>
      </c>
      <c r="H280" s="16">
        <f t="shared" si="9"/>
        <v>0</v>
      </c>
      <c r="I280" s="30"/>
    </row>
    <row r="281" spans="1:9">
      <c r="A281" s="11"/>
      <c r="B281" t="str">
        <f>IFERROR(VLOOKUP(A281,'Products Index'!$A:$B,2,FALSE),"")</f>
        <v/>
      </c>
      <c r="C281" s="11"/>
      <c r="D281" s="11"/>
      <c r="E281" s="11"/>
      <c r="F281">
        <f t="shared" si="8"/>
        <v>0</v>
      </c>
      <c r="G281" s="16">
        <f>IFERROR(AVERAGEIF('Production Batches'!$C:$C,A281,'Production Batches'!$L:$L),0)</f>
        <v>0</v>
      </c>
      <c r="H281" s="16">
        <f t="shared" si="9"/>
        <v>0</v>
      </c>
      <c r="I281" s="30"/>
    </row>
    <row r="282" spans="1:9">
      <c r="A282" s="11"/>
      <c r="B282" t="str">
        <f>IFERROR(VLOOKUP(A282,'Products Index'!$A:$B,2,FALSE),"")</f>
        <v/>
      </c>
      <c r="C282" s="11"/>
      <c r="D282" s="11"/>
      <c r="E282" s="11"/>
      <c r="F282">
        <f t="shared" si="8"/>
        <v>0</v>
      </c>
      <c r="G282" s="16">
        <f>IFERROR(AVERAGEIF('Production Batches'!$C:$C,A282,'Production Batches'!$L:$L),0)</f>
        <v>0</v>
      </c>
      <c r="H282" s="16">
        <f t="shared" si="9"/>
        <v>0</v>
      </c>
      <c r="I282" s="30"/>
    </row>
    <row r="283" spans="1:9">
      <c r="A283" s="11"/>
      <c r="B283" t="str">
        <f>IFERROR(VLOOKUP(A283,'Products Index'!$A:$B,2,FALSE),"")</f>
        <v/>
      </c>
      <c r="C283" s="11"/>
      <c r="D283" s="11"/>
      <c r="E283" s="11"/>
      <c r="F283">
        <f t="shared" si="8"/>
        <v>0</v>
      </c>
      <c r="G283" s="16">
        <f>IFERROR(AVERAGEIF('Production Batches'!$C:$C,A283,'Production Batches'!$L:$L),0)</f>
        <v>0</v>
      </c>
      <c r="H283" s="16">
        <f t="shared" si="9"/>
        <v>0</v>
      </c>
      <c r="I283" s="30"/>
    </row>
    <row r="284" spans="1:9">
      <c r="A284" s="11"/>
      <c r="B284" t="str">
        <f>IFERROR(VLOOKUP(A284,'Products Index'!$A:$B,2,FALSE),"")</f>
        <v/>
      </c>
      <c r="C284" s="11"/>
      <c r="D284" s="11"/>
      <c r="E284" s="11"/>
      <c r="F284">
        <f t="shared" si="8"/>
        <v>0</v>
      </c>
      <c r="G284" s="16">
        <f>IFERROR(AVERAGEIF('Production Batches'!$C:$C,A284,'Production Batches'!$L:$L),0)</f>
        <v>0</v>
      </c>
      <c r="H284" s="16">
        <f t="shared" si="9"/>
        <v>0</v>
      </c>
      <c r="I284" s="30"/>
    </row>
    <row r="285" spans="1:9">
      <c r="A285" s="11"/>
      <c r="B285" t="str">
        <f>IFERROR(VLOOKUP(A285,'Products Index'!$A:$B,2,FALSE),"")</f>
        <v/>
      </c>
      <c r="C285" s="11"/>
      <c r="D285" s="11"/>
      <c r="E285" s="11"/>
      <c r="F285">
        <f t="shared" si="8"/>
        <v>0</v>
      </c>
      <c r="G285" s="16">
        <f>IFERROR(AVERAGEIF('Production Batches'!$C:$C,A285,'Production Batches'!$L:$L),0)</f>
        <v>0</v>
      </c>
      <c r="H285" s="16">
        <f t="shared" si="9"/>
        <v>0</v>
      </c>
      <c r="I285" s="30"/>
    </row>
    <row r="286" spans="1:9">
      <c r="A286" s="11"/>
      <c r="B286" t="str">
        <f>IFERROR(VLOOKUP(A286,'Products Index'!$A:$B,2,FALSE),"")</f>
        <v/>
      </c>
      <c r="C286" s="11"/>
      <c r="D286" s="11"/>
      <c r="E286" s="11"/>
      <c r="F286">
        <f t="shared" si="8"/>
        <v>0</v>
      </c>
      <c r="G286" s="16">
        <f>IFERROR(AVERAGEIF('Production Batches'!$C:$C,A286,'Production Batches'!$L:$L),0)</f>
        <v>0</v>
      </c>
      <c r="H286" s="16">
        <f t="shared" si="9"/>
        <v>0</v>
      </c>
      <c r="I286" s="30"/>
    </row>
    <row r="287" spans="1:9">
      <c r="A287" s="11"/>
      <c r="B287" t="str">
        <f>IFERROR(VLOOKUP(A287,'Products Index'!$A:$B,2,FALSE),"")</f>
        <v/>
      </c>
      <c r="C287" s="11"/>
      <c r="D287" s="11"/>
      <c r="E287" s="11"/>
      <c r="F287">
        <f t="shared" si="8"/>
        <v>0</v>
      </c>
      <c r="G287" s="16">
        <f>IFERROR(AVERAGEIF('Production Batches'!$C:$C,A287,'Production Batches'!$L:$L),0)</f>
        <v>0</v>
      </c>
      <c r="H287" s="16">
        <f t="shared" si="9"/>
        <v>0</v>
      </c>
      <c r="I287" s="30"/>
    </row>
    <row r="288" spans="1:9">
      <c r="A288" s="11"/>
      <c r="B288" t="str">
        <f>IFERROR(VLOOKUP(A288,'Products Index'!$A:$B,2,FALSE),"")</f>
        <v/>
      </c>
      <c r="C288" s="11"/>
      <c r="D288" s="11"/>
      <c r="E288" s="11"/>
      <c r="F288">
        <f t="shared" si="8"/>
        <v>0</v>
      </c>
      <c r="G288" s="16">
        <f>IFERROR(AVERAGEIF('Production Batches'!$C:$C,A288,'Production Batches'!$L:$L),0)</f>
        <v>0</v>
      </c>
      <c r="H288" s="16">
        <f t="shared" si="9"/>
        <v>0</v>
      </c>
      <c r="I288" s="30"/>
    </row>
    <row r="289" spans="1:9">
      <c r="A289" s="11"/>
      <c r="B289" t="str">
        <f>IFERROR(VLOOKUP(A289,'Products Index'!$A:$B,2,FALSE),"")</f>
        <v/>
      </c>
      <c r="C289" s="11"/>
      <c r="D289" s="11"/>
      <c r="E289" s="11"/>
      <c r="F289">
        <f t="shared" si="8"/>
        <v>0</v>
      </c>
      <c r="G289" s="16">
        <f>IFERROR(AVERAGEIF('Production Batches'!$C:$C,A289,'Production Batches'!$L:$L),0)</f>
        <v>0</v>
      </c>
      <c r="H289" s="16">
        <f t="shared" si="9"/>
        <v>0</v>
      </c>
      <c r="I289" s="30"/>
    </row>
    <row r="290" spans="1:9">
      <c r="A290" s="11"/>
      <c r="B290" t="str">
        <f>IFERROR(VLOOKUP(A290,'Products Index'!$A:$B,2,FALSE),"")</f>
        <v/>
      </c>
      <c r="C290" s="11"/>
      <c r="D290" s="11"/>
      <c r="E290" s="11"/>
      <c r="F290">
        <f t="shared" si="8"/>
        <v>0</v>
      </c>
      <c r="G290" s="16">
        <f>IFERROR(AVERAGEIF('Production Batches'!$C:$C,A290,'Production Batches'!$L:$L),0)</f>
        <v>0</v>
      </c>
      <c r="H290" s="16">
        <f t="shared" si="9"/>
        <v>0</v>
      </c>
      <c r="I290" s="30"/>
    </row>
    <row r="291" spans="1:9">
      <c r="A291" s="11"/>
      <c r="B291" t="str">
        <f>IFERROR(VLOOKUP(A291,'Products Index'!$A:$B,2,FALSE),"")</f>
        <v/>
      </c>
      <c r="C291" s="11"/>
      <c r="D291" s="11"/>
      <c r="E291" s="11"/>
      <c r="F291">
        <f t="shared" si="8"/>
        <v>0</v>
      </c>
      <c r="G291" s="16">
        <f>IFERROR(AVERAGEIF('Production Batches'!$C:$C,A291,'Production Batches'!$L:$L),0)</f>
        <v>0</v>
      </c>
      <c r="H291" s="16">
        <f t="shared" si="9"/>
        <v>0</v>
      </c>
      <c r="I291" s="30"/>
    </row>
    <row r="292" spans="1:9">
      <c r="A292" s="11"/>
      <c r="B292" t="str">
        <f>IFERROR(VLOOKUP(A292,'Products Index'!$A:$B,2,FALSE),"")</f>
        <v/>
      </c>
      <c r="C292" s="11"/>
      <c r="D292" s="11"/>
      <c r="E292" s="11"/>
      <c r="F292">
        <f t="shared" si="8"/>
        <v>0</v>
      </c>
      <c r="G292" s="16">
        <f>IFERROR(AVERAGEIF('Production Batches'!$C:$C,A292,'Production Batches'!$L:$L),0)</f>
        <v>0</v>
      </c>
      <c r="H292" s="16">
        <f t="shared" si="9"/>
        <v>0</v>
      </c>
      <c r="I292" s="30"/>
    </row>
    <row r="293" spans="1:9">
      <c r="A293" s="11"/>
      <c r="B293" t="str">
        <f>IFERROR(VLOOKUP(A293,'Products Index'!$A:$B,2,FALSE),"")</f>
        <v/>
      </c>
      <c r="C293" s="11"/>
      <c r="D293" s="11"/>
      <c r="E293" s="11"/>
      <c r="F293">
        <f t="shared" si="8"/>
        <v>0</v>
      </c>
      <c r="G293" s="16">
        <f>IFERROR(AVERAGEIF('Production Batches'!$C:$C,A293,'Production Batches'!$L:$L),0)</f>
        <v>0</v>
      </c>
      <c r="H293" s="16">
        <f t="shared" si="9"/>
        <v>0</v>
      </c>
      <c r="I293" s="30"/>
    </row>
    <row r="294" spans="1:9">
      <c r="A294" s="11"/>
      <c r="B294" t="str">
        <f>IFERROR(VLOOKUP(A294,'Products Index'!$A:$B,2,FALSE),"")</f>
        <v/>
      </c>
      <c r="C294" s="11"/>
      <c r="D294" s="11"/>
      <c r="E294" s="11"/>
      <c r="F294">
        <f t="shared" si="8"/>
        <v>0</v>
      </c>
      <c r="G294" s="16">
        <f>IFERROR(AVERAGEIF('Production Batches'!$C:$C,A294,'Production Batches'!$L:$L),0)</f>
        <v>0</v>
      </c>
      <c r="H294" s="16">
        <f t="shared" si="9"/>
        <v>0</v>
      </c>
      <c r="I294" s="30"/>
    </row>
    <row r="295" spans="1:9">
      <c r="A295" s="11"/>
      <c r="B295" t="str">
        <f>IFERROR(VLOOKUP(A295,'Products Index'!$A:$B,2,FALSE),"")</f>
        <v/>
      </c>
      <c r="C295" s="11"/>
      <c r="D295" s="11"/>
      <c r="E295" s="11"/>
      <c r="F295">
        <f t="shared" si="8"/>
        <v>0</v>
      </c>
      <c r="G295" s="16">
        <f>IFERROR(AVERAGEIF('Production Batches'!$C:$C,A295,'Production Batches'!$L:$L),0)</f>
        <v>0</v>
      </c>
      <c r="H295" s="16">
        <f t="shared" si="9"/>
        <v>0</v>
      </c>
      <c r="I295" s="30"/>
    </row>
    <row r="296" spans="1:9">
      <c r="A296" s="11"/>
      <c r="B296" t="str">
        <f>IFERROR(VLOOKUP(A296,'Products Index'!$A:$B,2,FALSE),"")</f>
        <v/>
      </c>
      <c r="C296" s="11"/>
      <c r="D296" s="11"/>
      <c r="E296" s="11"/>
      <c r="F296">
        <f t="shared" si="8"/>
        <v>0</v>
      </c>
      <c r="G296" s="16">
        <f>IFERROR(AVERAGEIF('Production Batches'!$C:$C,A296,'Production Batches'!$L:$L),0)</f>
        <v>0</v>
      </c>
      <c r="H296" s="16">
        <f t="shared" si="9"/>
        <v>0</v>
      </c>
      <c r="I296" s="30"/>
    </row>
    <row r="297" spans="1:9">
      <c r="A297" s="11"/>
      <c r="B297" t="str">
        <f>IFERROR(VLOOKUP(A297,'Products Index'!$A:$B,2,FALSE),"")</f>
        <v/>
      </c>
      <c r="C297" s="11"/>
      <c r="D297" s="11"/>
      <c r="E297" s="11"/>
      <c r="F297">
        <f t="shared" si="8"/>
        <v>0</v>
      </c>
      <c r="G297" s="16">
        <f>IFERROR(AVERAGEIF('Production Batches'!$C:$C,A297,'Production Batches'!$L:$L),0)</f>
        <v>0</v>
      </c>
      <c r="H297" s="16">
        <f t="shared" si="9"/>
        <v>0</v>
      </c>
      <c r="I297" s="30"/>
    </row>
    <row r="298" spans="1:9">
      <c r="A298" s="11"/>
      <c r="B298" t="str">
        <f>IFERROR(VLOOKUP(A298,'Products Index'!$A:$B,2,FALSE),"")</f>
        <v/>
      </c>
      <c r="C298" s="11"/>
      <c r="D298" s="11"/>
      <c r="E298" s="11"/>
      <c r="F298">
        <f t="shared" si="8"/>
        <v>0</v>
      </c>
      <c r="G298" s="16">
        <f>IFERROR(AVERAGEIF('Production Batches'!$C:$C,A298,'Production Batches'!$L:$L),0)</f>
        <v>0</v>
      </c>
      <c r="H298" s="16">
        <f t="shared" si="9"/>
        <v>0</v>
      </c>
      <c r="I298" s="30"/>
    </row>
    <row r="299" spans="1:9">
      <c r="A299" s="11"/>
      <c r="B299" t="str">
        <f>IFERROR(VLOOKUP(A299,'Products Index'!$A:$B,2,FALSE),"")</f>
        <v/>
      </c>
      <c r="C299" s="11"/>
      <c r="D299" s="11"/>
      <c r="E299" s="11"/>
      <c r="F299">
        <f t="shared" si="8"/>
        <v>0</v>
      </c>
      <c r="G299" s="16">
        <f>IFERROR(AVERAGEIF('Production Batches'!$C:$C,A299,'Production Batches'!$L:$L),0)</f>
        <v>0</v>
      </c>
      <c r="H299" s="16">
        <f t="shared" si="9"/>
        <v>0</v>
      </c>
      <c r="I299" s="30"/>
    </row>
    <row r="300" spans="1:9">
      <c r="A300" s="11"/>
      <c r="B300" t="str">
        <f>IFERROR(VLOOKUP(A300,'Products Index'!$A:$B,2,FALSE),"")</f>
        <v/>
      </c>
      <c r="C300" s="11"/>
      <c r="D300" s="11"/>
      <c r="E300" s="11"/>
      <c r="F300">
        <f t="shared" si="8"/>
        <v>0</v>
      </c>
      <c r="G300" s="16">
        <f>IFERROR(AVERAGEIF('Production Batches'!$C:$C,A300,'Production Batches'!$L:$L),0)</f>
        <v>0</v>
      </c>
      <c r="H300" s="16">
        <f t="shared" si="9"/>
        <v>0</v>
      </c>
      <c r="I300" s="30"/>
    </row>
    <row r="301" spans="1:9">
      <c r="A301" s="11"/>
      <c r="B301" t="str">
        <f>IFERROR(VLOOKUP(A301,'Products Index'!$A:$B,2,FALSE),"")</f>
        <v/>
      </c>
      <c r="C301" s="11"/>
      <c r="D301" s="11"/>
      <c r="E301" s="11"/>
      <c r="F301">
        <f t="shared" si="8"/>
        <v>0</v>
      </c>
      <c r="G301" s="16">
        <f>IFERROR(AVERAGEIF('Production Batches'!$C:$C,A301,'Production Batches'!$L:$L),0)</f>
        <v>0</v>
      </c>
      <c r="H301" s="16">
        <f t="shared" si="9"/>
        <v>0</v>
      </c>
      <c r="I301" s="3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37"/>
  <sheetViews>
    <sheetView tabSelected="1" workbookViewId="0"/>
  </sheetViews>
  <sheetFormatPr defaultRowHeight="14.5"/>
  <cols>
    <col min="1" max="1" width="35" customWidth="1"/>
    <col min="2" max="2" width="34" customWidth="1"/>
    <col min="3" max="3" width="21.36328125" customWidth="1"/>
    <col min="4" max="4" width="7.08984375" customWidth="1"/>
    <col min="5" max="5" width="3.453125" customWidth="1"/>
    <col min="6" max="6" width="13.81640625" customWidth="1"/>
    <col min="7" max="7" width="16.81640625" customWidth="1"/>
    <col min="8" max="8" width="17.90625" customWidth="1"/>
    <col min="9" max="9" width="9.26953125" customWidth="1"/>
    <col min="10" max="10" width="45" customWidth="1"/>
  </cols>
  <sheetData>
    <row r="1" spans="1:10" ht="29">
      <c r="A1" s="34" t="s">
        <v>64</v>
      </c>
      <c r="B1" s="34" t="s">
        <v>369</v>
      </c>
      <c r="C1" s="34" t="s">
        <v>370</v>
      </c>
      <c r="D1" s="34" t="s">
        <v>21</v>
      </c>
      <c r="E1" s="34" t="s">
        <v>22</v>
      </c>
      <c r="F1" s="34" t="s">
        <v>232</v>
      </c>
      <c r="G1" s="34" t="s">
        <v>378</v>
      </c>
      <c r="H1" s="34" t="s">
        <v>379</v>
      </c>
      <c r="I1" s="34" t="s">
        <v>240</v>
      </c>
      <c r="J1" s="34" t="s">
        <v>28</v>
      </c>
    </row>
    <row r="2" spans="1:10">
      <c r="A2" t="s">
        <v>241</v>
      </c>
      <c r="B2" t="s">
        <v>242</v>
      </c>
      <c r="C2" t="s">
        <v>243</v>
      </c>
      <c r="E2" t="s">
        <v>244</v>
      </c>
      <c r="F2">
        <v>20</v>
      </c>
      <c r="G2" t="s">
        <v>380</v>
      </c>
      <c r="H2" t="s">
        <v>381</v>
      </c>
      <c r="I2" t="s">
        <v>247</v>
      </c>
      <c r="J2" t="s">
        <v>246</v>
      </c>
    </row>
    <row r="3" spans="1:10">
      <c r="A3" t="s">
        <v>248</v>
      </c>
      <c r="B3" t="s">
        <v>249</v>
      </c>
      <c r="C3" t="s">
        <v>243</v>
      </c>
      <c r="E3" t="s">
        <v>244</v>
      </c>
      <c r="F3">
        <v>30</v>
      </c>
      <c r="G3" t="s">
        <v>380</v>
      </c>
      <c r="H3" t="s">
        <v>381</v>
      </c>
      <c r="I3" t="s">
        <v>247</v>
      </c>
      <c r="J3" t="s">
        <v>251</v>
      </c>
    </row>
    <row r="4" spans="1:10">
      <c r="A4" t="s">
        <v>252</v>
      </c>
      <c r="B4" t="s">
        <v>253</v>
      </c>
      <c r="C4" t="s">
        <v>254</v>
      </c>
      <c r="D4" t="s">
        <v>255</v>
      </c>
      <c r="E4" t="s">
        <v>32</v>
      </c>
      <c r="F4">
        <v>3.5</v>
      </c>
      <c r="G4" t="s">
        <v>382</v>
      </c>
      <c r="H4" t="s">
        <v>383</v>
      </c>
      <c r="I4" t="s">
        <v>247</v>
      </c>
      <c r="J4" t="s">
        <v>257</v>
      </c>
    </row>
    <row r="5" spans="1:10">
      <c r="A5" t="s">
        <v>259</v>
      </c>
      <c r="B5" t="s">
        <v>260</v>
      </c>
      <c r="C5" t="s">
        <v>254</v>
      </c>
      <c r="D5" t="s">
        <v>255</v>
      </c>
      <c r="E5" t="s">
        <v>32</v>
      </c>
      <c r="F5">
        <v>3.5</v>
      </c>
      <c r="G5" t="s">
        <v>382</v>
      </c>
      <c r="H5" t="s">
        <v>383</v>
      </c>
      <c r="I5" t="s">
        <v>247</v>
      </c>
      <c r="J5" t="s">
        <v>261</v>
      </c>
    </row>
    <row r="6" spans="1:10">
      <c r="A6" t="s">
        <v>263</v>
      </c>
      <c r="B6" t="s">
        <v>264</v>
      </c>
      <c r="C6" t="s">
        <v>254</v>
      </c>
      <c r="D6" t="s">
        <v>255</v>
      </c>
      <c r="E6" t="s">
        <v>32</v>
      </c>
      <c r="F6">
        <v>3.5</v>
      </c>
      <c r="G6" t="s">
        <v>382</v>
      </c>
      <c r="H6" t="s">
        <v>383</v>
      </c>
      <c r="I6" t="s">
        <v>247</v>
      </c>
      <c r="J6" t="s">
        <v>265</v>
      </c>
    </row>
    <row r="7" spans="1:10">
      <c r="A7" t="s">
        <v>267</v>
      </c>
      <c r="B7" t="s">
        <v>268</v>
      </c>
      <c r="C7" t="s">
        <v>254</v>
      </c>
      <c r="D7" t="s">
        <v>269</v>
      </c>
      <c r="E7" t="s">
        <v>32</v>
      </c>
      <c r="F7">
        <v>1.5</v>
      </c>
      <c r="G7" t="s">
        <v>382</v>
      </c>
      <c r="H7" t="s">
        <v>383</v>
      </c>
      <c r="I7" t="s">
        <v>247</v>
      </c>
      <c r="J7" t="s">
        <v>270</v>
      </c>
    </row>
    <row r="8" spans="1:10">
      <c r="A8" t="s">
        <v>272</v>
      </c>
      <c r="B8" t="s">
        <v>273</v>
      </c>
      <c r="C8" t="s">
        <v>254</v>
      </c>
      <c r="D8" t="s">
        <v>274</v>
      </c>
      <c r="E8" t="s">
        <v>32</v>
      </c>
      <c r="F8">
        <v>3.5</v>
      </c>
      <c r="G8" t="s">
        <v>382</v>
      </c>
      <c r="H8" t="s">
        <v>383</v>
      </c>
      <c r="I8" t="s">
        <v>247</v>
      </c>
      <c r="J8" t="s">
        <v>275</v>
      </c>
    </row>
    <row r="9" spans="1:10">
      <c r="A9" t="s">
        <v>277</v>
      </c>
      <c r="B9" t="s">
        <v>278</v>
      </c>
      <c r="C9" t="s">
        <v>254</v>
      </c>
      <c r="D9" t="s">
        <v>274</v>
      </c>
      <c r="E9" t="s">
        <v>32</v>
      </c>
      <c r="F9">
        <v>2.95</v>
      </c>
      <c r="G9" t="s">
        <v>382</v>
      </c>
      <c r="H9" t="s">
        <v>383</v>
      </c>
      <c r="I9" t="s">
        <v>247</v>
      </c>
      <c r="J9" t="s">
        <v>279</v>
      </c>
    </row>
    <row r="10" spans="1:10">
      <c r="A10" t="s">
        <v>281</v>
      </c>
      <c r="B10" t="s">
        <v>282</v>
      </c>
      <c r="C10" t="s">
        <v>254</v>
      </c>
      <c r="D10" t="s">
        <v>274</v>
      </c>
      <c r="E10" t="s">
        <v>32</v>
      </c>
      <c r="F10">
        <v>2.75</v>
      </c>
      <c r="G10" t="s">
        <v>382</v>
      </c>
      <c r="H10" t="s">
        <v>383</v>
      </c>
      <c r="I10" t="s">
        <v>247</v>
      </c>
      <c r="J10" t="s">
        <v>283</v>
      </c>
    </row>
    <row r="11" spans="1:10">
      <c r="A11" t="s">
        <v>285</v>
      </c>
      <c r="B11" t="s">
        <v>286</v>
      </c>
      <c r="C11" t="s">
        <v>254</v>
      </c>
      <c r="D11" t="s">
        <v>274</v>
      </c>
      <c r="E11" t="s">
        <v>32</v>
      </c>
      <c r="F11">
        <v>3.75</v>
      </c>
      <c r="G11" t="s">
        <v>382</v>
      </c>
      <c r="H11" t="s">
        <v>383</v>
      </c>
      <c r="I11" t="s">
        <v>247</v>
      </c>
      <c r="J11" t="s">
        <v>287</v>
      </c>
    </row>
    <row r="12" spans="1:10">
      <c r="A12" t="s">
        <v>289</v>
      </c>
      <c r="B12" t="s">
        <v>290</v>
      </c>
      <c r="C12" t="s">
        <v>254</v>
      </c>
      <c r="D12" t="s">
        <v>274</v>
      </c>
      <c r="E12" t="s">
        <v>32</v>
      </c>
      <c r="F12">
        <v>4</v>
      </c>
      <c r="G12" t="s">
        <v>382</v>
      </c>
      <c r="H12" t="s">
        <v>383</v>
      </c>
      <c r="I12" t="s">
        <v>247</v>
      </c>
      <c r="J12" t="s">
        <v>291</v>
      </c>
    </row>
    <row r="13" spans="1:10">
      <c r="A13" t="s">
        <v>293</v>
      </c>
      <c r="B13" t="s">
        <v>294</v>
      </c>
      <c r="C13" t="s">
        <v>254</v>
      </c>
      <c r="D13" t="s">
        <v>274</v>
      </c>
      <c r="E13" t="s">
        <v>32</v>
      </c>
      <c r="F13">
        <v>4.5</v>
      </c>
      <c r="G13" t="s">
        <v>382</v>
      </c>
      <c r="H13" t="s">
        <v>383</v>
      </c>
      <c r="I13" t="s">
        <v>247</v>
      </c>
      <c r="J13" t="s">
        <v>295</v>
      </c>
    </row>
    <row r="14" spans="1:10">
      <c r="A14" t="s">
        <v>297</v>
      </c>
      <c r="B14" t="s">
        <v>298</v>
      </c>
      <c r="C14" t="s">
        <v>254</v>
      </c>
      <c r="D14" t="s">
        <v>274</v>
      </c>
      <c r="E14" t="s">
        <v>32</v>
      </c>
      <c r="F14">
        <v>4.75</v>
      </c>
      <c r="G14" t="s">
        <v>382</v>
      </c>
      <c r="H14" t="s">
        <v>383</v>
      </c>
      <c r="I14" t="s">
        <v>247</v>
      </c>
      <c r="J14" t="s">
        <v>299</v>
      </c>
    </row>
    <row r="15" spans="1:10">
      <c r="A15" t="s">
        <v>301</v>
      </c>
      <c r="B15" t="s">
        <v>302</v>
      </c>
      <c r="C15" t="s">
        <v>254</v>
      </c>
      <c r="D15" t="s">
        <v>274</v>
      </c>
      <c r="E15" t="s">
        <v>32</v>
      </c>
      <c r="F15">
        <v>5.5</v>
      </c>
      <c r="G15" t="s">
        <v>382</v>
      </c>
      <c r="H15" t="s">
        <v>383</v>
      </c>
      <c r="I15" t="s">
        <v>247</v>
      </c>
      <c r="J15" t="s">
        <v>303</v>
      </c>
    </row>
    <row r="16" spans="1:10">
      <c r="A16" t="s">
        <v>305</v>
      </c>
      <c r="B16" t="s">
        <v>306</v>
      </c>
      <c r="C16" t="s">
        <v>307</v>
      </c>
      <c r="F16">
        <v>4.5</v>
      </c>
      <c r="G16" t="s">
        <v>382</v>
      </c>
      <c r="H16" t="s">
        <v>384</v>
      </c>
      <c r="I16" t="s">
        <v>247</v>
      </c>
      <c r="J16" t="s">
        <v>309</v>
      </c>
    </row>
    <row r="17" spans="1:10">
      <c r="A17" t="s">
        <v>312</v>
      </c>
      <c r="B17" t="s">
        <v>313</v>
      </c>
      <c r="C17" t="s">
        <v>307</v>
      </c>
      <c r="F17">
        <v>5.25</v>
      </c>
      <c r="G17" t="s">
        <v>382</v>
      </c>
      <c r="H17" t="s">
        <v>384</v>
      </c>
      <c r="I17" t="s">
        <v>247</v>
      </c>
      <c r="J17" t="s">
        <v>314</v>
      </c>
    </row>
    <row r="18" spans="1:10">
      <c r="A18" t="s">
        <v>316</v>
      </c>
      <c r="B18" t="s">
        <v>317</v>
      </c>
      <c r="C18" t="s">
        <v>307</v>
      </c>
      <c r="F18">
        <v>5</v>
      </c>
      <c r="G18" t="s">
        <v>382</v>
      </c>
      <c r="H18" t="s">
        <v>384</v>
      </c>
      <c r="I18" t="s">
        <v>247</v>
      </c>
      <c r="J18" t="s">
        <v>318</v>
      </c>
    </row>
    <row r="19" spans="1:10">
      <c r="A19" t="s">
        <v>320</v>
      </c>
      <c r="B19" t="s">
        <v>321</v>
      </c>
      <c r="C19" t="s">
        <v>307</v>
      </c>
      <c r="F19">
        <v>5</v>
      </c>
      <c r="G19" t="s">
        <v>382</v>
      </c>
      <c r="H19" t="s">
        <v>384</v>
      </c>
      <c r="I19" t="s">
        <v>247</v>
      </c>
      <c r="J19" t="s">
        <v>322</v>
      </c>
    </row>
    <row r="20" spans="1:10">
      <c r="A20" t="s">
        <v>325</v>
      </c>
      <c r="B20" t="s">
        <v>326</v>
      </c>
      <c r="C20" t="s">
        <v>327</v>
      </c>
      <c r="D20" t="s">
        <v>274</v>
      </c>
      <c r="E20" t="s">
        <v>32</v>
      </c>
      <c r="F20">
        <v>4.95</v>
      </c>
      <c r="G20" t="s">
        <v>382</v>
      </c>
      <c r="H20" t="s">
        <v>327</v>
      </c>
      <c r="I20" t="s">
        <v>247</v>
      </c>
      <c r="J20" t="s">
        <v>329</v>
      </c>
    </row>
    <row r="21" spans="1:10">
      <c r="A21" t="s">
        <v>331</v>
      </c>
      <c r="B21" t="s">
        <v>332</v>
      </c>
      <c r="C21" t="s">
        <v>327</v>
      </c>
      <c r="D21" t="s">
        <v>274</v>
      </c>
      <c r="E21" t="s">
        <v>32</v>
      </c>
      <c r="F21">
        <v>5.5</v>
      </c>
      <c r="G21" t="s">
        <v>382</v>
      </c>
      <c r="H21" t="s">
        <v>327</v>
      </c>
      <c r="I21" t="s">
        <v>247</v>
      </c>
      <c r="J21" t="s">
        <v>333</v>
      </c>
    </row>
    <row r="22" spans="1:10">
      <c r="A22" t="s">
        <v>334</v>
      </c>
      <c r="B22" t="s">
        <v>335</v>
      </c>
      <c r="C22" t="s">
        <v>327</v>
      </c>
      <c r="D22" t="s">
        <v>274</v>
      </c>
      <c r="E22" t="s">
        <v>32</v>
      </c>
      <c r="F22">
        <v>5.95</v>
      </c>
      <c r="G22" t="s">
        <v>382</v>
      </c>
      <c r="H22" t="s">
        <v>327</v>
      </c>
      <c r="I22" t="s">
        <v>247</v>
      </c>
      <c r="J22" t="s">
        <v>336</v>
      </c>
    </row>
    <row r="23" spans="1:10">
      <c r="A23" t="s">
        <v>338</v>
      </c>
      <c r="B23" t="s">
        <v>339</v>
      </c>
      <c r="C23" t="s">
        <v>327</v>
      </c>
      <c r="D23" t="s">
        <v>274</v>
      </c>
      <c r="E23" t="s">
        <v>32</v>
      </c>
      <c r="F23">
        <v>4.25</v>
      </c>
      <c r="G23" t="s">
        <v>382</v>
      </c>
      <c r="H23" t="s">
        <v>327</v>
      </c>
      <c r="I23" t="s">
        <v>247</v>
      </c>
      <c r="J23" t="s">
        <v>340</v>
      </c>
    </row>
    <row r="25" spans="1:10">
      <c r="A25" s="35" t="s">
        <v>385</v>
      </c>
      <c r="B25" s="35"/>
      <c r="C25" s="35"/>
      <c r="D25" s="35"/>
      <c r="E25" s="35"/>
      <c r="F25" s="35"/>
      <c r="G25" s="35"/>
      <c r="H25" s="35"/>
      <c r="I25" s="35"/>
      <c r="J25" s="35"/>
    </row>
    <row r="26" spans="1:10">
      <c r="A26" t="s">
        <v>342</v>
      </c>
      <c r="B26" t="s">
        <v>125</v>
      </c>
      <c r="C26" t="s">
        <v>343</v>
      </c>
      <c r="D26" t="s">
        <v>344</v>
      </c>
      <c r="E26" t="s">
        <v>32</v>
      </c>
      <c r="H26" t="s">
        <v>386</v>
      </c>
      <c r="I26" t="s">
        <v>345</v>
      </c>
      <c r="J26" t="s">
        <v>346</v>
      </c>
    </row>
    <row r="27" spans="1:10">
      <c r="A27" t="s">
        <v>347</v>
      </c>
      <c r="B27" t="s">
        <v>137</v>
      </c>
      <c r="C27" t="s">
        <v>343</v>
      </c>
      <c r="D27" t="s">
        <v>344</v>
      </c>
      <c r="E27" t="s">
        <v>32</v>
      </c>
      <c r="H27" t="s">
        <v>386</v>
      </c>
      <c r="I27" t="s">
        <v>345</v>
      </c>
      <c r="J27" t="s">
        <v>346</v>
      </c>
    </row>
    <row r="28" spans="1:10">
      <c r="A28" t="s">
        <v>348</v>
      </c>
      <c r="B28" t="s">
        <v>149</v>
      </c>
      <c r="C28" t="s">
        <v>349</v>
      </c>
      <c r="D28" t="s">
        <v>344</v>
      </c>
      <c r="E28" t="s">
        <v>32</v>
      </c>
      <c r="H28" t="s">
        <v>386</v>
      </c>
      <c r="I28" t="s">
        <v>345</v>
      </c>
      <c r="J28" t="s">
        <v>346</v>
      </c>
    </row>
    <row r="29" spans="1:10">
      <c r="A29" t="s">
        <v>350</v>
      </c>
      <c r="B29" t="s">
        <v>161</v>
      </c>
      <c r="C29" t="s">
        <v>349</v>
      </c>
      <c r="D29" t="s">
        <v>344</v>
      </c>
      <c r="E29" t="s">
        <v>32</v>
      </c>
      <c r="H29" t="s">
        <v>386</v>
      </c>
      <c r="I29" t="s">
        <v>345</v>
      </c>
      <c r="J29" t="s">
        <v>346</v>
      </c>
    </row>
    <row r="30" spans="1:10">
      <c r="A30" t="s">
        <v>351</v>
      </c>
      <c r="B30" t="s">
        <v>172</v>
      </c>
      <c r="C30" t="s">
        <v>343</v>
      </c>
      <c r="D30" t="s">
        <v>344</v>
      </c>
      <c r="E30" t="s">
        <v>32</v>
      </c>
      <c r="H30" t="s">
        <v>386</v>
      </c>
      <c r="I30" t="s">
        <v>345</v>
      </c>
      <c r="J30" t="s">
        <v>352</v>
      </c>
    </row>
    <row r="31" spans="1:10">
      <c r="A31" t="s">
        <v>353</v>
      </c>
      <c r="B31" t="s">
        <v>191</v>
      </c>
      <c r="C31" t="s">
        <v>343</v>
      </c>
      <c r="D31" t="s">
        <v>344</v>
      </c>
      <c r="E31" t="s">
        <v>32</v>
      </c>
      <c r="H31" t="s">
        <v>386</v>
      </c>
      <c r="I31" t="s">
        <v>345</v>
      </c>
      <c r="J31" t="s">
        <v>346</v>
      </c>
    </row>
    <row r="32" spans="1:10">
      <c r="A32" t="s">
        <v>354</v>
      </c>
      <c r="B32" t="s">
        <v>355</v>
      </c>
      <c r="C32" t="s">
        <v>343</v>
      </c>
      <c r="D32" t="s">
        <v>344</v>
      </c>
      <c r="E32" t="s">
        <v>32</v>
      </c>
      <c r="H32" t="s">
        <v>387</v>
      </c>
      <c r="I32" t="s">
        <v>345</v>
      </c>
      <c r="J32" t="s">
        <v>356</v>
      </c>
    </row>
    <row r="33" spans="1:10">
      <c r="A33" t="s">
        <v>357</v>
      </c>
      <c r="B33" t="s">
        <v>358</v>
      </c>
      <c r="C33" t="s">
        <v>343</v>
      </c>
      <c r="D33" t="s">
        <v>344</v>
      </c>
      <c r="E33" t="s">
        <v>32</v>
      </c>
      <c r="H33" t="s">
        <v>387</v>
      </c>
      <c r="I33" t="s">
        <v>345</v>
      </c>
      <c r="J33" t="s">
        <v>356</v>
      </c>
    </row>
    <row r="34" spans="1:10">
      <c r="A34" t="s">
        <v>359</v>
      </c>
      <c r="B34" t="s">
        <v>360</v>
      </c>
      <c r="C34" t="s">
        <v>361</v>
      </c>
      <c r="H34" t="s">
        <v>386</v>
      </c>
      <c r="I34" t="s">
        <v>345</v>
      </c>
      <c r="J34" t="s">
        <v>362</v>
      </c>
    </row>
    <row r="35" spans="1:10">
      <c r="A35" t="s">
        <v>363</v>
      </c>
      <c r="B35" t="s">
        <v>364</v>
      </c>
      <c r="C35" t="s">
        <v>361</v>
      </c>
      <c r="H35" t="s">
        <v>386</v>
      </c>
      <c r="I35" t="s">
        <v>345</v>
      </c>
      <c r="J35" t="s">
        <v>362</v>
      </c>
    </row>
    <row r="36" spans="1:10">
      <c r="A36" t="s">
        <v>365</v>
      </c>
      <c r="B36" t="s">
        <v>366</v>
      </c>
      <c r="C36" t="s">
        <v>361</v>
      </c>
      <c r="H36" t="s">
        <v>386</v>
      </c>
      <c r="I36" t="s">
        <v>345</v>
      </c>
      <c r="J36" t="s">
        <v>362</v>
      </c>
    </row>
    <row r="37" spans="1:10">
      <c r="A37" t="s">
        <v>367</v>
      </c>
      <c r="B37" t="s">
        <v>368</v>
      </c>
      <c r="C37" t="s">
        <v>343</v>
      </c>
      <c r="D37" t="s">
        <v>344</v>
      </c>
      <c r="E37" t="s">
        <v>32</v>
      </c>
      <c r="H37" t="s">
        <v>386</v>
      </c>
      <c r="I37" t="s">
        <v>345</v>
      </c>
      <c r="J37" t="s">
        <v>362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Start Here</vt:lpstr>
      <vt:lpstr>Dashboard</vt:lpstr>
      <vt:lpstr>Labels</vt:lpstr>
      <vt:lpstr>Products Index</vt:lpstr>
      <vt:lpstr>Ingredients &amp; Packaging</vt:lpstr>
      <vt:lpstr>Suppliers</vt:lpstr>
      <vt:lpstr>Customers</vt:lpstr>
      <vt:lpstr>Price Lists</vt:lpstr>
      <vt:lpstr>Overheads</vt:lpstr>
      <vt:lpstr>Rose Harissa Paste</vt:lpstr>
      <vt:lpstr>Wild Greens &amp; Sea Herb Pesto</vt:lpstr>
      <vt:lpstr>Mango, Chilli &amp; Whisky Chutney</vt:lpstr>
      <vt:lpstr>Scottish Kimchi (Apple &amp; Kelp)</vt:lpstr>
      <vt:lpstr>Beetroot, Juniper &amp; Black Peppe</vt:lpstr>
      <vt:lpstr>Salted Heather Honey Caramel Sa</vt:lpstr>
      <vt:lpstr>Dark Chocolate, Chilli &amp; Smoked</vt:lpstr>
      <vt:lpstr>Gin &amp; Juniper Berry Marmalade</vt:lpstr>
      <vt:lpstr>Production Batches</vt:lpstr>
      <vt:lpstr>Sales Orders</vt:lpstr>
      <vt:lpstr>Inventory</vt:lpstr>
      <vt:lpstr>Website Product Range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2026-05-30T10:19:58Z</dcterms:created>
  <dcterms:modified xsi:type="dcterms:W3CDTF">2026-05-30T10:19:58Z</dcterms:modified>
</cp:coreProperties>
</file>